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meltwaterint-my.sharepoint.com/personal/ernesto_jaramillo_meltwater_com/Documents/Desktop/"/>
    </mc:Choice>
  </mc:AlternateContent>
  <xr:revisionPtr revIDLastSave="509" documentId="8_{E96D252B-0307-4BC9-9E75-1572EE1F8FAF}" xr6:coauthVersionLast="47" xr6:coauthVersionMax="47" xr10:uidLastSave="{EA9391DF-C2AD-4801-93B8-F2E84A57AA20}"/>
  <bookViews>
    <workbookView xWindow="-108" yWindow="-108" windowWidth="23256" windowHeight="13896" tabRatio="731" firstSheet="1" activeTab="1" xr2:uid="{333C870F-5252-4260-B396-798BF02EEC9F}"/>
  </bookViews>
  <sheets>
    <sheet name="Sheet3" sheetId="3" r:id="rId1"/>
    <sheet name="Sheet4" sheetId="5" r:id="rId2"/>
    <sheet name="UnappliedPaymentsErnestoResult" sheetId="1" r:id="rId3"/>
    <sheet name="Copy Netsuite Report" sheetId="4" r:id="rId4"/>
    <sheet name="Sheet2" sheetId="2" state="hidden" r:id="rId5"/>
    <sheet name="AMERICAS APRIL 2026" sheetId="24" r:id="rId6"/>
    <sheet name="APAC APRIL 2026" sheetId="25" r:id="rId7"/>
    <sheet name="EMEA APRIL 2026" sheetId="26" r:id="rId8"/>
  </sheets>
  <definedNames>
    <definedName name="_xlnm._FilterDatabase" localSheetId="0" hidden="1">Sheet3!$G$14:$H$20</definedName>
    <definedName name="_xlnm._FilterDatabase" localSheetId="2" hidden="1">UnappliedPaymentsErnestoResult!$A$1:$V$548</definedName>
    <definedName name="Slicer_Subsidiary">#N/A</definedName>
  </definedNames>
  <calcPr calcId="191029"/>
  <pivotCaches>
    <pivotCache cacheId="137" r:id="rId9"/>
    <pivotCache cacheId="141" r:id="rId10"/>
    <pivotCache cacheId="146"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J16" i="3" l="1"/>
</calcChain>
</file>

<file path=xl/sharedStrings.xml><?xml version="1.0" encoding="utf-8"?>
<sst xmlns="http://schemas.openxmlformats.org/spreadsheetml/2006/main" count="9392" uniqueCount="1774">
  <si>
    <t>Subsidiary (no hierarchy)</t>
  </si>
  <si>
    <t>Date</t>
  </si>
  <si>
    <t>Status</t>
  </si>
  <si>
    <t>Number</t>
  </si>
  <si>
    <t>Currency</t>
  </si>
  <si>
    <t>Amount Base</t>
  </si>
  <si>
    <t>Amount USD</t>
  </si>
  <si>
    <t>Amount Remaining</t>
  </si>
  <si>
    <t>Balance</t>
  </si>
  <si>
    <t>Customer Name</t>
  </si>
  <si>
    <t>AR Specialist</t>
  </si>
  <si>
    <t>Memo</t>
  </si>
  <si>
    <t>102 - US</t>
  </si>
  <si>
    <t>Deposited</t>
  </si>
  <si>
    <t/>
  </si>
  <si>
    <t>USD</t>
  </si>
  <si>
    <t>Celigo CAM USD</t>
  </si>
  <si>
    <t>PMT-S151-202999</t>
  </si>
  <si>
    <t>DUMMY CUSTOMER_CASHAPPS 102 - US</t>
  </si>
  <si>
    <t>ACH CONCENTRATION CREDIT ACH CORP TRADE PAYMENT FROM MICROSOFT MICROSOFT 0004992933 68251185441010</t>
  </si>
  <si>
    <t>PMT-S151-211138</t>
  </si>
  <si>
    <t>Microsoft Corporation</t>
  </si>
  <si>
    <t>ACH CONCENTRATION CREDIT ACH CORP TRADE PAYMENT FROM MICROSOFT MICROSOFT 0005317824 68550845931010</t>
  </si>
  <si>
    <t>PMT-S151-219775</t>
  </si>
  <si>
    <t>Brick Media</t>
  </si>
  <si>
    <t>INCOMING MONEY TRANSFER 53RECD FED JPMORGAN CHASE BANK*ORG:BRICK MEDIA LLC,RO CKY RIVER OH 44116-1815 US,19885 DETRO*OGB:JPMORGAN CHASE BANK,TAMPA,10410 HI GHLAND MANOR DRIVE*BNF:MELTWATER NEWS US INC,REDWOOD CITY         CA/US,275 S HO*STFEDSEQ:B1Q8982R000363*TIME:0341*YOUR REF:WTH OF 26/02/18*OUR REF:0490937 10</t>
  </si>
  <si>
    <t>PMT-S151-200395</t>
  </si>
  <si>
    <t>ACH CONCENTRATION CREDIT ACH CORP TRADE PAYMENT FROM MICROSOFT MICROSOFT 0004890122 68550745441010</t>
  </si>
  <si>
    <t>PMT-S151-156272</t>
  </si>
  <si>
    <t>ComplySci</t>
  </si>
  <si>
    <t>ACH CONCENTRATION CREDIT ACH CASH CONCENTRATION COMPLYSCI-PAYMENT ComplySci Payment 46810</t>
  </si>
  <si>
    <t>PMT-S151-208003</t>
  </si>
  <si>
    <t>ACH CONCENTRATION CREDIT ACH CASH CONCENTRATION ENVIOLOL-PAYMENTS ENVIOLOL  PAYMENTS 0000010593</t>
  </si>
  <si>
    <t>PMT-S151-207105</t>
  </si>
  <si>
    <t>ACH CONCENTRATION CREDIT ACH CORP TRADE PAYMENT FROM MICROSOFT MICROSOFT 0005162418 68500854311010</t>
  </si>
  <si>
    <t>PMT-S151-222326</t>
  </si>
  <si>
    <t>Camp Chef</t>
  </si>
  <si>
    <t>ACH CONCENTRATION CREDIT ACH CASH CONCENTRATION BUSHNELL OPER-PAYMENT BUSHNELL  PAYMENT 2021416</t>
  </si>
  <si>
    <t>PMT-S151-222780</t>
  </si>
  <si>
    <t>Culloton + Bauer Luce</t>
  </si>
  <si>
    <t>ACH CONCENTRATION CREDIT ACH CASH CONCENTRATION CULLOTON STRATEG-ACH PAYMEN Culloton  ACH Paymen 95267</t>
  </si>
  <si>
    <t>PMT-S151-209700</t>
  </si>
  <si>
    <t>ACH CONCENTRATION CREDIT ACH CORP TRADE PAYMENT FROM MICROSOFT MICROSOFT 0005263117 68151120631010</t>
  </si>
  <si>
    <t>PMT-S151-221843</t>
  </si>
  <si>
    <t>Blue Learning</t>
  </si>
  <si>
    <t>ACH CONCENTRATION CREDIT ACH CASH CONCENTRATION BLUE LEARNING OP-CORP PAY BLUE LEAR CORP PAY 10957</t>
  </si>
  <si>
    <t>PMT-S151-223322</t>
  </si>
  <si>
    <t>Gaudenzia, Inc</t>
  </si>
  <si>
    <t>PMT-S151-167535</t>
  </si>
  <si>
    <t>Sun Valley Resort</t>
  </si>
  <si>
    <t>CHECK</t>
  </si>
  <si>
    <t>PMT-S151-145279</t>
  </si>
  <si>
    <t>Netchoice</t>
  </si>
  <si>
    <t>FOREIGN REMITTANCE CREDIT 33RECD CHIP WELLS FARGO BANK,SAN FRANCISCO,CA*O RG:NETCHOICE,US 20005-3417,WASHINGTON           DC,1401 K S*BNF:MELTWATER NEW S US INC,SAN FRANCISCO        CA/US,STE 100*OBI:INVOICE S151 535230*STCHIPSEQ :0499781*TIME:1511*YOUR REF:643*OUR REF:091587415</t>
  </si>
  <si>
    <t>PMT-S151-223019</t>
  </si>
  <si>
    <t>Gordon State College</t>
  </si>
  <si>
    <t>ACH CONCENTRATION CREDIT ACH CORP TRADE PAYMENT FROM Gordon State Col Gordon St CTX 0000039074</t>
  </si>
  <si>
    <t>PMT-S151-159463</t>
  </si>
  <si>
    <t>Bayhealth Medical Center</t>
  </si>
  <si>
    <t>ACH CREDIT ACH DEPOSIT FROM WASHINGTON TIMES-CREDITS WASHINGTO CREDITS    TWT-22920</t>
  </si>
  <si>
    <t>PMT-S151-218617</t>
  </si>
  <si>
    <t>West Palm Beach Downtown Development Authority</t>
  </si>
  <si>
    <t>Jose Castellanos</t>
  </si>
  <si>
    <t>PMT-S151-146709</t>
  </si>
  <si>
    <t>Kean University</t>
  </si>
  <si>
    <t>Kristin Walsh</t>
  </si>
  <si>
    <t>PMT-S151-223397</t>
  </si>
  <si>
    <t>Nautilus Solar Energy, LLC</t>
  </si>
  <si>
    <t>ACH CONCENTRATION CREDIT ACH CASH CONCENTRATION NAUTILUS SOLAR E-ACH PMT NAUTILUS  ACH Pmt 11216430243</t>
  </si>
  <si>
    <t>PMT-S151-215069</t>
  </si>
  <si>
    <t>Amazon.com Services LLC</t>
  </si>
  <si>
    <t>ACH CONCENTRATION CREDIT ACH CASH CONCENTRATION AMAZON.COM-EDI PYMNTS AMAZON.CO EDI PYMNTS DAS4VG6U2FWEEBQ</t>
  </si>
  <si>
    <t>PMT-S151-196679</t>
  </si>
  <si>
    <t>FOREIGN REMITTANCE CREDIT 33RECD CHIP JPMORGAN CHASE BANK*ORG:BYTECHIP LLC,UNITED STATES,US ,8 THE GREEN, SUITE B, DOVE*OGB:RD WALLET TECHNOLOGIES LIMITED,CAUSEWAY BAY,535 JAFFE RO*BNF:MELTWATER NEWS US INC,REDWOOD CITY CA/US,STE 165*OBI:202411080803*STCHIPSEQ:00209649*TIME:0248 *YOUR REF:1513OT8581513*OUR REF:323200531</t>
  </si>
  <si>
    <t>PMT-S151-147498</t>
  </si>
  <si>
    <t>Florida Dept. of Agriculture and Consumer Services</t>
  </si>
  <si>
    <t>Jordan Irvine</t>
  </si>
  <si>
    <t>PMT-S151-210583</t>
  </si>
  <si>
    <t>Cubic Corporation</t>
  </si>
  <si>
    <t>Customer refund ACH CONCENTRATION CREDIT ACH CASH CONCENTRATION CUBIC CORPORATIO-EDI/ACH Cubic Cor EDI/ACH                                                10152000245 624</t>
  </si>
  <si>
    <t>PMT-S151-173898</t>
  </si>
  <si>
    <t>Versant Health</t>
  </si>
  <si>
    <t>PMT-S151-169476</t>
  </si>
  <si>
    <t>ACH CONCENTRATION CREDIT ACH CASH CONCENTRATION DALLAS FOUNDATIO-CORP PAY DALLAS FO CORP PAY 1504</t>
  </si>
  <si>
    <t>PMT-S151-154814</t>
  </si>
  <si>
    <t>AmeriCU Credit Union</t>
  </si>
  <si>
    <t>PMT-S151-174242</t>
  </si>
  <si>
    <t>Drive Agency, LLC</t>
  </si>
  <si>
    <t>Yangzom Vitali-116</t>
  </si>
  <si>
    <t>ACH CREDIT ACH DEPOSIT FROM GREENBERG QUINLA-ACH PAYMNT INV IN-S151-548883</t>
  </si>
  <si>
    <t>PMT-S151-223327</t>
  </si>
  <si>
    <t>ACH CONCENTRATION CREDIT ACH CASH CONCENTRATION COMMISSION L'UNI-PAYMENT COMMISSIO PAYMENT    KQ3LUSEQGD69</t>
  </si>
  <si>
    <t>PMT-S151-171074</t>
  </si>
  <si>
    <t>Amarin Pharma, Inc.</t>
  </si>
  <si>
    <t>Sarah Shoemaker-MW</t>
  </si>
  <si>
    <t>FOREIGN REMITTANCE CREDIT 33RECD CHIP JPMORGAN CHASE BANK*ORG:AMARIN SWITZERLAND GMBH,CH/ZUG 6300,BAARERSTRASSE 75*OGB:JPMORGAN CHASE BANK,N.A.,ZUERICH,DREI KOENIGSTRASSE 21*BNF:MELTWATER NEWS US INC,REDWOOD CITY         CA/US,STE 165 *OBI:/ROC/714*STCHIPSEQ:0157130*TIME:0207*YOUR REF:SWF OF 23/07/07*OUR REF:18 8409072</t>
  </si>
  <si>
    <t>PMT-S151-199815</t>
  </si>
  <si>
    <t>Zonda Home</t>
  </si>
  <si>
    <t>ACH CONCENTRATION CREDIT ACH CASH CONCENTRATION METROSTUDY INC-AB-TFBANIP METROSTUD AB-TFBANIP                                             4090116</t>
  </si>
  <si>
    <t>PMT-S151-217064</t>
  </si>
  <si>
    <t>Hunstville Botanical Garden</t>
  </si>
  <si>
    <t>ACH CONCENTRATION CREDIT ACH CASH CONCENTRATION HSV BG       517-ACH PAYMEN HSV BG    ACH Paymen 32465974</t>
  </si>
  <si>
    <t>PMT-S151-156313</t>
  </si>
  <si>
    <t>Management &amp; Training Corporation (Job Corps)</t>
  </si>
  <si>
    <t>Jose Castellanos-103</t>
  </si>
  <si>
    <t>renewal 12/7/22-12/6/25</t>
  </si>
  <si>
    <t>PMT-S151-149470</t>
  </si>
  <si>
    <t>Avendra</t>
  </si>
  <si>
    <t>PMT-S151-150211</t>
  </si>
  <si>
    <t>ACH CONCENTRATION CREDIT ACH CASH CONCENTRATION INDIANA UNV-BATCH INDIANA U BATCH 504301824</t>
  </si>
  <si>
    <t>PMT-S151-162604</t>
  </si>
  <si>
    <t>Comic Relief, Inc</t>
  </si>
  <si>
    <t>ACH CONCENTRATION CREDIT ACH CASH CONCENTRATION COMIC RELIEF8654-PAYMENTS COMIC REL PAYMENTS                                               Meltwater N ews</t>
  </si>
  <si>
    <t>PMT-S151-208027</t>
  </si>
  <si>
    <t>ACH CONCENTRATION CREDIT ACH CASH CONCENTRATION ENVIOLOL-PAYMENTS ENVIOLOL  PAYMENTS 0000010634</t>
  </si>
  <si>
    <t>PMT-S151-209317</t>
  </si>
  <si>
    <t>Fort Worth Symphony Orchestra</t>
  </si>
  <si>
    <t>PMT-S151-222677</t>
  </si>
  <si>
    <t>PMT-S151-175978</t>
  </si>
  <si>
    <t>American Magic</t>
  </si>
  <si>
    <t>ACH CONCENTRATION CREDIT ACH CASH CONCENTRATION BMQR-SPT ACH BMQR SPT ACH    Meltwater</t>
  </si>
  <si>
    <t>PMT-S151-200236</t>
  </si>
  <si>
    <t>ACH CONCENTRATION CREDIT ACH CORP TRADE PAYMENT FROM THE CITY OF NEW THE CITY  Payments 202501296563717</t>
  </si>
  <si>
    <t>PMT-S151-155504</t>
  </si>
  <si>
    <t>Girl Scouts of Northeast Texas</t>
  </si>
  <si>
    <t>ACH CONCENTRATION CREDIT ACH CASH CONCENTRATION GIRL SCOUTS OF N-PAYMENTS GIRL SCOU PAYMENTS   MELTWATER</t>
  </si>
  <si>
    <t>PMT-S151-159053</t>
  </si>
  <si>
    <t>SSR Mining, Inc</t>
  </si>
  <si>
    <t>ACH CREDIT ACH DEPOSIT FROM SSR MINING INC.-AP PAYMENT SSR MININ AP PAYMENT NOTPROVIDED</t>
  </si>
  <si>
    <t>PMT-S151-172289</t>
  </si>
  <si>
    <t>Johnston County Schools</t>
  </si>
  <si>
    <t>Stephanie Thore</t>
  </si>
  <si>
    <t>PMT-S151-171846</t>
  </si>
  <si>
    <t>Season Health</t>
  </si>
  <si>
    <t>ACH CONCENTRATION CREDIT ACH CASH CONCENTRATION SURELY HEALTH,I-TRANSFER</t>
  </si>
  <si>
    <t>PMT-S151-160605</t>
  </si>
  <si>
    <t>Gulfshore Playhouse</t>
  </si>
  <si>
    <t>PMT-S151-223212</t>
  </si>
  <si>
    <t>Honolulu Marathon Association</t>
  </si>
  <si>
    <t>PMT-S151-146660</t>
  </si>
  <si>
    <t>Pacvue</t>
  </si>
  <si>
    <t>ACH CONCENTRATION CREDIT ACH CASH CONCENTRATION PACVUE CORPORATI-ACH PMT PACVUE CO ACH Pmt 5332490959</t>
  </si>
  <si>
    <t>PMT-S151-167020</t>
  </si>
  <si>
    <t>Birmingham Public Schools</t>
  </si>
  <si>
    <t>PMT-S151-173335</t>
  </si>
  <si>
    <t>Brain Technologies, Inc.</t>
  </si>
  <si>
    <t>ACH CONCENTRATION CREDIT ACH CASH CONCENTRATION BRAIN TECHNOLOGI-BILL.COM Brain Tec Bill.com                                               016GNOXUE2QY ILR</t>
  </si>
  <si>
    <t>PMT-S151-212527</t>
  </si>
  <si>
    <t>Vladimir Jones</t>
  </si>
  <si>
    <t>PMT-S151-160930</t>
  </si>
  <si>
    <t>Calvin Klein</t>
  </si>
  <si>
    <t>Jason Welch</t>
  </si>
  <si>
    <t>INCOMING MONEY TRANSFER 53RECD FED BANK OF AMERICA N.A.*ORG:1/PVH EUROPE B .V.,3/NL/AMSTERDAM 1054ES,2/STADHOUDERSKAD*OGB:BANK OF AMERICA NA LONDON,LOND ON,BANK OF AMERICA MERRILL*BNF:MELTWATER NEWS US INC,SAN FRANCISCO        CA/ US,STE 100*OBI:IN-S151-531453C PVHE CALVIN KL EIN EUROPE BV /RFB/221019200010 1556*STFEDSEQ:B1Q8982R002942*TIME:1618*YOUR REF:2210192000101556*OUR REF:0045 77450</t>
  </si>
  <si>
    <t>PMT-S151-183645</t>
  </si>
  <si>
    <t>Mextenis, S.A. de C.V</t>
  </si>
  <si>
    <t>Maria Papadopoulos</t>
  </si>
  <si>
    <t>INCOMING MONEY TRANSFER 53RECD FED BANK OF NEW YORK*ORG:MEX TENIS S.A. DE C.V.,MX 23/10/1992,BOSQUES DE LAS LOMA*OGB:INTERCAM BANCO SA INSTITUCION DE B A,CIUDAD DE MEXICO,COL*BNF:MELTWATER NEWS US INC,REDWOOD CITY         CA/US,S TE 165*OBI:PAY LICENCIAMELTWATERPAQ PAGO DE SE RVIC BOF MEX TENIS S.A. DE C.V .*STFEDSEQ:B1Q8981R004078*TIME:1315*YOUR REF NONREF*OUR REF:051500808</t>
  </si>
  <si>
    <t>PMT-S151-204303</t>
  </si>
  <si>
    <t>Bath &amp; Body Works Direct, Inc.</t>
  </si>
  <si>
    <t>ACH CONCENTRATION CREDIT ACH CASH CONCENTRATION L BRAND 1332-EDI PAYMNT L BRAND 1 EDI PAYMNT 2003275583</t>
  </si>
  <si>
    <t>PMT-S151-175385</t>
  </si>
  <si>
    <t>CultureWorks Inc</t>
  </si>
  <si>
    <t>ACH CONCENTRATION CREDIT ACH CASH CONCENTRATION CULTUREWORKS,IN-BILL.COM CultureWo Bill.com                                                         025BRMYDKVMZ 65U</t>
  </si>
  <si>
    <t>PMT-S151-206730</t>
  </si>
  <si>
    <t>ACH CONCENTRATION CREDIT ACH CASH CONCENTRATION 200-ACTIVISION P-6531011921 200-ACTIV 6531011921 6531011921</t>
  </si>
  <si>
    <t>PMT-S151-212754</t>
  </si>
  <si>
    <t>McDaniels Marketing</t>
  </si>
  <si>
    <t>PMT-S151-214232</t>
  </si>
  <si>
    <t>Mendaera, Inc</t>
  </si>
  <si>
    <t>PMT-S151-146301</t>
  </si>
  <si>
    <t>WeGo Public Transit</t>
  </si>
  <si>
    <t>PMT-S151-223214</t>
  </si>
  <si>
    <t>TFI Family Services, Inc.</t>
  </si>
  <si>
    <t>ACH CONCENTRATION CREDIT ACH CASH CONCENTRATION TFI FAMILY SERVI-ACH PAYMEN TFI Famil ACH Paymen V000000551</t>
  </si>
  <si>
    <t>PMT-S151-145257</t>
  </si>
  <si>
    <t>SVB Leerink</t>
  </si>
  <si>
    <t>ACH CONCENTRATION CREDIT ACH CASH CONCENTRATION LEERINK PRTNRS-TRADE PAY LEERINK P TRADE PAY MELTWATER</t>
  </si>
  <si>
    <t>PMT-S151-206955</t>
  </si>
  <si>
    <t>FOULGER-PRATT</t>
  </si>
  <si>
    <t>ACH CONCENTRATION CREDIT ACH CASH CONCENTRATION FOULGERPRATT PMD-PAYMENT FOULGERPR PAYMENT    5543440</t>
  </si>
  <si>
    <t>PMT-S151-189268</t>
  </si>
  <si>
    <t>RISE INTERNATIONAL GROUP LIMITED</t>
  </si>
  <si>
    <t>BOOK TRANSFER CREDIT 41BOOK CREDIT MELTWATER NEWS US INC*ORG:ULUTECH IN TERNATIONAL TRADING LLC,2F 011 OBAID BUD NAIF *OGB:EMIRATES NBD BANK PJ,DUBAI BANIYAS ROAD*BNF:MELTWATER NEWS US INC,REDWOOD CITY         CA/US,STE 165*OB I:INS151564791*STBOOK*TIME:0622*YOUR REF:EPHCOP16603XIGD9*OUR REF:166272624</t>
  </si>
  <si>
    <t>PMT-S151-205267</t>
  </si>
  <si>
    <t>OPERADORA HOTELERA DEL CORREDOR MAYAKOBA</t>
  </si>
  <si>
    <t>INCOMING MONEY TRANSFER 53RECD FED BANK OF AMERICA N.A.*ORG:1/OPERADORA HO TELERA DEL CORREDO,3/MX/MEXICO,2/PLAYA DEL*OGB:BBVA BANCOMER,S.A.,MEXICO,120 0,AVENIDA UNIVERSIDAD*BNF:MELTWATER NEWS US INC,REDWOOD CITY         CA/US,2 75 SHO*OBI:444*STFEDSEQ:B1Q8982R000314*TIME:2216*YOUR REF:1074658586010177*OU R REF:129062691</t>
  </si>
  <si>
    <t>PMT-S151-161929</t>
  </si>
  <si>
    <t>CommunityAmerica Credit Union</t>
  </si>
  <si>
    <t>ACH CONCENTRATION CREDIT ACH CORP TRADE PAYMENT FROM COMMUNITYAMERICA COMMUNITY DIRECT-PAY 30422800</t>
  </si>
  <si>
    <t>PMT-S151-214621</t>
  </si>
  <si>
    <t>ACH CONCENTRATION CREDIT ACH CASH CONCENTRATION AMAZON.COM-EDI PYMNTS AMAZON.CO EDI PYMNTS DASACDYOVX4SPOU</t>
  </si>
  <si>
    <t>PMT-S151-154377</t>
  </si>
  <si>
    <t>AIDS Healthcare Foundation</t>
  </si>
  <si>
    <t>PMT-S151-153768 (09/06/2022)</t>
  </si>
  <si>
    <t>PMT-S151-221854</t>
  </si>
  <si>
    <t>ACH CONCENTRATION CREDIT ACH CASH CONCENTRATION AMERICAN INDIAN-AMINDIAN American  AMINDIAN                                               3441</t>
  </si>
  <si>
    <t>PMT-S151-148522</t>
  </si>
  <si>
    <t>Peak Vista Community Health Centers</t>
  </si>
  <si>
    <t>ACH CONCENTRATION CREDIT ACH CASH CONCENTRATION PEAK VISTA COMM-TRADE PAY Peak Vist TRADE PAY VMEL03</t>
  </si>
  <si>
    <t>PMT-S151-152042</t>
  </si>
  <si>
    <t>iProspect Colombia S.A.S</t>
  </si>
  <si>
    <t>Yangzom Vitali</t>
  </si>
  <si>
    <t>INCOMING MONEY TRANSFER 53RECD FED BANK OF AMERICA N.A.*ORG:IPROSPECT COLO MBIA SAS,BOGOTA COLOMBIA,CARRERA 19 C 91 6*OGB:SCOTIABANK COLPATRIA S.A.,BOGO TA,TORRE COLPATRIA,CARRERA*BNF:MELTWATER NEWS US INC,SAN FRANCISCO        CA/ US,STE 100*OBI:ACC INVOICE IN-S151-533120*STFEDSEQ:B1Q8981R003908*TIME:1848*Y OUR REF:KTPP2090515*OUR REF:217618348</t>
  </si>
  <si>
    <t>PMT-S151-146617</t>
  </si>
  <si>
    <t>American Oncology Network</t>
  </si>
  <si>
    <t>Check</t>
  </si>
  <si>
    <t>PMT-S151-150272</t>
  </si>
  <si>
    <t>Fishburne Military School</t>
  </si>
  <si>
    <t>PMT-S151-147510</t>
  </si>
  <si>
    <t>High Bar Brands</t>
  </si>
  <si>
    <t>PMT-S151-169389</t>
  </si>
  <si>
    <t>FOREIGN REMITTANCE CREDIT 33RECD CHIP DEUTSCHE BANK AG*ORG:EPPENDORF NEDERLAND B .V.,NETHERLANDS-NL,6546 BC  NIJMEGE*OGB:DEUTSCHE BANK AG,AMSTERDAM,DE ENTREE 196*BNF:MELTWATER NEWS US INC,REDWOOD CITY         CA/US,STE 165*OBI:2023-400 -003 05/01/23*STCHIPSEQ:0022320*TIME:0000*YOUR REF:SIP/02.06-10:52*OUR REF:15 8317944</t>
  </si>
  <si>
    <t>PMT-S151-209465</t>
  </si>
  <si>
    <t>L.A. Care Health Plan</t>
  </si>
  <si>
    <t>ACH CONCENTRATION CREDIT ACH CASH CONCENTRATION L.A. CARE HEALTH-122000661</t>
  </si>
  <si>
    <t>PMT-S151-208422</t>
  </si>
  <si>
    <t>Survivors Network of those Abused by Priests (SNAP)</t>
  </si>
  <si>
    <t>PMT-S151-209557</t>
  </si>
  <si>
    <t>Green Check Verified</t>
  </si>
  <si>
    <t>ACH CONCENTRATION CREDIT ACH CASH CONCENTRATION GREEN CHECK VERI-MERCURYACH Green Che MercuryACH                                                   MRCR-QVA1TXX X5U</t>
  </si>
  <si>
    <t>PMT-S151-164531</t>
  </si>
  <si>
    <t>ACH CONCENTRATION CREDIT ACH CORP TRADE PAYMENT FROM HOPE GAS,INC. HOPE GAS,PAYMENTS 188413095</t>
  </si>
  <si>
    <t>PMT-S151-149275</t>
  </si>
  <si>
    <t>Matrix LLC</t>
  </si>
  <si>
    <t>PMT-S151-211737</t>
  </si>
  <si>
    <t>Thunder Tech</t>
  </si>
  <si>
    <t>ACH CONCENTRATION CREDIT ACH CASH CONCENTRATION THUNDERTECH-9.30.25 THUNDERTE 9.30.25 MELTWATER</t>
  </si>
  <si>
    <t>PMT-S151-176048</t>
  </si>
  <si>
    <t>National Sorghum Producers</t>
  </si>
  <si>
    <t>PMT-S151-175765</t>
  </si>
  <si>
    <t>Insight Venture Management</t>
  </si>
  <si>
    <t>ACH CONCENTRATION CREDIT ACH CORP TRADE PAYMENT FROM INSIGHT VENTURE INSIGHT V DIRECT-PAY 53852876</t>
  </si>
  <si>
    <t>PMT-S151-221300</t>
  </si>
  <si>
    <t>ACH CONCENTRATION CREDIT ACH CASH CONCENTRATION AMERICAN FOREIGN-BILL.COM American  Bill.com                                               015MRNWKHRWP 41O</t>
  </si>
  <si>
    <t>PMT-S151-157433</t>
  </si>
  <si>
    <t>ACH CONCENTRATION CREDIT ACH CASH CONCENTRATION UNITED NATIONS-3305888902 UNITED NA 3305888902                                             3305888902</t>
  </si>
  <si>
    <t>PMT-S151-156027</t>
  </si>
  <si>
    <t>Feeding Westchester</t>
  </si>
  <si>
    <t>PMT-S151-175314</t>
  </si>
  <si>
    <t>BioSTL</t>
  </si>
  <si>
    <t>ACH CONCENTRATION CREDIT ACH CASH CONCENTRATION BIOGENFU1 3638-PAYMENTS BIOGENFU1 PAYMENTS Meltwater News</t>
  </si>
  <si>
    <t>PMT-S151-195665</t>
  </si>
  <si>
    <t>Cover Genius Trading Pty Ltd</t>
  </si>
  <si>
    <t>COVER GENIUS HOLDINGS PTY LTD COUPA PAY 821-2622 COVER GENIUS HOL DINGS PTY LTD TMATE /ROC/12397127124613 FX USD 22000.00 AT 0.6756200 200226969/TMS/2024-10-27T21:33:18 GMT/MID/0.661282</t>
  </si>
  <si>
    <t>PMT-S151-157478</t>
  </si>
  <si>
    <t>Concord University</t>
  </si>
  <si>
    <t>IN-S151-544931 got credited CM-S151-13155</t>
  </si>
  <si>
    <t>PMT-S151-215552</t>
  </si>
  <si>
    <t>ACH CONCENTRATION CREDIT ACH CASH CONCENTRATION ELEVATED CULTIVA-E CULT ELEVATED  E CULT     E CULTIVATION</t>
  </si>
  <si>
    <t>PMT-S151-157014</t>
  </si>
  <si>
    <t>ACH CONCENTRATION CREDIT ACH CORP TRADE PAYMENT FROM LAWRENCE LIV NAT LAWRENCE  PAYABLES LAWRENCE LIVERM</t>
  </si>
  <si>
    <t>PMT-S151-213059</t>
  </si>
  <si>
    <t>Echelon Insights</t>
  </si>
  <si>
    <t>FOREIGN REMITTANCE CREDIT 33RECD CHIP PNC BANK*ORG:ECHELON INSIGHTS LLC,ALEX ANDRIA VA 22314 3029 US,STE 250*OGB:PNC BANK,N.A.,US/CAMP HILL,17001-0297,PA 500 FIRST AVEN*BNF:MELTWATER NEWS US INC,REDWOOD CITY         CA/US,275 SHO* BBI:/INT/202510884077*STCHIPSEQ:00158840*TIME:0111*YOUR REF:IN-S151-587978*OU R REF:303170378</t>
  </si>
  <si>
    <t>PMT-S151-217537</t>
  </si>
  <si>
    <t>Elevate Textiles</t>
  </si>
  <si>
    <t>ACH CONCENTRATION CREDIT ACH CORP TRADE PAYMENT FROM ELEVATE TEXTILES ELEVATE T CORP PMT 488174</t>
  </si>
  <si>
    <t>PMT-S151-192922</t>
  </si>
  <si>
    <t>ACH CONCENTRATION CREDIT ACH CASH CONCENTRATION DANIEL J EDELMAN-PAYMENTS Daniel J  PAYMENTS                                                      01VEND031547 USD</t>
  </si>
  <si>
    <t>PMT-S151-220382</t>
  </si>
  <si>
    <t>Adobe Inc</t>
  </si>
  <si>
    <t>ACH CONCENTRATION CREDIT ACH CASH CONCENTRATION ADOBE INC.-PAYMENTS Adobe Inc PAYMENTS 5101172354</t>
  </si>
  <si>
    <t>PMT-S151-212382</t>
  </si>
  <si>
    <t>National Congress of American Indians</t>
  </si>
  <si>
    <t>PMT-S151-158621</t>
  </si>
  <si>
    <t>Registrar Corp</t>
  </si>
  <si>
    <t>PMT-S151-166131</t>
  </si>
  <si>
    <t>Empower Healthcare Solutions, LLC</t>
  </si>
  <si>
    <t>ACH CONCENTRATION CREDIT ACH CASH CONCENTRATION EMPOWER HEALTH-VENDORPMT EMPOWER H VENDORPMT                                              VEN-00076</t>
  </si>
  <si>
    <t>PMT-S151-163655</t>
  </si>
  <si>
    <t>Spotted MP (Marketing + Public Relations)</t>
  </si>
  <si>
    <t>PMT-S151-163322</t>
  </si>
  <si>
    <t>Endeavor Real Estate Group</t>
  </si>
  <si>
    <t>PMT-S151-164379</t>
  </si>
  <si>
    <t>The Bridgespan Group</t>
  </si>
  <si>
    <t>INCOMING MONEY TRANSFER 53RECD FED BANK OF AMERICA N.A.*ORG:THE BRIDGESPA N GROUP INC,02116 US MA,BOSTON,535 BOYLSTON*OGB:BANK OF AMERICA N.A.,NEW YORK 100 WEST 33RD STREET*BNF:MELTWATER NEWS US INC,REDWOOD CITY         CA/US,ST E 165*OBI:THE BRIDGESPAN GROUP INVOICE IN -S151-550647*STFEDSEQ:B1Q8981R00313 3*TIME:1508*YOUR REF:2333E05202UL2A81*OUR REF 062610842</t>
  </si>
  <si>
    <t>PMT-S151-207582</t>
  </si>
  <si>
    <t>Third Round Analytics Capital, LLC</t>
  </si>
  <si>
    <t>INCOMING MONEY TRANSFER 53RECD FED COLUMN NATIONAL ASSOCIATION*ORG:TRAC UNICO RN FUND II,SONOMA,CA,US,557 THIRD STREET EA*BNF:MELTWATER NEWS US INC,REDW OOD CITY         CA/US,275 SHO*OBI:FFC MELTWATER NEWS US INC DBA OWLER 183332 760005 UNICORN FUND II*STFEDSEQ:B1Q8981R003826*TIME:1701*YOUR REF:NONREF*OUR REF:191469883</t>
  </si>
  <si>
    <t>PMT-S151-163637</t>
  </si>
  <si>
    <t>International Rescue Committee</t>
  </si>
  <si>
    <t>ACH CONCENTRATION CREDIT ACH CASH CONCENTRATION INTLRESC-INTLRESC INTLRESC  INTLRESC                             0 0031625</t>
  </si>
  <si>
    <t>PMT-S151-219378</t>
  </si>
  <si>
    <t>Fishman</t>
  </si>
  <si>
    <t>PMT-S151-168472</t>
  </si>
  <si>
    <t>FOREIGN REMITTANCE CREDIT 33RECD CHIP JPMORGAN CHASE BANK*ORG:AMARIN SWITZERLAN D GMBH,CH/ZUG 6300,BAARERSTRASSE 75*OGB:JPMORGAN CHASE BANK,N.A.,ZUERICH,DRE IKOENIGSTRASSE 21*BNF:MELTWATER NEWS US INC,SAN FRANCISCO        CA/US,225 BU S*OBI:/ROC/649*STCHIPSEQ:0150770*TIME:0208*YOUR REF:SWF OF 23/05/19*OUR REF:1 39399668</t>
  </si>
  <si>
    <t>PMT-S151-152778</t>
  </si>
  <si>
    <t>Rappi Latin America</t>
  </si>
  <si>
    <t>FOREIGN REMITTANCE CREDIT 33RECD CHIP CITIBANK NA*ORG:RAPPI SAS - USD,CALLE 93 NUMERO 19-58  BOGOTA*OGB:CITIBANK NA,NEW YORK*BNF:MELTWATER NEWS US INC,SAN F RANCISCO        CA/US,STE 100*STCHIPSEQ:0442872*TIME:1420*YOUR REF:NONREF*OUR REF:231572351</t>
  </si>
  <si>
    <t>PMT-S151-160523</t>
  </si>
  <si>
    <t>ACH CONCENTRATION CREDIT ACH CASH CONCENTRATION ASSOCIATION OF C-RECEIVABLE Associati                            R eceivable                                                       016WJTGPY2HQS J0</t>
  </si>
  <si>
    <t>PMT-S151-207581</t>
  </si>
  <si>
    <t>INCOMING MONEY TRANSFER 53RECD FED COLUMN NATIONAL ASSOCIATION*ORG:TRAC UNICO RN FUND 1,LP,SONOMA,CA,US,557 THIRD STREET*BNF:MELTWATER NEWS US INC,REDW OOD CITY         CA/US,275 SHO*OBI:FFC MELTWATER NEWS US INC DBA OWLER 183332 760005 UNICORN FUND*STFEDSEQ:B1Q8982R003810*TIME:1701*YOUR REF:NONREF*OUR REF :191469884</t>
  </si>
  <si>
    <t>PMT-S151-164601</t>
  </si>
  <si>
    <t>VITRO VIDRIERA MONTERREY</t>
  </si>
  <si>
    <t>FOREIGN REMITTANCE CREDIT 33RECD CHIP BANK OF AMERICA N.A.*ORG:VITRO VIDRIER A MONTE RREY SA D,MEX,64410 MONTERREY,KERAM*OGB:BANCO MERCANTIL DEL NORTE,S. A.,IN,MONTERREY,COL. PRIMA*BNF:MELTWATER NEWS US INC,REDWOOD CITY         CA /US,STE 165*OBI:XXXXXXXXXXXXXXXXXXXXXXXXXXXXXXXXXXX XXXXXXXXXXXXXXXXXXXXXXXXX XXXXXXXXXX XXXXXXXXXXXXXXXXXXXXXXXXX+*STCHIPSEQ:0349018*TIME:1016*YOUR REF:42 64968275301103*OUR REF:067539921</t>
  </si>
  <si>
    <t>PMT-S151-182181</t>
  </si>
  <si>
    <t>University of Massachusetts Lowell</t>
  </si>
  <si>
    <t>PMT-S151-207580</t>
  </si>
  <si>
    <t>INCOMING MONEY TRANSFER 53RECD FED COLUMN NATIONAL ASSOCIATION*ORG:THIRD ROUN D ANALYTICS CAPITAL,LLC,SONOMA,CA,US,557 3*BNF:MELTWATER NEWS US INC,REDW OOD CITY         CA/US,275 SHO*OBI:FFC MELTWATER NEWS US INC DBA OWLER 183332 760005 TRAC LLC SWEEP ACCOUN T*STFEDSEQ:B1Q8981R003827*TIME:1701*YOUR REF:NON REF*OUR REF:191469885</t>
  </si>
  <si>
    <t>PMT-S151-218355</t>
  </si>
  <si>
    <t>Heartland Institute</t>
  </si>
  <si>
    <t>ACH CONCENTRATION CREDIT ACH CASH CONCENTRATION HEARTLAND INSTIT-PAYMENTS HEARTLAND PAYMENTS                                               MELTWATER</t>
  </si>
  <si>
    <t>PMT-S151-196620</t>
  </si>
  <si>
    <t>Nez Perce Tribe</t>
  </si>
  <si>
    <t>PMT-S151-152879</t>
  </si>
  <si>
    <t>Caribbean Ideas</t>
  </si>
  <si>
    <t>FOREIGN REMITTANCE CREDIT 33RECD CHIP JPMORGAN CHASE BANK*ORG:CARIBBEAN IDEAS L IMITED,TRINIDAD AND TOBAGO,ST CLAIR POR*OGB:REPUBLIC BANK LIMITED,PORT OF SPA IN,59 INDEPENDENCE SQUA*BNF:MELTWATER NEWS US INC,SAN FRANCISCO        CA/US STE 100*OBI:INV IN-S151-540721*BBI:/BNF/YR 601 MONTGOMERY ST NO 108 SA //N FR ANCISCO CA 94105 USA BR.*STCHIPSEQ:0502316*TIME:1219*YOUR REF:SWF OF 22/08/22 *OUR REF:234559427</t>
  </si>
  <si>
    <t>PMT-S151-172692</t>
  </si>
  <si>
    <t>Planting Hope Brands LLC</t>
  </si>
  <si>
    <t>ACH CONCENTRATION CREDIT ACH CASH CONCENTRATION PLANTING HOPE-CORP PAY PLANTING  CORP PAY                        M ELTWATER</t>
  </si>
  <si>
    <t>PMT-S151-163634</t>
  </si>
  <si>
    <t>ACH CONCENTRATION CREDIT ACH CASH CONCENTRATION INTLRESC-INTLRESC INTLRESC  INTLRESC                             0 0031619</t>
  </si>
  <si>
    <t>PMT-S151-163635</t>
  </si>
  <si>
    <t>ACH CONCENTRATION CREDIT ACH CASH CONCENTRATION INTLRESC-INTLRESC INTLRESC  INTLRESC                             0 0031621</t>
  </si>
  <si>
    <t>PMT-S151-163636</t>
  </si>
  <si>
    <t>ACH CONCENTRATION CREDIT ACH CASH CONCENTRATION INTLRESC-INTLRESC INTLRESC  INTLRESC                             0 0031620</t>
  </si>
  <si>
    <t>PMT-S151-174160</t>
  </si>
  <si>
    <t>UT Institution: University of Texas Arlington</t>
  </si>
  <si>
    <t>ACH CONCENTRATION CREDIT ACH CORP TRADE PAYMENT FROM UT ARLINGTON UT ARLING PAYMENTS AP0001610738</t>
  </si>
  <si>
    <t>PMT-S151-153579</t>
  </si>
  <si>
    <t>Wisconsin Department of Natural Resources</t>
  </si>
  <si>
    <t>PMT-S151-217189</t>
  </si>
  <si>
    <t>Houston Community College (Winvale)</t>
  </si>
  <si>
    <t>Emily Archer</t>
  </si>
  <si>
    <t>PMT-S151-210889 to be applied to invoice IN-S151-589418</t>
  </si>
  <si>
    <t>PMT-S151-207996</t>
  </si>
  <si>
    <t>ACH CONCENTRATION CREDIT ACH CASH CONCENTRATION ENVIOLOL-PAYMENTS ENVIOLOL  PAYMENTS                             0 000010597</t>
  </si>
  <si>
    <t>PMT-S151-159398</t>
  </si>
  <si>
    <t>Spring Hill College</t>
  </si>
  <si>
    <t>ACH CONCENTRATION CREDIT ACH CASH CONCENTRATION SHC A/P-AP DEPOSIT SHC A/P   AP DEPOSIT 405252</t>
  </si>
  <si>
    <t>PMT-S151-207995</t>
  </si>
  <si>
    <t>ACH CONCENTRATION CREDIT ACH CASH CONCENTRATION ENVIOLOL-PAYMENTS ENVIOLOL  PAYMENTS                             0 000027273</t>
  </si>
  <si>
    <t>PMT-S151-203040</t>
  </si>
  <si>
    <t>MGA Entertainment Inc</t>
  </si>
  <si>
    <t>ACH CONCENTRATION CREDIT ACH CORP TRADE PAYMENT FROM MGA ENTERTAINMEN MGA ENTER 1001000548 10010005481</t>
  </si>
  <si>
    <t>PMT-S151-173331</t>
  </si>
  <si>
    <t>Soliant Health</t>
  </si>
  <si>
    <t>ACH CREDIT ACH DEPOSIT FROM SOLIANT HEALTH,-PAYMENTJNL                                       S OLIANT H PAYMENTJNL                                             V00001448</t>
  </si>
  <si>
    <t>PMT-S151-149001</t>
  </si>
  <si>
    <t>OSI Group</t>
  </si>
  <si>
    <t>ACH CONCENTRATION CREDIT ACH CORP TRADE PAYMENT FROM OSI</t>
  </si>
  <si>
    <t>PMT-S151-206477</t>
  </si>
  <si>
    <t>GTI Energy</t>
  </si>
  <si>
    <t>ACH CONCENTRATION CREDIT ACH CORP TRADE PAYMENT FROM GTI ENERGY GTI ENERG EFT        23137</t>
  </si>
  <si>
    <t>PMT-S151-216085</t>
  </si>
  <si>
    <t>University of Michigan at Dearborn</t>
  </si>
  <si>
    <t>PMT-S151-177825</t>
  </si>
  <si>
    <t>Jackson Hole Chamber of Commerce</t>
  </si>
  <si>
    <t>PMT-S151-210673</t>
  </si>
  <si>
    <t>First Baptist Church Atlanta</t>
  </si>
  <si>
    <t>ACH CREDIT ACH DEPOSIT FROM FIRST BAPTIST CH-AUTOPAYMNT FIRST BAP AUTOPAYMNT 9097</t>
  </si>
  <si>
    <t>PMT-S151-170418</t>
  </si>
  <si>
    <t>Edina Public Schools</t>
  </si>
  <si>
    <t>PMT-S151-148226</t>
  </si>
  <si>
    <t>Oakland County Board of Commissioners</t>
  </si>
  <si>
    <t>ACH CONCENTRATION CREDIT ACH CORP TRADE PAYMENT FROM OAKLAND COUNTY OAKLAND C SUPPLRPMTS 220527MELTWATER</t>
  </si>
  <si>
    <t>PMT-S151-154746</t>
  </si>
  <si>
    <t>Oil Change International</t>
  </si>
  <si>
    <t>ACH CONCENTRATION CREDIT ACH CASH CONCENTRATION OIL CHANGE INTER-BILL.COM Oil Chang Bill.com                                                   025QWMWVXHB0 T54</t>
  </si>
  <si>
    <t>PMT-S151-199359</t>
  </si>
  <si>
    <t>Emerald Communities</t>
  </si>
  <si>
    <t>PMT-S151-152381</t>
  </si>
  <si>
    <t>Varallo Public Relations</t>
  </si>
  <si>
    <t>PMT-S151-188652</t>
  </si>
  <si>
    <t>GoldsmithPR</t>
  </si>
  <si>
    <t>ACH CREDIT ACH DEPOSIT FROM E GOLDSMITH-SENDER E GOLDSMI SENDER 722173348</t>
  </si>
  <si>
    <t>PMT-S151-197803</t>
  </si>
  <si>
    <t>Charter One</t>
  </si>
  <si>
    <t>PMT-S151-148831</t>
  </si>
  <si>
    <t>National Network to End Domestic Violence</t>
  </si>
  <si>
    <t>Stripe</t>
  </si>
  <si>
    <t>PMT-S151-157615</t>
  </si>
  <si>
    <t>University at Buffalo, State University of New York</t>
  </si>
  <si>
    <t>PMT-S151-205860</t>
  </si>
  <si>
    <t>ACH CONCENTRATION CREDIT ACH CASH CONCENTRATION SMI1 TREAS 310-  MISC PAY SMI1 TREA   MISC                       P AY 208289528330200</t>
  </si>
  <si>
    <t>PMT-S151-153565</t>
  </si>
  <si>
    <t>Richard Attias &amp; Associates</t>
  </si>
  <si>
    <t>INCOMING MONEY TRANSFER 53RECD FED INTERAUDI BANK*ORG:RICHARD ATTIAS + ASSOC IATES LLC,GREENWICH,CT 06830     *BNF:MELTWATER NEWS US INC,SAN FRANCISCO CA/US,STE 100*OBI:INV. IN-S151-541218 / ANNUAL SUBSCR IPTION*BBI:OUR PS0 010435850 MELTWATER INV. IN-S151-541218 / ANNUAL SUBSCR IPTION/ALL FEES PAID BY SENDER*STFEDSEQ:B1Q8981R001698*TIME:0940*YOUR REF:NONREF*OUR REF:244518923</t>
  </si>
  <si>
    <t>PMT-S151-163515</t>
  </si>
  <si>
    <t>SIGNIFY MEXICO SA DE CV</t>
  </si>
  <si>
    <t>FOREIGN REMITTANCE CREDIT 33RECD CHIP CITIBANK NA*ORG:SIGNIFY ARGENTINA SA,NICO LAS DE VEDIA 3892*OGB:CITIBANK N.A.,SILVER SPRING,12401 PROSPERITY DRIVE*BNF: MELTWATER NEWS US INC,SAN FRANCISCO CA/US,STE 100*STCHIPSEQ:0473929*TI ME:1430*YOUR R (more...)</t>
  </si>
  <si>
    <t>PMT-S151-222271</t>
  </si>
  <si>
    <t>The Stronach Group</t>
  </si>
  <si>
    <t>ACH CONCENTRATION CREDIT ACH CASH CONCENTRATION 1/ST LLC-PAYMENTJNL 1/ST LLC  PAYMENTJNL MELTW-CORP</t>
  </si>
  <si>
    <t>ACH CONCENTRATION CREDIT ACH CASH CONCENTRATION ATLANTIC COAST C-ACCTVERIFY Atlantic                             ACCTV ERIFY                                                       026UKBYPU1XBJZA</t>
  </si>
  <si>
    <t>10C (106) - Sysomos US</t>
  </si>
  <si>
    <t>PMT-S130B-1757</t>
  </si>
  <si>
    <t>Shiseido Americas Corporation</t>
  </si>
  <si>
    <t>Marta Boytcheva</t>
  </si>
  <si>
    <t>Duplicate payment</t>
  </si>
  <si>
    <t>PMT-S130B-1121</t>
  </si>
  <si>
    <t>WFB LB 08/12/19</t>
  </si>
  <si>
    <t>PMT-S130B-1558</t>
  </si>
  <si>
    <t>DWA Media</t>
  </si>
  <si>
    <t>WFB Wire 11/8/19</t>
  </si>
  <si>
    <t>PMT-S130B-1237</t>
  </si>
  <si>
    <t>DUMMY CUSTOMER_CASHAPPS 106 - Sysomos US Inc</t>
  </si>
  <si>
    <t>WFB wire 081619 - Unknown customer: LOREL2US PAYMENTS 190816 20017191352019 \NTE*ZZZ*1906130000560\DTM*003*20180531\SE*25*0003036750795 20017191352019 R00000091003832142394</t>
  </si>
  <si>
    <t>PMT-S130B-0804</t>
  </si>
  <si>
    <t>Intel Corporation</t>
  </si>
  <si>
    <t>WFB wire 06/13/19 - overpaid their two invoices</t>
  </si>
  <si>
    <t>PMT-S130B-0894</t>
  </si>
  <si>
    <t>New Avon</t>
  </si>
  <si>
    <t>WFB wire 07/01/19 - customer overpaid by 4009.53 - sent inquiry to collection team.</t>
  </si>
  <si>
    <t>PMT-S130B-1773</t>
  </si>
  <si>
    <t>DEPOSIT MADE IN A BRANCH/STORE</t>
  </si>
  <si>
    <t>PMT-S130B-0257</t>
  </si>
  <si>
    <t>McGarryBowen</t>
  </si>
  <si>
    <t>Jennifer Bourne</t>
  </si>
  <si>
    <t>This seems to be an duplicate payment for INV00048830. This inv was paid 1/15/19 PMT-S130B-0094</t>
  </si>
  <si>
    <t>PMT-S130B-1488</t>
  </si>
  <si>
    <t>The Tombras Group</t>
  </si>
  <si>
    <t>WFB LB 10/22/19</t>
  </si>
  <si>
    <t>PMT-S130B-0895</t>
  </si>
  <si>
    <t>Lincoln Technical Institute, inc</t>
  </si>
  <si>
    <t>WFB LB 07/03/19 - This invoice was paid 6/26/19 - there is still one past due invoice due, IN-S130B-0986 $2,562.47 - Marta will inquire with customer how to apply payment</t>
  </si>
  <si>
    <t>PMT-S130B-1029</t>
  </si>
  <si>
    <t>Novetta, Inc</t>
  </si>
  <si>
    <t>WFB LB 07/29/19</t>
  </si>
  <si>
    <t>PMT-S130B-0870</t>
  </si>
  <si>
    <t>W.S. BADCOCK AP AP PAYMENT 190625 XXXXX2882 SYSOMOS US INC 9930786502 121042882 R00000091003850852512 - This customer has a couple cus' accts. waiting for remit info</t>
  </si>
  <si>
    <t>PMT-S130B-0487</t>
  </si>
  <si>
    <t>Convince &amp; Convert LLC</t>
  </si>
  <si>
    <t>WFB wire 3/29/19 - IN-S130B-1447 &amp; 1448 - There's no invoice for 1448 yet - leaving 2,228.81 unapplied</t>
  </si>
  <si>
    <t>PMT-S130B-1382</t>
  </si>
  <si>
    <t>WFB Wire 9/11/19 - Pending remit info from collections team</t>
  </si>
  <si>
    <t>PMT-S130B-0212</t>
  </si>
  <si>
    <t>Jo Malone Limited</t>
  </si>
  <si>
    <t>INV45339 is partially credited (service credit) but paid in full. Leaving balance open on the account.</t>
  </si>
  <si>
    <t>PMT-S130B-0524</t>
  </si>
  <si>
    <t>WFB Wire 04/04/19 - For: INV00046466 per remit - the remit shows the invoice to have an original amt of $4125.00.  with bank fee, overpayment of invoice by $1,082.82</t>
  </si>
  <si>
    <t>PMT-S130B-0515</t>
  </si>
  <si>
    <t>La Mer</t>
  </si>
  <si>
    <t>PMT-S130B-0754</t>
  </si>
  <si>
    <t>SA-S151-EN-1423215 Onesource Virtual is a 102-US customer but wired payment into WFB: OneSource Virtua 0000108452 190530 MNY-0005114478 Meltwater Group 9367888501 MNY-0005114478 R00000091004431085254</t>
  </si>
  <si>
    <t>PMT-S130B-1683</t>
  </si>
  <si>
    <t>Mary Kay Inc.</t>
  </si>
  <si>
    <t>WFB LB 12/30/19</t>
  </si>
  <si>
    <t>PMT-S130B-0131</t>
  </si>
  <si>
    <t>Apple, Inc.</t>
  </si>
  <si>
    <t>No remit-left open on Account</t>
  </si>
  <si>
    <t>PMT-S130B-1394</t>
  </si>
  <si>
    <t>Sterling Jewelers, Inc. (US)</t>
  </si>
  <si>
    <t>WFB LB 10/1/19</t>
  </si>
  <si>
    <t>PMT-S130B-1835</t>
  </si>
  <si>
    <t>Mondelez Deutschland Services</t>
  </si>
  <si>
    <t>WFB Wire 2/26/20</t>
  </si>
  <si>
    <t>PMT-S130B-1741</t>
  </si>
  <si>
    <t>RevHealth LLC</t>
  </si>
  <si>
    <t>WFB LB 1/21/20</t>
  </si>
  <si>
    <t>PMT-S130B-1349</t>
  </si>
  <si>
    <t>BlaineTurner Advertising</t>
  </si>
  <si>
    <t>WFB LB 09/23/19</t>
  </si>
  <si>
    <t>111 - Canada</t>
  </si>
  <si>
    <t>PMT-S130-48216</t>
  </si>
  <si>
    <t>CAD</t>
  </si>
  <si>
    <t>DUMMY CUSTOMER_CASHAPPS 111 - Canada</t>
  </si>
  <si>
    <t>ACH: THE CURRENCY CL  THE CURRENCY CLOUD LIMITED RE:Meltwater News Canada Inc</t>
  </si>
  <si>
    <t>PMT-S130-38086</t>
  </si>
  <si>
    <t>CAMBRIDGE MERC MSP EF0160001001957000000163</t>
  </si>
  <si>
    <t>PMT-S130-44262</t>
  </si>
  <si>
    <t>RBC payment - FUNDS TRANSFER CR TT CREDIT ALLIA</t>
  </si>
  <si>
    <t>PMT-S130-40790</t>
  </si>
  <si>
    <t>Réseau de Transport de Longueuil (RTL Longueuil )</t>
  </si>
  <si>
    <t>RTL MSP EF0160006100824168476747</t>
  </si>
  <si>
    <t>PMT-S130-37439</t>
  </si>
  <si>
    <t>Telus Health</t>
  </si>
  <si>
    <t>012588888708AQT MSP EF0160001001679000001402-IN-S130-441322 got credited &amp; paid</t>
  </si>
  <si>
    <t>PMT-S130-35709</t>
  </si>
  <si>
    <t>Tilray</t>
  </si>
  <si>
    <t>lockbox</t>
  </si>
  <si>
    <t>PMT-S130-43381</t>
  </si>
  <si>
    <t>RBC payment - 4/8/24 FUNDS TRANSFER CR TT BIRD TREASUR</t>
  </si>
  <si>
    <t>PMT-S130-47858</t>
  </si>
  <si>
    <t>Lululemon Athletica Canada Inc</t>
  </si>
  <si>
    <t>LULULEMON ATHLETICA CANADA INC.</t>
  </si>
  <si>
    <t>PMT-S130-37873</t>
  </si>
  <si>
    <t>Astrazeneca Canada Inc</t>
  </si>
  <si>
    <t>Frida Emri</t>
  </si>
  <si>
    <t>ASTRAZENECA CAN MSP EF0160003008615316917328</t>
  </si>
  <si>
    <t>PMT-S130-40348</t>
  </si>
  <si>
    <t>DP World</t>
  </si>
  <si>
    <t>DP World (Canad INS EF0160002208761829087989</t>
  </si>
  <si>
    <t>Not Deposited</t>
  </si>
  <si>
    <t>PMT-S130-47072</t>
  </si>
  <si>
    <t>Maple Leafs Sports &amp; Entertainment - MLSE</t>
  </si>
  <si>
    <t>Account Payable Pmt MLS LTD</t>
  </si>
  <si>
    <t>PMT-S130-37935</t>
  </si>
  <si>
    <t>Celiac Canada</t>
  </si>
  <si>
    <t>THE CANADIAN CE AP EF0160002208134539496580</t>
  </si>
  <si>
    <t>PMT-S130-48077</t>
  </si>
  <si>
    <t>Weber Shandwick</t>
  </si>
  <si>
    <t>ACH: Weber Shandwick  WEBER SHANDWICK CAN RE:MELTWATER NEWS CANADA INC</t>
  </si>
  <si>
    <t>PMT-S130-38266</t>
  </si>
  <si>
    <t>City of Richmond</t>
  </si>
  <si>
    <t>CITYOFRICHMOND AP EF0160002208335637701949</t>
  </si>
  <si>
    <t>PMT-S130-47145</t>
  </si>
  <si>
    <t>ABB Electrification Inc.</t>
  </si>
  <si>
    <t>ACH: ABB Inc  ABB INC RE:MELTWATER NEWS CANADA INC</t>
  </si>
  <si>
    <t>PMT-S130-35445</t>
  </si>
  <si>
    <t>CISSS de la Montérégie Est</t>
  </si>
  <si>
    <t>CISSSME MSP EF0160006108299867361615</t>
  </si>
  <si>
    <t>PMT-S130-47941</t>
  </si>
  <si>
    <t>Salt Experiential Commerce, Inc</t>
  </si>
  <si>
    <t>Salt Experienti</t>
  </si>
  <si>
    <t>PMT-S130-38101</t>
  </si>
  <si>
    <t>Ottawa Jazz Festival</t>
  </si>
  <si>
    <t>Ottawa Jazz Fes MSP EF0160003008657314025383</t>
  </si>
  <si>
    <t>PMT-S130-43382</t>
  </si>
  <si>
    <t>RBC payment -4/8/24 FUNDS TRANSFER CR TT FORM ATHLETI</t>
  </si>
  <si>
    <t>PMT-S130-45900</t>
  </si>
  <si>
    <t>Funds transfer credit TT PHEENIX USH</t>
  </si>
  <si>
    <t>PMT-S130-47032</t>
  </si>
  <si>
    <t>Skyjack</t>
  </si>
  <si>
    <t>Lockbox</t>
  </si>
  <si>
    <t>PMT-S130-41110</t>
  </si>
  <si>
    <t>QSL</t>
  </si>
  <si>
    <t>CAQ MSP EF0160006100981189087805</t>
  </si>
  <si>
    <t>PMT-S130-44580</t>
  </si>
  <si>
    <t>The Mark Anthony Group of Companies</t>
  </si>
  <si>
    <t>ACH CONCENTRATION CREDIT ACH CASH CONCENTRATION MARK ANTHONY GRO-AP PAYMENT MARK ANTH AP PAYMENT 00078186</t>
  </si>
  <si>
    <t>PMT-S130-39183</t>
  </si>
  <si>
    <t>Parachute</t>
  </si>
  <si>
    <t>PARACHUTE LEADE BPY EF0160004208924881147576</t>
  </si>
  <si>
    <t>PMT-S130-48041</t>
  </si>
  <si>
    <t>Wellington Altus Private Wealth</t>
  </si>
  <si>
    <t>ACH: WELLINGTONALTUS  WELLINGTONALTUSPRIVATEWEALTH RE:MELTWATER NEWS CANADA INC</t>
  </si>
  <si>
    <t>PMT-S130-39733</t>
  </si>
  <si>
    <t>CANADA FED EF0160177002542776000011</t>
  </si>
  <si>
    <t>PMT-S130-38661</t>
  </si>
  <si>
    <t>CANADA FED EF0160177002328776000061</t>
  </si>
  <si>
    <t>PMT-S130-35659</t>
  </si>
  <si>
    <t>CANADA FED EF0160177001747776000127</t>
  </si>
  <si>
    <t>PMT-S130-43590</t>
  </si>
  <si>
    <t>CANADA FED EF0160177003433776000024</t>
  </si>
  <si>
    <t>PMT-S130-38566</t>
  </si>
  <si>
    <t>Jason Plotz</t>
  </si>
  <si>
    <t>PMT-S130-43062</t>
  </si>
  <si>
    <t>CANADA FED EF0160177003295776000009</t>
  </si>
  <si>
    <t>PMT-S130-47176</t>
  </si>
  <si>
    <t>ACH: CANADA  CANADA RE:MELTWATER NEWS CANADA INC</t>
  </si>
  <si>
    <t>PMT-S130-46077</t>
  </si>
  <si>
    <t>PMT-S130-45833</t>
  </si>
  <si>
    <t>Federal Payment Canada</t>
  </si>
  <si>
    <t>PMT-S130-41190</t>
  </si>
  <si>
    <t>CANADA FED EF0160177002876776000045</t>
  </si>
  <si>
    <t>PMT-S130-46137</t>
  </si>
  <si>
    <t>PMT-S130-47248</t>
  </si>
  <si>
    <t>ACH: CANADA  CANADA RE:Meltwater News Canada Inc</t>
  </si>
  <si>
    <t>11C (116) - Meltwater News Canada 2</t>
  </si>
  <si>
    <t>PMT-S130C-0298</t>
  </si>
  <si>
    <t>EON REALITY INC</t>
  </si>
  <si>
    <t>HSBC CAD wire 04/01/19 - For: customer references INV00046691 which is an old invoice 9/14/18.</t>
  </si>
  <si>
    <t>PMT-S130C-0769</t>
  </si>
  <si>
    <t>Maple Leaf Sports &amp; Entertainment Ltd.</t>
  </si>
  <si>
    <t>HSBC CAD 9/20/19 - Customer overpaid an adjusted invoice. Marta said to leave over payment unapplied</t>
  </si>
  <si>
    <t>PMT-S130C-0069</t>
  </si>
  <si>
    <t>VIA Rail</t>
  </si>
  <si>
    <t>PMT-S130C-0315</t>
  </si>
  <si>
    <t>Blockstrain Technology Corp</t>
  </si>
  <si>
    <t>HSBC USD wire 04/05/19 - no remit found, unapplied until invoice is confirmed.</t>
  </si>
  <si>
    <t>PMT-S130C-0353</t>
  </si>
  <si>
    <t>GBP</t>
  </si>
  <si>
    <t>Semanticum</t>
  </si>
  <si>
    <t>Bill Tech</t>
  </si>
  <si>
    <t>PMT-S130C-0377</t>
  </si>
  <si>
    <t>Ogilvy Singapore Pte Ltd</t>
  </si>
  <si>
    <t>INV0004713 is for Ogilvy Sydney, which is on NS is SA-S130C-EN-1166689 Ogilvy Australia it is Bad Debt recovery</t>
  </si>
  <si>
    <t>PMT-S130C-0077</t>
  </si>
  <si>
    <t>Carma</t>
  </si>
  <si>
    <t>PMT-S130C-0177</t>
  </si>
  <si>
    <t>Tentree</t>
  </si>
  <si>
    <t>PMT-S130C-0133</t>
  </si>
  <si>
    <t>Socialand Media Solutions SMS120220K30</t>
  </si>
  <si>
    <t>Brinda Calori</t>
  </si>
  <si>
    <t>Customer continues to pay all reduced invoices in full</t>
  </si>
  <si>
    <t>PMT-S130C-0255</t>
  </si>
  <si>
    <t>Lowe SSP3</t>
  </si>
  <si>
    <t>INV00049576 paid on Feb 8th INV00048774 was cleared in December with a payment that was made in Nov and again referenced an invoice that the customer paid in Oct. Collections team will contact customer</t>
  </si>
  <si>
    <t>PMT-S130C-0239</t>
  </si>
  <si>
    <t>Grey Mexico SA de CV</t>
  </si>
  <si>
    <t>HSBC USD wire 3/14/19 - left unapplied, no inv ref# provided.</t>
  </si>
  <si>
    <t>PMT-S130C-0295</t>
  </si>
  <si>
    <t>PUBLICIS AUSTRALIA PTY LTD.</t>
  </si>
  <si>
    <t>HSBC USD wire 04/03/19 - unapplied, pending remit to apply</t>
  </si>
  <si>
    <t>PMT-S130C-1079</t>
  </si>
  <si>
    <t>Young &amp; Rubicam Chile</t>
  </si>
  <si>
    <t>HSBC USD Wire 2/7/20</t>
  </si>
  <si>
    <t>PMT-S130C-0709</t>
  </si>
  <si>
    <t>Dazing Studio S.C</t>
  </si>
  <si>
    <t>WFB wire 083019 - part of the $38,661.44 wire - paid in 106-US acct</t>
  </si>
  <si>
    <t>PMT-S130C-0195</t>
  </si>
  <si>
    <t>EUR</t>
  </si>
  <si>
    <t>Ogilvy Barcelona</t>
  </si>
  <si>
    <t>PMT-S130C-0350</t>
  </si>
  <si>
    <t>Zimat Consultores Comunicación Total, S.A. de C.V. ZCC000823SN7</t>
  </si>
  <si>
    <t>HSBC USD wire 04/15/19 - For: IN-S130C-1020 $7589.00 IN-S130C-1093 $7589.00 per remit - Customer rounded up from $15,177.14 to $15,178.00 (unapplied 0.86)</t>
  </si>
  <si>
    <t>PMT-S130C-0810</t>
  </si>
  <si>
    <t>Sureté du Québec</t>
  </si>
  <si>
    <t>HSBC LB 10/11/19</t>
  </si>
  <si>
    <t>201 - Australia</t>
  </si>
  <si>
    <t>AUD</t>
  </si>
  <si>
    <t>Windy Go</t>
  </si>
  <si>
    <t>PMT-S155-37916</t>
  </si>
  <si>
    <t>NZD</t>
  </si>
  <si>
    <t>Fonterra Co-Operative Group</t>
  </si>
  <si>
    <t>1/FONTERRA CO-OPERATIVE GROUP LIMIT 2000132172 /ROC/2000132172 FX NZD 31991.00 AT 1.1342120 200182719 /TMS/2024-10-15T23:29:15 GMT/MID/1.104251</t>
  </si>
  <si>
    <t>PMT-S155-42950</t>
  </si>
  <si>
    <t>DUMMY CUSTOMER_CASHAPPS 201 - Australia</t>
  </si>
  <si>
    <t>173200023166926 MARS NEDERLAND B 0001975</t>
  </si>
  <si>
    <t>PMT-S155-43051</t>
  </si>
  <si>
    <t>Meltwater Pont3 Pty Limite 0599873</t>
  </si>
  <si>
    <t>PMT-S155-31177</t>
  </si>
  <si>
    <t>Leisure-Tec Australia Pty Ltd</t>
  </si>
  <si>
    <t>LEISURE TEC 0241933</t>
  </si>
  <si>
    <t>PMT-S155-30851</t>
  </si>
  <si>
    <t>POLICE CITIZENS YOUTH CLUBS NSW LTD</t>
  </si>
  <si>
    <t>531785 PCYC NSW 0085562</t>
  </si>
  <si>
    <t>PMT-S155-39945</t>
  </si>
  <si>
    <t>City of Hobart</t>
  </si>
  <si>
    <t>CITY OF HOB 05748 CITY OF HOBART - 0448218</t>
  </si>
  <si>
    <t>PMT-S155-41991</t>
  </si>
  <si>
    <t>Lovehoney Australia</t>
  </si>
  <si>
    <t>Lovehoney AU Lovehoney AU Pty 0916381</t>
  </si>
  <si>
    <t>PMT-S155-32846</t>
  </si>
  <si>
    <t>The Village Building Company</t>
  </si>
  <si>
    <t>INV-S155-424007 Recoveries Natio 0394335</t>
  </si>
  <si>
    <t>PMT-S155-34558</t>
  </si>
  <si>
    <t>SOUTHERN SYDNEY REGIONAL ORGANISATION OF COUNCILS</t>
  </si>
  <si>
    <t>IN-S155-426306 SSROC 0813887</t>
  </si>
  <si>
    <t>PMT-S155-38764</t>
  </si>
  <si>
    <t>The Red Agency pty Ltd trading as Red Havas</t>
  </si>
  <si>
    <t>V1-51292223-P-MELN THE RED AGENCY P 0840256</t>
  </si>
  <si>
    <t>PMT-S155-31081</t>
  </si>
  <si>
    <t>Mirvac Procurement Pty Ltd</t>
  </si>
  <si>
    <t>PMT ID:     476819 MIRVAC 0986579</t>
  </si>
  <si>
    <t>PMT-S155-43101</t>
  </si>
  <si>
    <t>689647123400424153 VERVESUPER 0780254</t>
  </si>
  <si>
    <t>PMT-S155-29838</t>
  </si>
  <si>
    <t>MN2033605 CBA 0685610</t>
  </si>
  <si>
    <t>PMT-S155-28115</t>
  </si>
  <si>
    <t>ALWAYS HUMAN GROUP PTY LTD</t>
  </si>
  <si>
    <t>Lampoon Group Lampoon Group Pt 0592784</t>
  </si>
  <si>
    <t>PMT-S155-32532</t>
  </si>
  <si>
    <t>HAVAL Motors Australia Pty Ltd</t>
  </si>
  <si>
    <t>IN-S155-424125 Hav Recoveries Natio 0358677</t>
  </si>
  <si>
    <t>PMT-S155-43042</t>
  </si>
  <si>
    <t>CVENTPAYMENTS-DMRH CVENTPAYMENTS 0530766</t>
  </si>
  <si>
    <t>PMT-S155-43111</t>
  </si>
  <si>
    <t>CVENTPAYMENTS-HRNO CVENTPAYMENTS 0832990</t>
  </si>
  <si>
    <t>PMT-S155-28095</t>
  </si>
  <si>
    <t>Mornington Peninsula RTB Inc</t>
  </si>
  <si>
    <t>IN-S155-420524 Recoveries Natio 0538481</t>
  </si>
  <si>
    <t>221 - HK</t>
  </si>
  <si>
    <t>PMT-S133-7108</t>
  </si>
  <si>
    <t>Zyxel Communications Corporation</t>
  </si>
  <si>
    <t>1/ZYXEL COMMUNICATIONS CORPORATION /OCMT/USD12937,50/ , /OGB/MEGA INTERNATIONAL COMMERCIAL BANK ,</t>
  </si>
  <si>
    <t>PMT-S133-6062</t>
  </si>
  <si>
    <t>HKD</t>
  </si>
  <si>
    <t>Zenith Integrated Communications Ltd</t>
  </si>
  <si>
    <t>/ORDP/FERRARI (HK) LIMITED /BREF/GHK2700150687002759 /OBK/007 /EREF/AP32100048814840 /REMI/</t>
  </si>
  <si>
    <t>241 - Singapore</t>
  </si>
  <si>
    <t>PMT-S158-8026</t>
  </si>
  <si>
    <t>SGD</t>
  </si>
  <si>
    <t>Temasek Capital Management Pte. Ltd.</t>
  </si>
  <si>
    <t>INTERBANK GIRO Temasek Holdings (Private) Limited 024764 SUPPLIER PAYMENT</t>
  </si>
  <si>
    <t>PMT-S158-8027</t>
  </si>
  <si>
    <t>Danone Specialized Nutrition (Malaysia)</t>
  </si>
  <si>
    <t>INWARD TELEGRAPHIC TRANSFER ITT 3412060248/1 0016IT4175996 PT NUTRICIA INDONESIA SEJAHTERA EUR 22932 at SGD1.405914</t>
  </si>
  <si>
    <t>PMT-S158-8030</t>
  </si>
  <si>
    <t>SG-2021-0081</t>
  </si>
  <si>
    <t>PMT-S158-8029</t>
  </si>
  <si>
    <t>Nutricia Internaonal Pvt. Ltd.</t>
  </si>
  <si>
    <t>MEPS RECEIPT MER 1IR209298736C01 0016II4814496 NUTRICIA INTERNATIONAL PRIVATE SGD 15334</t>
  </si>
  <si>
    <t>PMT-S158-10670</t>
  </si>
  <si>
    <t>TBG SHARED SERVICES INC.</t>
  </si>
  <si>
    <t>TBG SHARED SERVICES INC /URI/PAYMENT FOR LICENSE(REVIEW SIT ES,AUDIENCE META BRONZE AND SOCIAL ESSENTIALS L2) INV NO.IN- S158-409 318///ROC/6678948052FS FX USD 46185.00 AT 1.3074020 617282642 /TMS/2025-02-24T01:19:27 GMT/MID/1.334258</t>
  </si>
  <si>
    <t>PMT-S158-8028</t>
  </si>
  <si>
    <t>Moet Hennessy Asia Pacific Pte. Ltd.</t>
  </si>
  <si>
    <t>INWARD TELEGRAPHIC TRANSFER ITT XSS90750 0016IT4524256 MOET HENNESSY ASIA PACIFIC PTE LTD EUR 10479.58 at SGD1.398218</t>
  </si>
  <si>
    <t>PMT-S158-11988</t>
  </si>
  <si>
    <t>PUBLiCUS Asia, Inc.</t>
  </si>
  <si>
    <t>PMT-S158-8025</t>
  </si>
  <si>
    <t>Sephora Asia Pte Ltd</t>
  </si>
  <si>
    <t>INWARD TELEGRAPHIC TRANSFER ITT 285360429 0016IT2711743 SEPHORA ASIA PTE. LTD. USD 5735 at SGD1.347185</t>
  </si>
  <si>
    <t>PMT-S158-12058</t>
  </si>
  <si>
    <t>Blink CX Co.</t>
  </si>
  <si>
    <t>CONCENTRIX SOLUTIONS CORPORATION /RFB/2026-01-000037///POP INV INS15 8409612,INS158410186INV INS1584096 12 INV INS158410186 FX USD 10080.00 AT 1.2618870 523300787/TMS/2026-01-16T09:22:44 GMT/MID/1.287715</t>
  </si>
  <si>
    <t>PMT-S158-11743</t>
  </si>
  <si>
    <t>PMT-S158-8031 from dummy to customer account</t>
  </si>
  <si>
    <t>PMT-S158-8024</t>
  </si>
  <si>
    <t>Danone Specialized Nutrition (Thailand) Co., Ltd.</t>
  </si>
  <si>
    <t>Passion Point Media Co. USD 3888 at SGD1.347992</t>
  </si>
  <si>
    <t>PMT-S158-12595</t>
  </si>
  <si>
    <t>Suyen Corporation</t>
  </si>
  <si>
    <t>Payment for 241-Singapore IN-S158-410328 received in 221-HK</t>
  </si>
  <si>
    <t>PMT-S158-12593</t>
  </si>
  <si>
    <t>SM PRIME HOLDINGS INC.</t>
  </si>
  <si>
    <t>1/SM PRIME HOLDINGS INC IN S158 410331 SOCIAL MEDIA CRISIS MANAGEMENT SUBSCRIPTION FX USD 32076.80 AT 1.2459590 528325969 /TMS/2026-04-15T08:14:19 GMT/MID/1.271462</t>
  </si>
  <si>
    <t>PMT-S158-12205</t>
  </si>
  <si>
    <t>The Huddle Room</t>
  </si>
  <si>
    <t>PMT-S158-12708</t>
  </si>
  <si>
    <t>St. Luke's Medical Center</t>
  </si>
  <si>
    <t>ST LUKE S MEDICAL CENTER GLOBAL CIT IN S158 410605 CA ADDITIONAL SEARCH ES USERS AND SITE REVIEWS FX USD 14235.50 AT 1.2544360 529153071 /TMS/2026-04-30T01:17:09 GMT/MID/1.280822</t>
  </si>
  <si>
    <t>PMT-S158-12609</t>
  </si>
  <si>
    <t>Intelligent Beauty Skin Solutions, Inc. Business Style: Belo Medical Group</t>
  </si>
  <si>
    <t>INTELLIGENT BEAUTY SKIN SOLUTIONS I IN S158 410316 HO FX USD 7433.00 AT 1.2453140 528384503/TMS/2026-04-16T07:40:19 GMT/MID/1.270803</t>
  </si>
  <si>
    <t>PMT-S158-8648</t>
  </si>
  <si>
    <t>PT. Sompo Insurance Indonesia</t>
  </si>
  <si>
    <t>PT. SOMPO INSURANCE INDONESIA IN-S158-407449</t>
  </si>
  <si>
    <t>PMT-S158-7784</t>
  </si>
  <si>
    <t>InsightzClub Pte LTD</t>
  </si>
  <si>
    <t>1/CMC WORLDWIDE B.V. /URI/IN-S158-405515,our ref 345568 . Refund double payment///ROC/EC313 0I4CO3S5G00 FX EUR 539.99 AT 1.4094130 234341493/TMS/2023-05-17T01:18:23 GMT/MID/1.456891</t>
  </si>
  <si>
    <t>PMT-S158-12678</t>
  </si>
  <si>
    <t>LouderPH</t>
  </si>
  <si>
    <t>1/LOUDERPH INC /URI/OTHER-PAYMENT OF MONTHLY SUBSC RIPTI 6562385010///ROC/PHNTR0225355 /1 FX USD 5115.60 AT 1.2492210 529004653/TMS/2026-04-28T01:17:03 GMT/MID/1.274802</t>
  </si>
  <si>
    <t>PMT-S158-12337</t>
  </si>
  <si>
    <t>Ministry of Sustainability and the Environment</t>
  </si>
  <si>
    <t>/EREF/5004731176/PURP/OTHR /IREF/20260309OCBCSGSGBBP0030373/OBK/OCBCSGSG /ORDP/THE ACCOUNTANT GENERAL /OCMT/SGD41265,22/</t>
  </si>
  <si>
    <t>Mahek Chugani-242</t>
  </si>
  <si>
    <t>302 - Netherlands</t>
  </si>
  <si>
    <t>PMT-S147-14165</t>
  </si>
  <si>
    <t>IBFD</t>
  </si>
  <si>
    <t>Prabhat Aggarwal</t>
  </si>
  <si>
    <t>/EREF/001VENDPAY001982-5637200 592-04/ORDP//NAME/STG INTERNATIONAA L BELASTING DOCUMENTATIE BUREAU/ID//REMI/IN-S147-413743/ISDT/2023 0602/ULTD//NAME//ID//ULTB//NAME//ID//PURP//PRTRY//OCMT/EUR24200,/ EXCH/1.0000000</t>
  </si>
  <si>
    <t>PMT-S147-17809</t>
  </si>
  <si>
    <t>DUFRY INTERNATIONAL AG</t>
  </si>
  <si>
    <t>/EREF/2000111053/ORDP//NAME/DUFRY IN TERNATIONAL AG/ID/549300I08UA 8SMJON743 BOID/REMI/20260113/IN-S147-416715/12337.50 1700182739 1 700182739/ISDT/20260327/ULTD//NAME//ID//ULTB//NAME//ID//PURP//PRT RY//OCMT/EUR12337,5/EXCH/1.0000000</t>
  </si>
  <si>
    <t>PMT-S147-13355</t>
  </si>
  <si>
    <t>KPMG Staffing &amp; Facility Services B.V.</t>
  </si>
  <si>
    <t>/EREF/2000372831/ORDP//NAME/KPMG N.V ./ID//REMI/ACCOUNT WITNO.IN-S 147-413006/13.12.2022/ISDT/20221227/ULTD//NAME//ID//ULTB//NAME//I D//PURP//PRTRY//OCMT/EUR37510,/EXCH/1.0000000</t>
  </si>
  <si>
    <t>PMT-S147-17729</t>
  </si>
  <si>
    <t>Scania Nederland B.V.</t>
  </si>
  <si>
    <t>/EREF/00057562/ORDP//NAME/SCANIA NEDER LAND B.V./ID/27136821 COID/ REMI/INS147416756/ISDT/20260304/ULTD//NAME//ID//ULTB//NAME//ID//P URP//PRTRY//OCMT/EUR25676,21/EXCH/1.0000000</t>
  </si>
  <si>
    <t>PMT-S147-14799</t>
  </si>
  <si>
    <t>Tommy Hilfiger Europe B.V.</t>
  </si>
  <si>
    <t>/EREF/TH31202311152000046285/OR DP//NAME/PVH EUROPE B.V./ID/693693 0 NS/REMI/IN-S147-412319PVHETOMMY HILFIGER EUROPE BV/ISDT/2023111 6/ULTD//NAME/PVH EUROPE BV/ID//ULTB//NAME//ID//PURP//PRTRY//OCMT/ EUR7865,/EXCH/1.0000000</t>
  </si>
  <si>
    <t>PMT-S147-14797</t>
  </si>
  <si>
    <t>Optiver Services BV</t>
  </si>
  <si>
    <t>/EREF/10903-00010903/31/ORDP//NAM E/OPTIVER SERVICES B.V./ID//REMI /IN-S-147-414299/ISDT/20231116/ULTD//NAME//ID//ULTB//NAME//ID//PU RP//PRTRY//OCMT/EUR5929,/EXCH/1.0000000</t>
  </si>
  <si>
    <t>PMT-S147-17435</t>
  </si>
  <si>
    <t>NV Mediahuis</t>
  </si>
  <si>
    <t>/EREF/31-000251218200603/ORDP// NAME/MEDIAHUIS/ID/0439849666 NS KB O-BCE/REMI/IN-S147-416618/ISDT/20251219/ULTD//NAME//ID//ULTB//NAM E//ID//PURP//PRTRY//OCMT/EUR8578,5/EXCH/1.0000000</t>
  </si>
  <si>
    <t>PMT-S147-12452</t>
  </si>
  <si>
    <t>CD Communications</t>
  </si>
  <si>
    <t>/EREF/NOTPROVIDED/ORDP//NAME/CD COM MUNICATIONS/ID//REMI/INVOICE:I N-S147-411972,411971,411055/ISDT/20220621/ULTD//NAME//ID//ULTB/ /NAME//ID//PURP//PRTRY//OCMT/EUR32670,/EXCH/1.0000000</t>
  </si>
  <si>
    <t>PMT-S147-13865</t>
  </si>
  <si>
    <t>DUMMY CUSTOMER_CASHAPPS 302 - Netherlands</t>
  </si>
  <si>
    <t>/EREF/NOTPROVIDED/ORDP//NAME/AA KANT OOR TOTAAL B.V./ID//REMI/V100 24931/ISDT/20230315/ULTD//NAME//ID//ULTB//NAME//ID//PURP//PRTRY// OCMT/EUR3623,95/EXCH/1.0000000</t>
  </si>
  <si>
    <t>PMT-S147-15317</t>
  </si>
  <si>
    <t>/EREF/SC20240222092602655609148 2406/ORDP//NAME/GRUNDSTUCKS-FONDSG VW/ID//REMI/SC SETTLEMENT 2022/ISDT/20240223/ULTD//NAME//ID//ULTB //NAME//ID//PURP//PRTRY//OCMT/EUR3390,86/EXCH/1.0000000</t>
  </si>
  <si>
    <t>PMT-S147-16487</t>
  </si>
  <si>
    <t>BouMatic Gascoigne Mélotte</t>
  </si>
  <si>
    <t>Georgia Albutt-392</t>
  </si>
  <si>
    <t>/EREF/202502041558462790ISABEL /ORDP//NAME/BOUMATIC GASCOIGNE MELO TTE/ID//REMI/IN-S147-415594/ISDT/20250205/ULTD//NAME//ID//ULTB//N AME//ID//PURP//PRTRY//OCMT/EUR12039,5/EXCH/1.0000000</t>
  </si>
  <si>
    <t>PMT-S147-13350</t>
  </si>
  <si>
    <t>Cohedron B.V.</t>
  </si>
  <si>
    <t>/EREF/0000600050670006363000120 984/ORDP//NAME/COHEDRON B.V./ID//R EMI/FACTUUR:IN-S147-412857/ISDT/20221227/ULTD//NAME//ID//ULTB//NA ME//ID//PURP//PRTRY//OCMT/EUR8984,25/EXCH/1.0000000</t>
  </si>
  <si>
    <t>311 - Germany</t>
  </si>
  <si>
    <t>PMT-S109-54641</t>
  </si>
  <si>
    <t>Schindler Digital Innovation GmbH</t>
  </si>
  <si>
    <t>Theresa Saal</t>
  </si>
  <si>
    <t>Payment for 109-Germany IN-S109-448351 received in 102-US</t>
  </si>
  <si>
    <t>PMT-S109-54633</t>
  </si>
  <si>
    <t>German Naval Yards Kiel GmbH</t>
  </si>
  <si>
    <t>PMT-S109-44300 to be moved to customer SA-S109-DE-1720583 German Naval Yards Kiel GmbH</t>
  </si>
  <si>
    <t>PMT-S109-49863</t>
  </si>
  <si>
    <t>Freudenberg &amp; Co. Kommanditgesellschaft</t>
  </si>
  <si>
    <t>2000025892       1490612675250123 /ORD.CUST/FREUDENBERG + CO. KOMMANDITGESELLSC HAFT/EREF/200002589 2/PAY.DET./IN-S109-444970/23.12.2024/</t>
  </si>
  <si>
    <t>PMT-S109-49823</t>
  </si>
  <si>
    <t>PETA Deutschland e.V.</t>
  </si>
  <si>
    <t>4552005695-00000 1490534006250 120 /ORD.CUST/PETA DEUTSCHLAND E.V./EREF/4552005695-0000001/PAY.DET./ RNR. IN-S109-445242 RDAT. 07.01.202 5</t>
  </si>
  <si>
    <t>PMT-S109-49300</t>
  </si>
  <si>
    <t>TCC Global N.V.</t>
  </si>
  <si>
    <t>TCC GLOBAL NV SEE ACCOUNT INFO 1489387824241209 /ORD.CUST/TCC GLOBAL NV/EREF/SEE ACCOUNT INFO/PAY.DET./SEE ACCOUN T INFO</t>
  </si>
  <si>
    <t>PMT-S109-43981</t>
  </si>
  <si>
    <t>World Heart Federation</t>
  </si>
  <si>
    <t>NONREF           1700772713230928 /OCMT/EUR13000,//ORD.CUST/1/HSBC CONT. EUROPE SA,GERMANY 2/HANSA ALLEE 3/PAY.DET./RETURN REG.PAYMENT DD.27.09.2023REF.2872179 FOR EUR 13.000,00 YOURREF.PMT-S109-34526 RSN.INSUFFICIENTOR WRONG BEN EFICIARY DETAILS</t>
  </si>
  <si>
    <t>PMT-S109-39745</t>
  </si>
  <si>
    <t>DUMMY CUSTOMER_CASHAPPS 311 - Germany</t>
  </si>
  <si>
    <t>62211091638      1485571916221114 /ORD.CUST/CMN/EREF/62211091638/PAY.DET./CMN 92008388</t>
  </si>
  <si>
    <t>PMT-S109-49689</t>
  </si>
  <si>
    <t>Malt Community GmbH</t>
  </si>
  <si>
    <t>2501101050-00000 14903249532501 13 /ORD.CUST/MALT COMMUNITY GMBH/EREF/2501101050-0000008/PAY.DET./RN R 0 DATUM 08.01.2025 BETRAG 8.627,50 KTO. 84029</t>
  </si>
  <si>
    <t>PMT-S109-49777</t>
  </si>
  <si>
    <t>Conductix-Wampfler AG</t>
  </si>
  <si>
    <t>2100333696       1490471688250117 /ORD.CUST/CONDUCTIX-WAMPFLER GMBH D/EREF/2100333696/PAY.DET.//INV /IN-S109-444935 3.1.2025</t>
  </si>
  <si>
    <t>PMT-S109-45927</t>
  </si>
  <si>
    <t>IMPERIAL YACHTS</t>
  </si>
  <si>
    <t>Jan Sutherland</t>
  </si>
  <si>
    <t>VIR SEPA 06022   1480731066240208 /ORD.CUST/TRESORERIE GENERALE DES FINANCES/EREF/VIR SEPA 06/02/20 24 11 45 30-00003/PAY.DET./INVOICE . IN-S109-438194 DATE 20 01 2 023</t>
  </si>
  <si>
    <t>PMT-S109-47567</t>
  </si>
  <si>
    <t>CSL Behring GmbH</t>
  </si>
  <si>
    <t>2000147351       1484318938240612 /ORD.CUST/CSL BEHRING GMBH/EREF/2000147351/PAY.DET.//REF/IN-S109- 442932 14.5.2024 20001 47351</t>
  </si>
  <si>
    <t>PMT-S109-52879</t>
  </si>
  <si>
    <t>COHAUSZ &amp; FLORACK Patent- und Rechtsanwälte</t>
  </si>
  <si>
    <t>36704            1496836965251023 /ORD.CUST/COHAUSZ + FLORACK PATENT- UND RECHT SANWALTE/EREF/36704 /PAY.DET./RG-NR. IN-S109-447156,IN-S109-4473 73</t>
  </si>
  <si>
    <t>PMT-S109-38755</t>
  </si>
  <si>
    <t>FMR GLOBAL HEALTH</t>
  </si>
  <si>
    <t>Sophie Sadoune-MW</t>
  </si>
  <si>
    <t>67482            1482839834220831 /ORD.CUST/VERISURE/EREF/67482/PAY.DET./IN-S109-435642</t>
  </si>
  <si>
    <t>PMT-S109-42725</t>
  </si>
  <si>
    <t>230518-18KOG0010 14923488802305 19 /ORD.CUST/CANADA LIFE ASSURANC/EREF/230518-18KOG0010000018/PAY.DE T./L97451-CLE6774607E R113L97451</t>
  </si>
  <si>
    <t>PMT-S109-42615</t>
  </si>
  <si>
    <t>Emile Henry</t>
  </si>
  <si>
    <t>0000703600189431 14920756342305 11 /ORD.CUST/EMILE HENRY/EREF/0000703600189431</t>
  </si>
  <si>
    <t>PMT-S109-45438</t>
  </si>
  <si>
    <t>Eleven Factory SL</t>
  </si>
  <si>
    <t>NONREF           1480048019240116 /ORD.CUST/ELEVEN FACTORY SL/PAY.DET./FRA 441663</t>
  </si>
  <si>
    <t>PMT-S109-42113</t>
  </si>
  <si>
    <t>Algeco</t>
  </si>
  <si>
    <t>Nathalie Darmois-MW1</t>
  </si>
  <si>
    <t>4700244165       1490693858230403 /ORD.CUST/ALGECO/EREF/4700244165/PAY.DET.//INV/INS109437305 30.11 .2022</t>
  </si>
  <si>
    <t>PMT-S109-42628</t>
  </si>
  <si>
    <t>Syndicat d’énergie d’Indre-et-Loire</t>
  </si>
  <si>
    <t>1603709006640020 14921070642305 12 /ORD.CUST/PAIERIE DEPARTEMENTALE INDRE-ET-LOI RE/EREF/16037090066 4002023-05-101586/PAY.DET./FAC. IN-S109-439093 DU 17/04/23 BRE VU E DE PRESSE ETNEWSLETTER PERIODE 29/04/23 AU 28/04/2023SY INTERC ENE RGIE INDRE LOIRE</t>
  </si>
  <si>
    <t>PMT-S109-52470</t>
  </si>
  <si>
    <t>NONREF           1803018587250912 /OCMT/USD17950,//CHGS/USD29,21//PAY.BANK/JPMORGAN CHASE BANK,/ORD .CUST/INTERNATIONAL RESCUE COMMITTEE,INC. RESCUE/PAY.DET./IN-S10 4-439521,IN-S109-446861/ROC/9824700254JO</t>
  </si>
  <si>
    <t>PMT-S109-55181</t>
  </si>
  <si>
    <t>VDI Technologiezentrum GmbH</t>
  </si>
  <si>
    <t>0402641043       1480429017260416 /ORD.CUST/VDI TECHNOLOGIEZENTRUM GMBH/EREF/0402641043/PAY.DET./IN S109-449170+</t>
  </si>
  <si>
    <t>PMT-S109-50167</t>
  </si>
  <si>
    <t>Marionnaud Parfumeries Autriche GmbH</t>
  </si>
  <si>
    <t>1934672          1491133006250211 /ORD.CUST/MARIONNAUD LAFAYETTE/EREF/1934672</t>
  </si>
  <si>
    <t>PMT-S109-40609</t>
  </si>
  <si>
    <t>NONREF           1803680232230106 /OCMT/EUR3866,//CHGS/EUR35,//PAY.BANK/TURKIYE GARANTI BANKASI A.S ./ORD.CUST/1/A.S.WATSON GUZELLIK VE BAKIM URUN 2/A.S. WATSON GUZE LLIK VE BAKIM URU</t>
  </si>
  <si>
    <t>PMT-S109-55252</t>
  </si>
  <si>
    <t>Newspress Spain SL</t>
  </si>
  <si>
    <t>Nathalie Darmois</t>
  </si>
  <si>
    <t>NONREF           1480524653260422 /ORD.CUST/NEWSPRESS SPAIN,S.L./PAY.DET./IN-S109-449013</t>
  </si>
  <si>
    <t>PMT-S109-52804</t>
  </si>
  <si>
    <t>NONREF           1803084060251015 /OCMT/EUR3188,//PAY.BANK/HSBC BANK A.S./ORD.CUST/1/SIRMAGRUP ICEC EK SANAYI VE TICARE 1/T A.S.</t>
  </si>
  <si>
    <t>PMT-S109-48165</t>
  </si>
  <si>
    <t>Syntegon Technology GmbH</t>
  </si>
  <si>
    <t>NONREF           1486072816240813 /ORD.CUST/VALICARE GMBH/PAY.DET./WERBUNGSKOSTEN / MESSEKOSTEN MEL TWA TER RE. IN-S109-443440 70294</t>
  </si>
  <si>
    <t>PMT-S109-55263</t>
  </si>
  <si>
    <t>Stadtkrankenhaus Delmenhorst GmbH</t>
  </si>
  <si>
    <t>NONREF           DE26042392928652 /ORD.CUST/DERDENGELDEN CMC WORLDWI/PAY.DET./IN-S109-448037/352110</t>
  </si>
  <si>
    <t>PMT-S109-42996</t>
  </si>
  <si>
    <t>Internetstores GmbH</t>
  </si>
  <si>
    <t>2000283118       1493223640230614 /ORD.CUST/INTERNETSTORES GMBH/EREF/2000283118/PAY.DET./KONTO BEI IHNR.IN-S109-435375/1.3.2 023NR.IN-S109-435375/1.4.2023NR.IN- S10 9-435375/1.5.2023</t>
  </si>
  <si>
    <t>PMT-S109-55250</t>
  </si>
  <si>
    <t>QUOBLY</t>
  </si>
  <si>
    <t>MELTWATER.IN-S10 1480524438260 422 /ORD.CUST/QUOBLY/EREF/MELTWATER.IN-S109-449006.0/PAY.DET./IN-S109 449006</t>
  </si>
  <si>
    <t>PMT-S109-41942</t>
  </si>
  <si>
    <t>Banco Santander S.A</t>
  </si>
  <si>
    <t>NOT PROVIDED     1490332695230323 /ORD.CUST/BANCO SANTANDER S.A./EREF/NOT PROVIDED/PAY.DET./REF. IN S109437735 2023-03-22 243303 197</t>
  </si>
  <si>
    <t>PMT-S109-52564</t>
  </si>
  <si>
    <t>GLOBAL BIOENERGIES</t>
  </si>
  <si>
    <t>IN-S109-445980   1496216486250923 /ORD.CUST/GLOBAL BIOENERGIES/EREF/IN-S109-445980/PAY.DET./METLWAT ER - PRESTATION 13-04-25 AU 12-04-26</t>
  </si>
  <si>
    <t>PMT-S109-52505</t>
  </si>
  <si>
    <t>Knowledge Business Solutions</t>
  </si>
  <si>
    <t>SOLDE IN-S109-44 14961186642509 17 /ORD.CUST/KNOWLEDGE BUSINE/EREF/SOLDE IN-S109-446768/PAY.DET./SOL DE IN-S109-446768</t>
  </si>
  <si>
    <t>PMT-S109-41039</t>
  </si>
  <si>
    <t>SAS 77 FOODS</t>
  </si>
  <si>
    <t>SCTOUTF5KZ9FUY7R 14884363272301 27 /ORD.CUST/77 FOODS/EREF/SCTOUTF5KZ9FUY7RRXLQXY5NOVDB/PAY.DET./IN- S109-437866</t>
  </si>
  <si>
    <t>PMT-S109-47425</t>
  </si>
  <si>
    <t>NONREF           1803362998240530 /OCMT/EUR15500,//PAY.BANK/BANQUE ATLANTIQUE COTE D'IVOIRE/ORD.CUS T/CABINET DU 1ER MINISTRE BOULEVARD ANGLOULVANT PLATEAU/PAY.DET./ DEPLOIEMENT D'UN OUTIL DE VEILLE ET D'INTELLIGENCE INFORMATIONNEL LE SPECIFIQUE A LA PRIMATURE</t>
  </si>
  <si>
    <t>PMT-S109-43302</t>
  </si>
  <si>
    <t>Special Olympics Deutschland e.V.</t>
  </si>
  <si>
    <t>2307121430-00000 14942923652307 12 /ORD.CUST/SPECIAL OLYMPICS DEUTSCHLAND E. V./EREF/2307121430-0000 001/PAY.DET./IN-S109-439535</t>
  </si>
  <si>
    <t>PMT-S109-39591</t>
  </si>
  <si>
    <t>(from 19 Sep 22 - moving from Celigo) CANADA LIFE ASSURANC 220916-16R2G0010 1483550279220919 /ORD.CUST/CANADA LIFE ASSURANC/EREF/220916-16R2G0010000055/PAY.DE T./L23331-CLE6774660M R113L23331</t>
  </si>
  <si>
    <t>PMT-S109-41876</t>
  </si>
  <si>
    <t>WOOLWORTH GmbH</t>
  </si>
  <si>
    <t>ZAHLG 0042024633 1490179830230 316 /ORD.CUST/WOOLWORTH GMBH/EREF/ZAHLG 0042024633/PAY.DET./IN-S109-4 38675 02.03.2023IN-S109-43 8675 2.3.2023</t>
  </si>
  <si>
    <t>PMT-S109-55090</t>
  </si>
  <si>
    <t>CONSEIL SUPERIEUR DU NOTARIAT</t>
  </si>
  <si>
    <t>20260403.D55.253 14802425242604 08 /ORD.CUST/CONSEIL SUPERIEUR DU NOTARIAT/EREF/20260403.D55.253.8/P AY.DET./A</t>
  </si>
  <si>
    <t>PMT-S109-43617</t>
  </si>
  <si>
    <t>NONREF           1802795693230817 /OCMT/USD1162,12//CHGS/USD15,//EXCH/1,09265//OUR CHGS/EUR25,/PAY. BANK/ABN AMRO BANK N.V./ORD.CUST/1/STICHTING DERDENGELDEN CMC 1/W ORLDWIDE/PAY.DET./IN-S104-432622,OUR REFERENCE346338 BNY CUST RR N - F1S2308179015300/ROC/EC3228L5QT8G5B00</t>
  </si>
  <si>
    <t>PMT-S109-51531</t>
  </si>
  <si>
    <t>Plastic Odyssey</t>
  </si>
  <si>
    <t>Amy Tyler</t>
  </si>
  <si>
    <t>RAWSCTOUT5JDTX78 14937202902506 03 /ORD.CUST/PLASTIC ODYSSEY/EREF/RAWSCTOUT5JDTX78USRAXIECG2DFIDG/PA Y.DET./IN-S109-446381</t>
  </si>
  <si>
    <t>PMT-S109-44589</t>
  </si>
  <si>
    <t>Paulaner Brauerei Gruppe GmbH &amp; Co. KGaA</t>
  </si>
  <si>
    <t>2001950539       1498185268231117 /ORD.CUST/PAULANER BRAUEREI GRUPPE GMBH + CO. KGAA/EREF/20019505 39/PAY.DET./NR.79547475,1.10.2023</t>
  </si>
  <si>
    <t>PMT-S109-53537</t>
  </si>
  <si>
    <t>Liechtenstein Marketing</t>
  </si>
  <si>
    <t>NONREF           1803214948251217 /OCMT/CHF13367,//CHGS/CHF25,//EXCH/0,937211//OUR CHGS/EUR25,/PAY. BANK/LIECHTENSTEINISCHE LANDESBANK AKTIE/ORD.CUST/1/LIECHTENSTEIN MARKETING 2/AEULESTRASSE,30/PAY.DET./IN-S109-447993/ROC/IN-S109- 447993</t>
  </si>
  <si>
    <t>PMT-S109-49559</t>
  </si>
  <si>
    <t>INTERSPORT Digital GmbH</t>
  </si>
  <si>
    <t>0080313608       1490081122250102 /ORD.CUST/INTERSPORT DEUTSCHLAND EG/EREF/0080313608/PAY.DET./2102 41/INV IN-S109-444756 5.12.2024</t>
  </si>
  <si>
    <t>PMT-S109-37201</t>
  </si>
  <si>
    <t>Pfeifer Holding GmbH &amp; Co KG</t>
  </si>
  <si>
    <t>NONREF           1498518446220428 /ORD.CUST/PFEIFER HOLDING GMBH + CO. KG/PAY.DET./FACT IN-S109-435 025 8568,00 0,00 FA CT RG116947 824,67 0,00</t>
  </si>
  <si>
    <t>PMT-S109-55285</t>
  </si>
  <si>
    <t>Landesdirektion Sachsen</t>
  </si>
  <si>
    <t>8300397767       1480612737260427 /ORD.CUST/HAUPTKASSE DES FREISTAATES SACHSEN/EREF/8300397767/PAY. DET./RNR.IN-S109-449247 RD.01.04.2026 SO CIAL MEDIA M .. TORING 04/2026 MEHRJAHRESVERTRAG HTTP.//</t>
  </si>
  <si>
    <t>PMT-S109-51821</t>
  </si>
  <si>
    <t>Olympia Sport- und Veranstaltungszentrum Innsbruck GmbH</t>
  </si>
  <si>
    <t>NONREF           1494437834250704 /ORD.CUST/OLYMPIA SPORT- UND VERANSTALTUNG SZ ENTRUM INNSBRUCK GM BH/PAY.DET./SCOR C IN-S109-446570 24.06.2025 11 .858,00</t>
  </si>
  <si>
    <t>PMT-S109-41784</t>
  </si>
  <si>
    <t>TOULON VAR TECHNOLOGIES</t>
  </si>
  <si>
    <t>NONREF           1803793843230309 /OCMT/EUR586,5//OUR CHGS/EUR25,/PAY.BANK/CREDIT COOPERATIF/ORD.CU ST/1/TOULON VAR TECHNOLOGIES 2/QUART MAYOL/PAY.DET./TVT/POLE MER MEDITERRANEE</t>
  </si>
  <si>
    <t>PMT-S109-51330</t>
  </si>
  <si>
    <t>Skandinaviska Enskilda Banken AB (publ) Frankfurt Branch</t>
  </si>
  <si>
    <t>765849           1493216147250513 /ORD.CUST/SEB AB FRANKFURT FINANCE/EREF/765849/PAY.DET./IN-S109-4 46152</t>
  </si>
  <si>
    <t>PMT-S109-45687</t>
  </si>
  <si>
    <t>Fette Compacting GmbH</t>
  </si>
  <si>
    <t>0006200819       1480332552240126 /ORD.CUST/FETTE COMPACTING GMBH/EREF/0006200819/PAY.DET./-NR 1N-S 109-441344 VOM 20.12.202</t>
  </si>
  <si>
    <t>PMT-S109-49239</t>
  </si>
  <si>
    <t>Industrie- und Handelskammer zu Düsseldorf</t>
  </si>
  <si>
    <t>INDUSTRIE- UND HANDELSKAMMER ZU DUS SELDORF KD10000261623 29 1489258495241203 /ORD.CUST/INDUSTRIE- UND HANDELSKAMMER ZU DUS SELDORF/EREF/KD1000 0261623 29/PAY.DET./20.11.2023 415.36 60784709</t>
  </si>
  <si>
    <t>PMT-S109-50857</t>
  </si>
  <si>
    <t>SA PERIAL</t>
  </si>
  <si>
    <t>2000000819       1492234530250331 /ORD.CUST/PERIAL ASSET MANAGEMENT/EREF/2000000819/PAY.DET.//INV/F 2502141 28.2.2025</t>
  </si>
  <si>
    <t>PMT-S109-43226</t>
  </si>
  <si>
    <t>HRG Hotels GmbH</t>
  </si>
  <si>
    <t>474-230630T1220- 149401460923070 4 /ORD.CUST/SUCCESS HOTEL MANAGEMENT GMBH/EREF/474-230630T1220-232- 16962--5/PAY.DET./IN-S109-439096</t>
  </si>
  <si>
    <t>PMT-S109-42040</t>
  </si>
  <si>
    <t>0107026758       1490551788230330 /ORD.CUST/DIEHL METALL STIFTUNG + CO. KG/EREF/0107026758/PAY.DET. //INV/100 100 2304320.3.2023</t>
  </si>
  <si>
    <t>PMT-S109-48281</t>
  </si>
  <si>
    <t>Hiscox SA</t>
  </si>
  <si>
    <t>1010659          1486323359240823 /ORD.CUST/HISCOX SA HISCOX SA/EREF/1010659</t>
  </si>
  <si>
    <t>PMT-S109-45581</t>
  </si>
  <si>
    <t>Sedus Stoll Aktiengesellschaft / Sedus Systems GmbH</t>
  </si>
  <si>
    <t>2000418044       1480226980240123 /ORD.CUST/SEDUS STOLL AG/EREF/2000418044/PAY.DET.//INV/25.12.2023 IN-S109-441185</t>
  </si>
  <si>
    <t>PMT-S109-54604</t>
  </si>
  <si>
    <t>Sylvie Passat</t>
  </si>
  <si>
    <t>FACTURE IN-S109- 14995596072603 03 /ORD.CUST/MADAME PASSAT SYLVIE/EREF/FACTURE IN-S109-448819</t>
  </si>
  <si>
    <t>PMT-S109-45500</t>
  </si>
  <si>
    <t>0015001657       1480130146240118 /ORD.CUST/SYNTEGON TECHNOLOGY GMBH/EREF/0015001657/PAY.DET.//RE/I N-S109-441259 15.12.2023</t>
  </si>
  <si>
    <t>PMT-S109-45749</t>
  </si>
  <si>
    <t>Rhenus Group Sales Services GmbH</t>
  </si>
  <si>
    <t>0100000435       1480416318240130 /ORD.CUST/RH ASSETS SERV GMBHCOKG/EREF/0100000435/PAY.DET.//NR.IN S109-440918/3010,70/28.11.20 23</t>
  </si>
  <si>
    <t>PMT-S109-55316</t>
  </si>
  <si>
    <t>Urban Technology GmbH</t>
  </si>
  <si>
    <t>NONREF           DE26042993041090 /ORD.CUST/URBAN TECHNOLOGY GMBH/PAY.DET./IN-S109-445806 PAYMENT P LAN</t>
  </si>
  <si>
    <t>PMT-S109-45558</t>
  </si>
  <si>
    <t>Landgard Service GmbH</t>
  </si>
  <si>
    <t>NONREF           1803104231240122 /OCMT/EUR8925,//PAY.BANK/DZ BANK AG/ORD.CUST/LANDGARD SERVICE GMB H/PAY.DET.//INV/IN-S109-441316 19.12.2023/ROC/0001002345</t>
  </si>
  <si>
    <t>PMT-S109-43770</t>
  </si>
  <si>
    <t>GEMÜ Gebr. Müller Apparatebau GmbH &amp; Co. KG</t>
  </si>
  <si>
    <t>4400017412       1496034604230905 /ORD.CUST/GEMUE GEBR. MUELLER APP./EREF/4400017412/PAY.DET.//INV/ IN-S109-440031 23.8.2023</t>
  </si>
  <si>
    <t>PMT-S109-48996</t>
  </si>
  <si>
    <t>Nitidis</t>
  </si>
  <si>
    <t>ZZ1H2VLPWD7J9W06 14884436082411 07 /ORD.CUST/NITIDIS/EREF/ZZ1H2VLPWD7J9W06P/PAY.DET./FACTURE IN-S109 444095 ABONNEMENT A NNUEL VEILLE MELTWATER</t>
  </si>
  <si>
    <t>PMT-S109-51339</t>
  </si>
  <si>
    <t>Alpine Bau GmbH (AUT)</t>
  </si>
  <si>
    <t>3586228          1493246099250514 /ORD.CUST/AKV EUROPA/EREF/3586228/PAY.DET./37030/205080879,160,5 5 EUR Q /. RATE 2.5 O/O,ALPINE BAU GMBH,5 S 80/13V</t>
  </si>
  <si>
    <t>PMT-S109-44191</t>
  </si>
  <si>
    <t>Vodafone Institut für Gesellschaft und Kommunikation GmbH</t>
  </si>
  <si>
    <t>IN-S109-439800 1 14972846572310 18 /ORD.CUST/VODAFONE INSTITUT FUR GESELLSCHAFT UND KOMMUNIKATION GM BH/EREF/IN-S109-439800 17.7.2023 IN-S109-43/PAY.DET./IN-S109-4398 00-IN-S109-439800</t>
  </si>
  <si>
    <t>PMT-S109-45218</t>
  </si>
  <si>
    <t>medac GmbH</t>
  </si>
  <si>
    <t>ZAHL.BELEG. 0000 14997362412401 04 /ORD.CUST/MEDAC GESELLSCHAFT FUER KLINISCHE/EREF/ZAHL.BELEG. 0000 022321/PAY.DET./RE. IN-S109-441405 6.188,00</t>
  </si>
  <si>
    <t>PMT-S109-43785</t>
  </si>
  <si>
    <t>united communications GmbH</t>
  </si>
  <si>
    <t>NONREF           1496081826230907 /ORD.CUST/UNITED/PAY.DET./IN-S109-439953</t>
  </si>
  <si>
    <t>PMT-S109-48958</t>
  </si>
  <si>
    <t>Two Circles GmbH</t>
  </si>
  <si>
    <t>NONREF           1488401149241105 /ORD.CUST/TWO CIRCLES LIMITED/PAY.DET./TWO CIRCLES</t>
  </si>
  <si>
    <t>PMT-S109-45243</t>
  </si>
  <si>
    <t>Deutsches Jugendherbergswerk Landesverband Mecklenburg-Vorpommern e.V.</t>
  </si>
  <si>
    <t>21320000         1499740458240104 /ORD.CUST/DEUTSCHES JUGENDHERBERGSWERK LANDES VERBAND MECKLENBURG VORPOMMERN E.V./EREF/21320000/PAY.DET./IN-S109-441110</t>
  </si>
  <si>
    <t>PMT-S109-45627</t>
  </si>
  <si>
    <t>B. Braun Familienholding SE &amp; Co. KG</t>
  </si>
  <si>
    <t>0098126974       1480298072240125 /ORD.CUST/B. BRAUN SE/EREF/0098126974/PAY.DET./ON BEHALF BIBLIOME D MEDIZINISCHENR. IN-S109-441107/05.12.2023/</t>
  </si>
  <si>
    <t>PMT-S109-45548</t>
  </si>
  <si>
    <t>TECHART Automobildesign GmbH</t>
  </si>
  <si>
    <t>2401220838-00000 14802025582401 22 /ORD.CUST/TECHART AUTOMOBILDESIGN GMBH/EREF/2401220838-0000005/PA Y.DET./RNR IN-S109-441205 BETRAG 2.018,54 KTO. 79604 6929</t>
  </si>
  <si>
    <t>PMT-S109-44152</t>
  </si>
  <si>
    <t>INSTITUT NATIONAL DES SCIENCES ET INDUSTRIES DU VIVANT ET DE L'ENVIRONNEMENT (AGROP</t>
  </si>
  <si>
    <t>1D0750000-2023AG 1497127268231013 /ORD.CUST/DRFIP ILE DE FRANCE ET DE PARIS/EREF/1D0750000-2023AGPO RP-MDT0013442-000/PAY.DET./I MORATOIRES F. IN-S109-439818DU 19 /0 7/2023 DP 2023/AGP/ORP/0012039 PJ . 1 CERTIFICAT ADMINISTRATIF.</t>
  </si>
  <si>
    <t>321 - UK</t>
  </si>
  <si>
    <t>PMT-S104-42510</t>
  </si>
  <si>
    <t>DUMMY CUSTOMER_CASHAPPS 321 - UK</t>
  </si>
  <si>
    <t>I W G     S /SREF/226620</t>
  </si>
  <si>
    <t>PMT-S104-40759</t>
  </si>
  <si>
    <t>ACH CONCENTRATION CREDIT ACH CASH CONCENTRATION PRIORITY PASS IN-PAYMENTS Priority PAYMENTS PM20</t>
  </si>
  <si>
    <t>PMT-S104-36577</t>
  </si>
  <si>
    <t>BLJ Worldwide</t>
  </si>
  <si>
    <t>Manar Sultan</t>
  </si>
  <si>
    <t>PMT-S104-48463</t>
  </si>
  <si>
    <t>Heineken UK Limited</t>
  </si>
  <si>
    <t>/REMI//URI/NO.IN-S104-439730/16 .6.2025/////ROC/2000027305 FRE0409 5G6MMEVGJ /INS/BNPAFRPPXXX/OCMT/EUR60079,32//BENM/GB84HBUK4011603 1212125 Meltwater (UK) Limited/EXCH/1.1778920//ORDP/1/HEINEKEN UK LIMITED NL84BNPA0227992385 2/3-4 BROADWAY PARK 2/SOUTH G/OBK/BNP ANL2AXXX BNP PARIBAS S.A. - THE NETHERLANDS HERENGRACHT 595 AMSTE RDAM/TMS/2025-09-04T09:04:32 GMT/MID/1.15470908</t>
  </si>
  <si>
    <t>PMT-S104-37407</t>
  </si>
  <si>
    <t>Theo Fennell Limited</t>
  </si>
  <si>
    <t>PMT-S104-44863</t>
  </si>
  <si>
    <t>LAMBERT SCHROER /SREF/234790</t>
  </si>
  <si>
    <t>/REMI//URI/AFRODAD MELTWATER IN- S104-435161///ROC/OT26117ZW014101 7 S06611922E2601 /INS/SBZAZAJJ/OCMT/USD7290,00//BENM/GB84HBUK4011 6031212125 Meltwater (UK) Limited/EXCH/1.3762573//ORDP/AFRODAD 91 40000882177 31 ATKINSON DRIVE HILLSIDE/OBK/SBICZWHXXXX STANBIC BA NK ZIMBABWE LIMITED OTTOMAN HOUSE 59 SAMORA MACHEL AVENUE H/TMS/2 026-04-30T05:12:48 GMT/MID/1.34655650</t>
  </si>
  <si>
    <t>PMT-S104-49427</t>
  </si>
  <si>
    <t>WWF Kenya</t>
  </si>
  <si>
    <t>Check PMT-S104-47885    REMI//URI/PO 13332///ROC/667991 5184FS 6679915184FS/OCMT/USD6942 00//BENM/GB84HBUK40116031212125 Meltwater (UK) Limited/EXCH/1.395 9532//ORDP/1/WORLD WIDE FUND FOR NATURE 7881820049 2/THE MVULI HS E MVULI RD OFF R/OBK/CBAFKENX NCBA BANK KENYA PLC NCBA CENTRE MAR A AND RAGATI ROAD NAIROBI/TMS/2025-07-03T11:38:29 GMT/MID/1.36584 220</t>
  </si>
  <si>
    <t>PMT-S104-37568</t>
  </si>
  <si>
    <t>Magen David Adom</t>
  </si>
  <si>
    <t>/REMI//RFB/INV(S) 104431830 PE T424767360/OCMT/GBP13661,38//BENM/G B84HBUK40116031212125 Meltwater (UK) Limited/EXCH/000000000000//O RDP/MAGEN DAVID ADOM IN ISRAEL 15100012300 60 YIGAL ALON STREET T EL-AVIV 6/OBK/IDBLILITXXX ISRAEL DISCOUNT BANK LTD. 27-31,YEHUD A HALEVI STREET TEL AVIV</t>
  </si>
  <si>
    <t>PMT-S104-44187</t>
  </si>
  <si>
    <t>CHURCH ARMY(THE)</t>
  </si>
  <si>
    <t>/REMI/PET126096184 /ACC/RTN/YRS DT 02/07/2024         //TRN CM-S1 04-4893                 //RSN ACCOUNT FORMAT INVALID FOR NC//C/OC MT/GBP4119,60//BENM/40116031212125 Meltwater (UK) Limited/EXCH/00 0000000000//ORDP/THE CHURCH ARMY/OBK/BUKBGB22XXX BARCLAYS BANK UK PLC 1 CHURCHILL PLACE LONDON</t>
  </si>
  <si>
    <t>PMT-S104-44142</t>
  </si>
  <si>
    <t>Som.X Limited</t>
  </si>
  <si>
    <t>SOM.X LTD SW FP460A4108707372 /ROC/IN-S104-437097 /FPID/RP46799645691600001020240701826200026</t>
  </si>
  <si>
    <t>PMT-S104-39097</t>
  </si>
  <si>
    <t>BNP PARIBAS LEASIN FP343E0603480528 /ROC/Z0064052 CONTRACT /FPID/73197575405168F5SW9320230504826400250</t>
  </si>
  <si>
    <t>PMT-S104-38175</t>
  </si>
  <si>
    <t>METALLON CORPORATION LIMITED</t>
  </si>
  <si>
    <t>SJCS RE METALLON FP311D2009734860 /EREF/METALLON /ROC/METALLON /FPID/BX23020262115385001020230202826200026</t>
  </si>
  <si>
    <t>PMT-S104-39619</t>
  </si>
  <si>
    <t>CMS CAMERON MCKENN FP35B34557831697 /REMI/KANR/164753.00003 /ROC/KANR/164753.00003 /FPID/31030017930584000R4020230612826151000</t>
  </si>
  <si>
    <t>PMT-S104-45622</t>
  </si>
  <si>
    <t>DrugStoc</t>
  </si>
  <si>
    <t>/REMI//RFB/INTERNATIONAL MEDIA SERVICES B185008377846329/OCMT/GBP 7274,00//BENM/GB84HBUK40116031212125 Meltwater (UK) Limited/EXCH/ 000000000000//ORDP/DRUGSTOC EHUB LIMITED 5070882064 3 BILLINGS WA Y IKEJA 7 ARTCOURT ESTAT/OBK/ZEIBNGLAXXX ZENITH BANK PLC 87 AJOSE ADEOGUN STREET ZENITH HEIGHTS VICTORIA ISLAN</t>
  </si>
  <si>
    <t>PMT-S104-41822</t>
  </si>
  <si>
    <t>World Wildlife Fund (WWF) Zambia</t>
  </si>
  <si>
    <t>/REMI/28901 MANAGEMENT CONSULTING SE RVICES     FULL CONSULTANCY PAYMENT           40000105-2020-S01/A DD N3 S0633562CF/OCMT/USD4800,00//BENM/GB84HBUK40116031212125 Mel twater (UK) Limited/EXCH/1.2967201//ORDP/WORLD WIDE FUND FOR NATU RE ZAMBIA 0251413004 PLOT 4978,LOS ANGELES BOU/OBK/CITIZMLUXXX CI TIBANK ZAMBIA LTD CITIBANK HOUSE STAND 4646 ADDIS ABABA ROUNDABOU T/TMS/2023-12-22T06:33:11 GMT/MID/1.26872420</t>
  </si>
  <si>
    <t>PMT-S104-37583</t>
  </si>
  <si>
    <t>CMC WORLDWID LTD FP2BSC3904291371 /ROC/S104-429650/345197 /FPID/RP46799616571360001020221229826200026</t>
  </si>
  <si>
    <t>PMT-S104-42133</t>
  </si>
  <si>
    <t>Bryanston School</t>
  </si>
  <si>
    <t>BRYANSTON SCHOOL /SREF/239921</t>
  </si>
  <si>
    <t>PMT-S104-40569</t>
  </si>
  <si>
    <t>INSIGHT DIRECT UK /SREF/446248</t>
  </si>
  <si>
    <t>PMT-S104-50722</t>
  </si>
  <si>
    <t>/REMI/BEING PAYMENT FOR 2026 HOO TSUITE SUBSCRIPTION S0660923A0EF0 1/OCMT/USD1385,00//BENM/GB84HBUK40116031212125 Meltwater (UK) Lim ited/EXCH/1.3528468//ORDP/ECOBANK ZAMBIA LTD 154000204 22768 ACAC IA PARK THABO MBEKI ROAD P.O. B/OBK/ECOCZMLUXXX ECOBANK ZAMBIA LI MITED THABO MBEKI ROAD LUSAKA/TMS/2026-04-02T16:16:10 GMT/MID/1.3 2365590</t>
  </si>
  <si>
    <t>PMT-S104-47857</t>
  </si>
  <si>
    <t>GORDON MURRAY AUTOMOTIVE LIMITED</t>
  </si>
  <si>
    <t>GORDON R H LTD FP55T34753349995 /EREF/Guest Refund /ROC/Guest Refund /FPID/BX25062746364372004020250630826200000</t>
  </si>
  <si>
    <t>PMT-S104-49628</t>
  </si>
  <si>
    <t>Oman Investment Authority</t>
  </si>
  <si>
    <t>/REMI//URI/OM/880/INV IN S104 44 0352 MANAGEMENT FEES////ROC/B5355 0002200001A FT285076832251/1 /INS/CHASUS33XXX/OCMT/GBP7462,15//BE NM/GB84HBUK40116031212125 Meltwater (UK) Limited/EXCH/00000000000 0//ORDP/1/OMAN INVESTMENT AUTHORITY OM250180001021124098001 2/260 1,4th  5th Fl/OBK/NBOMOMRXXXX NATIONAL BANK OF OMAN 65 AL MARKAZI STREET MUTTRAH BUSINESS DISTRICT</t>
  </si>
  <si>
    <t>PMT-S104-40075</t>
  </si>
  <si>
    <t>ENVIRONMENTAL RESOURCES MANAGEMENT LIMITED</t>
  </si>
  <si>
    <t>/REMI/IN S104 43440+44 202307250 0117566 FT00258212184261/OCMT/GBP 1200,00//BENM/GB84HBUK40116031212125 Meltwater (UK) Limited/EXCH/ 000000000000//ORDP/ERM INFORMATION SOLUTIONS INC 002000037556305 840 W SAM HOUSTON PKWY N/OBK/WFBIUS6SXXX WELLS FARGO BANK,N.A. 4 20 MONTGOMERY STREET SAN FRANCISCO</t>
  </si>
  <si>
    <t>PMT-S104-40547</t>
  </si>
  <si>
    <t>CHGS (CR) 06SEP23 INV 10762135</t>
  </si>
  <si>
    <t>PMT-S104-50747</t>
  </si>
  <si>
    <t>MND Scotland</t>
  </si>
  <si>
    <t>MND Scotland FP637B1734888997 /DbAcct/80071500767080 /ROC/S104-440219 /FPID/3000000017492138091020260408826800715</t>
  </si>
  <si>
    <t>PMT-S104-38717</t>
  </si>
  <si>
    <t>Amnesty International</t>
  </si>
  <si>
    <t>PMT-S104-41397</t>
  </si>
  <si>
    <t>GERALD INTERNATIONAL LIMITED</t>
  </si>
  <si>
    <t>/REMI//URI/IN-S104-435131///ROC/ SDP/20.11.22:13 15PR231121666462/ OCMT/GBP5492,40//BENM/31212125 1/MELTWATER (UK) LTD/EXCH/00000000 0000//ORDP/GERALD INTERNATIONAL LIMITED 10745801 THIRD FLOOR ONE STRAND GRAND BUI/OBK/DEUTGB2LXXX DEUTSCHE BANK AG WINCHESTER HOUS E 1 GREAT WINCHESTER STREET LONDON</t>
  </si>
  <si>
    <t>PMT-S104-49392</t>
  </si>
  <si>
    <t>BRAND COMMUNICATIONS CREATIVES (UK) LTD</t>
  </si>
  <si>
    <t>Brand Commun FP5B4E5825749047 /DbAcct/40040991521020 /ROC/INV 440589 /FPID/0646743185415021019020251205826400409</t>
  </si>
  <si>
    <t>PMT-S104-43483</t>
  </si>
  <si>
    <t>Failte Ireland</t>
  </si>
  <si>
    <t>/BENM//40116031212125MELTWATER UK LTDTOWER BRIDGE HOUSE20 ST KATH ERINESWAY/OCMT/EUR6607,74/EXCH/1,19544705//BBI//EREF/FAILTE IRELA ND LVL3X2A0/ORDP//IE39BOFI90001755048546FAILTE IRELANDAUTHORITY 8 8 TO 95 AMIENS ST DUBLIN 1/IE</t>
  </si>
  <si>
    <t>32C (326) - Sysomos UK</t>
  </si>
  <si>
    <t>PMT-S130D-0273</t>
  </si>
  <si>
    <t>DUMMY CUSTOMER_CASHAPPS 326 - Sysomos UK Limited</t>
  </si>
  <si>
    <t>Barclays Wire 9/10/19 - UNIVERSAL PICTURES L000973364 BGCFrom: 20-00-00 50477567</t>
  </si>
  <si>
    <t>PMT-S130D-0325</t>
  </si>
  <si>
    <t>TI Media Ltd</t>
  </si>
  <si>
    <t>ACH/Wire</t>
  </si>
  <si>
    <t>PMT-S130D-0307</t>
  </si>
  <si>
    <t>Barclays Wire 10/8/19 - UNIVERSAL PICTURES UK01002264 BGCFrom: 20-00-00 50477567</t>
  </si>
  <si>
    <t>PMT-S130D-0323</t>
  </si>
  <si>
    <t>Djembe Communications</t>
  </si>
  <si>
    <t>Barclays Wire 11/13/19</t>
  </si>
  <si>
    <t>PMT-S130D-0169</t>
  </si>
  <si>
    <t>Essence Digital</t>
  </si>
  <si>
    <t>Barclays wire 05/08/19</t>
  </si>
  <si>
    <t>PMT-S130D-0272</t>
  </si>
  <si>
    <t>Barclays Wire 9/6/19 - UNIVERSAL PICTUR * 180603*/ROC/U6900* TFR</t>
  </si>
  <si>
    <t>PMT-S130D-0306</t>
  </si>
  <si>
    <t>Barclays Wire 10/4/19 - UNIVERSAL PICTURES UK00987935 BGCFrom: 20-00-00 50477567</t>
  </si>
  <si>
    <t>PMT-S130D-0095</t>
  </si>
  <si>
    <t>Harvest Digital</t>
  </si>
  <si>
    <t>PMT-S130D-0324</t>
  </si>
  <si>
    <t>Accelerated Intelligence LTD</t>
  </si>
  <si>
    <t>Barclays Wire 11/14/19</t>
  </si>
  <si>
    <t>334 - Meltwater France SAS</t>
  </si>
  <si>
    <t>PMT-S188-1008</t>
  </si>
  <si>
    <t>PERNOD RICARD SA</t>
  </si>
  <si>
    <t>SERA TFR RCVD IN-S188-1369</t>
  </si>
  <si>
    <t>PMT-S188-1572</t>
  </si>
  <si>
    <t>DUMMY CUSTOMER_CASHAPPS 334-Linfluence France</t>
  </si>
  <si>
    <t>VIREMENT SEPA RECU YCI2 00777 GMF/REMI/18562 - VIREMENT EMIS/ISDT VIR/1621563/GMF ASSURANCES 18562 - VIREMENT EMIS/ISDT/2026-03-</t>
  </si>
  <si>
    <t>PMT-S188-1215</t>
  </si>
  <si>
    <t>CHANEL SAS</t>
  </si>
  <si>
    <t>VIREMENT SEPA RECU YCI2 05254 CHANEL/REMI//INV/IN-S188-1668/1.7.2 2024000068834 /INV/IN-S188-1668/1.7.20241N-S188-1</t>
  </si>
  <si>
    <t>PMT-S188-1497</t>
  </si>
  <si>
    <t>D B/O1/PERNOD RICARDO/R04170577643890DE SOGEFRPPUSD39000,00   TX 1.1964265USD39000,00/ROC/548114///URI/IN S109 446364 ORD193637 04170577643890DE SWIFT NTRF 04170577643890DE</t>
  </si>
  <si>
    <t>PMT-S188-0931</t>
  </si>
  <si>
    <t>KERING</t>
  </si>
  <si>
    <t>VIR ETRANGER RECU EUROPEEN /DE 1/GUCCIO GUCCI S.P.A. /FROM IT /MOTIF IN-S188-1209 9.5.2023 26000573 89 /MMO EUR 8200,00 /BNPP EUR 0,00 /REF ZZ1EO3VUZDCLNZVBT</t>
  </si>
  <si>
    <t>PMT-S188-1523</t>
  </si>
  <si>
    <t>D B/O1/PERNOD RICARDO/R04170583954781B5 SOGEFRPPUSD23400,00   TX 1.1908276USD23400,00/ROC/555169///URI/IN S188 1985 04170583954781B5 SWIFT NTRF 04170583954781B5</t>
  </si>
  <si>
    <t>PMT-S188-0588</t>
  </si>
  <si>
    <t>Danone SA</t>
  </si>
  <si>
    <t>VIR SEPA RECU /FRM DANONE /EID 1600011149 /RNF IN-S188-0244</t>
  </si>
  <si>
    <t>PMT-S188-0870</t>
  </si>
  <si>
    <t>FOREIGN TRANSFER RECEIVED INTE RNATIONAL /DE HYVE INTERNATIO NAL EVENTS LIMITED /FROM GB /M OTIF 3034 /MMO GBP 3500,00 /BNP P EUR 0,00 /REF ZZ1EB76Y81LES4P DS</t>
  </si>
  <si>
    <t>PMT-S188-0644</t>
  </si>
  <si>
    <t>VIR SEPA RECU /FRM CELINE /EID 5B1011057136 /RNF OF-FR- 1967</t>
  </si>
  <si>
    <t>PMT-S188-0828</t>
  </si>
  <si>
    <t>FOREIGN TRANSFER RECEIVED INTERNATIONAL /DE THOMAS TELFORD LIMITED /FROM GB /MMO GBP 1179,60 /BNPP EUR 0,00 /REF ZZ1E3VHGKMQ7YFFSX</t>
  </si>
  <si>
    <t>PMT-S188-0853</t>
  </si>
  <si>
    <t>Kanbios</t>
  </si>
  <si>
    <t>SEPA TFR RCVD /FRM KANBIOS /EID 20230619:BNV:249:3 /RNF IN-S188-1060</t>
  </si>
  <si>
    <t>PMT-S188-1166</t>
  </si>
  <si>
    <t>Ville de Paris - DICOM</t>
  </si>
  <si>
    <t>382 - Middle East 2</t>
  </si>
  <si>
    <t>PMT-S114-6938</t>
  </si>
  <si>
    <t>AED</t>
  </si>
  <si>
    <t>DUMMY CUSTOMER_CASHAPPS 382 - Middle East 2</t>
  </si>
  <si>
    <t>NONREF CDM-CC</t>
  </si>
  <si>
    <t>PMT-S114-6688</t>
  </si>
  <si>
    <t>Confederation Of African Football - AFCON</t>
  </si>
  <si>
    <t>8.00 USD AED AED 3.65300000 2025-10-08T10:18:58.000Z CONFEDERATION AFRICAINE DE FOOTBALL NO 3 ABDELKHALEK SARWAT ST STR ELHAI ELMOTAMAIZ 6TH OCT CITY GUIZA EGYPT MELTWATER MIDDLE EAST 2 FZ LLC ABU DHABI UNITED ARAB EMIRATES /URI/MAY MONTHLY REPORT 2025 5397 2 ///ROC/5143146281FS CONFEDERATION AFRICAINE DE FOOTBALL/URI/MAY MONTHLY REPORT 2025 5397 2 ///ROC/5143146281FSFX USD 45028.00 AT 3.6530000 210237577/TMS/2025-10-08T10:18:58 GMT/MID/3.6729750 AES081059BPQIN9C SWIFT S103 AES081059BPQIN9C</t>
  </si>
  <si>
    <t>PMT-S114-6599</t>
  </si>
  <si>
    <t>Foaj alillan for advertising company</t>
  </si>
  <si>
    <t>Customer overpayment for WHT IN-S114-407537</t>
  </si>
  <si>
    <t>PMT-S114-6505</t>
  </si>
  <si>
    <t>USD 17,500.00 HUB OF WILL TRADING SERVICES CO SETTLEMENT OF BILLS PAY FX USD 17410.00 AT 3.6530000 204956647/TMS/2025-06-28T04:17:52 GMT/MID/3.6725000</t>
  </si>
  <si>
    <t>PMT-S114-5766</t>
  </si>
  <si>
    <t>1/ALTWASL ALFAAL LLASTSHARAT WALABH /REF/MELTWATER INVOICE2 SETTLEMENT OF BILL</t>
  </si>
  <si>
    <t>PMT-S114-4936</t>
  </si>
  <si>
    <t>Cash Margin TFAE18PB000780L FTM221173PC6R7PB</t>
  </si>
  <si>
    <t>PMT-S114-5650</t>
  </si>
  <si>
    <t>DANA CHAOUKI ATRACHENA NANA ABU DHA /REF/local transfer</t>
  </si>
  <si>
    <t>PMT-S114-5968</t>
  </si>
  <si>
    <t>NONREF MDGDUB401107</t>
  </si>
  <si>
    <t>PMT-S114-5936</t>
  </si>
  <si>
    <t>NONREF MDGDUB401027</t>
  </si>
  <si>
    <t>PMT-S114-6516</t>
  </si>
  <si>
    <t>MDGAE1000439</t>
  </si>
  <si>
    <t>PMT-S114-5312</t>
  </si>
  <si>
    <t>NONREF MDGDUB208966</t>
  </si>
  <si>
    <t>PMT-S114-7017</t>
  </si>
  <si>
    <t>Mood Design Trading Company (Single Person LLC)</t>
  </si>
  <si>
    <t>M0D FOR DESING AND COOOERCIAL COMPA /REF/OPERATIONAL EXPENSES PAYMENT O F INVOICE408110MOOD</t>
  </si>
  <si>
    <t>PMT-S114-6933</t>
  </si>
  <si>
    <t>Elm Company</t>
  </si>
  <si>
    <t>ELM COMPANY SAUDI JOINT STOCK COMPA ADVANCE PAYMENT</t>
  </si>
  <si>
    <t>PMT-S114-7034</t>
  </si>
  <si>
    <t>Fann Atheer LilDhi'ayah wal-I'lan (INVENU)</t>
  </si>
  <si>
    <t>1/INVENU COMPANY LAST PAYMENT FOR MELTWATER SETTLEME NT OF BILL FX USD 30956.00 AT 3.6530000 219244593 /TMS/2026-04-29T04:17:27 GMT/MID/3.6731200</t>
  </si>
  <si>
    <t>PMT-S114-6931</t>
  </si>
  <si>
    <t>Gulf Air B.S.C</t>
  </si>
  <si>
    <t>1/GULF AIR B.S.C. (C) /URI/INV NO.IN-S114-407909///ROC/AT S OF 26/03/16 FX USD 43656.67 AT 3.6530000 217013037 /TMS/2026-03-17T04:17:18 GMT/MID/3.6732000</t>
  </si>
  <si>
    <t>PMT-S114-6917</t>
  </si>
  <si>
    <t>GAE1003276 0303205735000007 SWIFT NTRF 0303205735000007</t>
  </si>
  <si>
    <t>PMT-S114-6252</t>
  </si>
  <si>
    <t>NONREF MDGDUB303363</t>
  </si>
  <si>
    <t>PMT-S114-6883</t>
  </si>
  <si>
    <t>Alizz Islamic Bank SAOC</t>
  </si>
  <si>
    <t>ALIZZ ISLAMIC BANK GDS VENDOR PAYMENT IN-S114-407858 FX USD 40000.00 AT 3.6530000 215325849/TMS/2026-02-05T09:43:44 GMT/MID/3.6730450</t>
  </si>
  <si>
    <t>PMT-S114-6923</t>
  </si>
  <si>
    <t>Keeta Technologies Arabia Limited</t>
  </si>
  <si>
    <t>"KEETA TECHNOLOGIES ARABIA LIMITED BUSINESS RELATED PAYMENT PAYO202603 04000309 FX USD 18519.40 AT 3.6530000 216519287 /TMS/2026-03-05T04:16:52 GMT/MID/3.6731000"</t>
  </si>
  <si>
    <t>PMT-S114-6825</t>
  </si>
  <si>
    <t>GAE1002334 0102201217000001 SWIFT NTRF 0102201217000001</t>
  </si>
  <si>
    <t>PMT-S114-6916</t>
  </si>
  <si>
    <t>The King Faisal Foundation</t>
  </si>
  <si>
    <t>KING FAISAL FOUNDATION INVOICE SETTLEMENT INVOICE NO. S114 .407951 FX USD 12131.48 AT 3.6530000 216430242 /TMS/2026-03-03T04:16:52 GMT/MID/3.6732200</t>
  </si>
  <si>
    <t>PMT-S114-5057</t>
  </si>
  <si>
    <t>King Abdullah University of Science &amp; Technology (KAUST)</t>
  </si>
  <si>
    <t>To re-record 1010 originally recorded as 1200</t>
  </si>
  <si>
    <t>PMT-S114-6887</t>
  </si>
  <si>
    <t>albilad althaniah Company For Tourism</t>
  </si>
  <si>
    <t>ALBILAD ALTHANIAH COMPANY SETTLEMENT OF BILLS IN S114 407931 FX USD 7385.29 AT 3.6530000 215357861/TMS/2026-02-06T04:16:44 GMT/MID/3.6730450</t>
  </si>
  <si>
    <t>PMT-S114-6925</t>
  </si>
  <si>
    <t>Tact Digital Marketing Company</t>
  </si>
  <si>
    <t>TACT DIGITAL MARKETING CO 3112 TARE /REF/Purchase/expenses/Utilities in v 407 930</t>
  </si>
  <si>
    <t>PMT-S114-6999</t>
  </si>
  <si>
    <t>ALIZZ ISLAMIC BANK VENDOR PAYMENT IN-S114-408098 FX USD 3700.00 AT 3.6530000 218592617/TMS/2026-04-15T12:18:30 GMT/MID/3.6731200</t>
  </si>
  <si>
    <t>PMT-S114-6836</t>
  </si>
  <si>
    <t>BOOPIN LIMITED</t>
  </si>
  <si>
    <t>YY BOOPIN LIMITED FD GROUND FLOOR ACCELERATOR BLDNG MASDAR CITY AUH Abu Dhabi UAE Meltwater Middle East 2 FZ LLC DUBAI UNITED ARAB EMIRATES UNITED A RAB EMIRATES AE /REF/PMT inv407671 BOOPIN LIMITED/REF/PMT inv407671 AER070162Y0OWZUQ SWIFT S103 AER070162Y0OWZUQ</t>
  </si>
  <si>
    <t>PMT-S114-6387</t>
  </si>
  <si>
    <t>Department of Culture and Tourism Abu Dhabi</t>
  </si>
  <si>
    <t>391 - South Africa</t>
  </si>
  <si>
    <t>PMT-S144-10233</t>
  </si>
  <si>
    <t>ZAR</t>
  </si>
  <si>
    <t>DUMMY CUSTOMER_CASHAPPS 391 - South Africa</t>
  </si>
  <si>
    <t>ROF AS UNABE TO APPLY TT JOH3032WYMNYN FX USD 3878.00 AT 18.5149550</t>
  </si>
  <si>
    <t>PMT-S144-10307</t>
  </si>
  <si>
    <t>INYOSIED6 SURRENDER ZAHNET  3728243 BSV Standard</t>
  </si>
  <si>
    <t>PMT-S144-11772</t>
  </si>
  <si>
    <t>All Inn Management</t>
  </si>
  <si>
    <t>Georgia Albutt</t>
  </si>
  <si>
    <t>ALL INN - 409201 ZAHNET  5280217 BSV Standard</t>
  </si>
  <si>
    <t>PMT-S144-11484</t>
  </si>
  <si>
    <t>PARAMOUNT INTERNATIONAL PTY LTD</t>
  </si>
  <si>
    <t>Moved from PMT-S144-11402</t>
  </si>
  <si>
    <t>PMT-S144-8824</t>
  </si>
  <si>
    <t>David Tlale</t>
  </si>
  <si>
    <t>DAVID TLALE PTY LTD ZAHNET  2928763 BSV Standard</t>
  </si>
  <si>
    <t>PMT-S144-11015</t>
  </si>
  <si>
    <t>Blou Bulle Maatskappy (EDMS) bpk</t>
  </si>
  <si>
    <t>CASHFOCUS BLUE BULLS CO ZAHNET  4226371 BSV Standard</t>
  </si>
  <si>
    <t>PMT-S144-11906</t>
  </si>
  <si>
    <t>PAYMASTER PEOPLE SOLUTIONS PTY</t>
  </si>
  <si>
    <t>PMT-S144-9003</t>
  </si>
  <si>
    <t>DAVID TLALE PTY LTD ZAHNET  3022778 BSV Standard</t>
  </si>
  <si>
    <t>PMT-S144-9128</t>
  </si>
  <si>
    <t>DAVID TLALE PTY LTD ZAHNET  3076783 BSV Standard</t>
  </si>
  <si>
    <t>PMT-S144-9109</t>
  </si>
  <si>
    <t>DAVID TLALE PTY LTD ZAHNET  3069699 BSV Standard</t>
  </si>
  <si>
    <t>401 - India</t>
  </si>
  <si>
    <t>INR</t>
  </si>
  <si>
    <t>PMT-S117-12590</t>
  </si>
  <si>
    <t>Kline + Company</t>
  </si>
  <si>
    <t>NEFT FROM KLINE INDIA RESEARCH A ND HDFCN52025090245619618 HDFC 0001 2025/09/02 140324 HDFCH00457268120</t>
  </si>
  <si>
    <t>PMT-S117-13150</t>
  </si>
  <si>
    <t>DUMMY CUSTOMER_CASHAPPS 401 - India</t>
  </si>
  <si>
    <t>/00060330006652 LOTTEINDIACORPORATIONPRIVATELTD 2026/04/24 183004 HDFC042450066005 HDFCR52026042450066005</t>
  </si>
  <si>
    <t>PMT-S117-12894</t>
  </si>
  <si>
    <t>ForethoughtPR Limited</t>
  </si>
  <si>
    <t>FORETHOUGHT PR LIMITED TFR+ /URI/PAYMENT FOR ONLINE NEWS MONITO RING CHARGE,INVOICE NO.: IN- 07826,DATED 15.04.2025 FX USD 5400.00 AT 88.2139975 214209306/TMS/2026-01-08T10:07:37 GMT /MID/89.9340000</t>
  </si>
  <si>
    <t>PMT-S117-11920</t>
  </si>
  <si>
    <t>/054105001095 STAR INDIA PRIVATE LIMITED 2025/01/29 185416 ICIC012907533186 ICICR22025012907533186</t>
  </si>
  <si>
    <t>PMT-S117-12517</t>
  </si>
  <si>
    <t>NEFT FROM NEFT   INWARD RECEIVED REBI /NEFT/ 2025/07/21 133617</t>
  </si>
  <si>
    <t>PMT-S117-12994</t>
  </si>
  <si>
    <t>Ting Works LLP</t>
  </si>
  <si>
    <t>NEFT FROM TING WORKS LLP UTIBN62026021221792881 UTIB Meltwater India Pvt Ltd 2026/02/12 113232 AXISP00769058642</t>
  </si>
  <si>
    <t>PMT-S117-12516</t>
  </si>
  <si>
    <t>Shemaroo Entertainment Private Limited</t>
  </si>
  <si>
    <t>/35159527924 SHEMAROO ENTERTAINMENT LIMITED SHEMAROO ENTERTAINMENT LIMITED 2025/07/18 180641 SBIN071892589584 SBINR12025071892589584</t>
  </si>
  <si>
    <t>PMT-S117-12508</t>
  </si>
  <si>
    <t>GENESIS ADVERTISING PRIVATE LIMITED</t>
  </si>
  <si>
    <t>/00142000027806 GENESIS ADVERTISING PVT LTD 2025/07/17 181759 HDFC071791824899 HDFCR52025071791824899</t>
  </si>
  <si>
    <t>PMT-S117-13046</t>
  </si>
  <si>
    <t>ANJ CREATIONS PRIVATE LIMITED</t>
  </si>
  <si>
    <t>NEFT FROM ANJ CREATIONS PRIVATE L IM YESBN12026031305940553 YESB 2603131917130016 ANJ CREATIONS PVT 2026/03/13 210223 YESIG60720261741</t>
  </si>
  <si>
    <t>PMT-S117-12348</t>
  </si>
  <si>
    <t>NEFT FROM STAR INDIA PRIVATE LIMITE ICIB STAR INDIA PRIVATE LIMITED 2025/05/16 193637</t>
  </si>
  <si>
    <t>PMT-S117-12762</t>
  </si>
  <si>
    <t>NEFT FROM JIOSTAR INDIA PRIVATE L IM ICICN22025111119808714 ICIB JIOSTAR INDIA PRIVATE LIMITED 2025/11/11 190930 IN22531519808714</t>
  </si>
  <si>
    <t>PMT-S117-11949</t>
  </si>
  <si>
    <t>NEFT FROM STAR INDIA PRIVATE LIMITE ICIB STAR INDIA PRIVATE LIMITED 2025/02/04 193337</t>
  </si>
  <si>
    <t>PMT-S117-11417</t>
  </si>
  <si>
    <t>Viacom 18 Media Private Limited</t>
  </si>
  <si>
    <t>NEFT FROM VIACOM 18 MEDIA PVT LTD ICIB VIACOM 18 MEDIA PVT LTD 2024/07/29 183604</t>
  </si>
  <si>
    <t>PMT-S117-12725</t>
  </si>
  <si>
    <t>Air India Limited</t>
  </si>
  <si>
    <t>WHT as per Manar mail 11.06.2025</t>
  </si>
  <si>
    <t>PMT-S117-12776</t>
  </si>
  <si>
    <t>NEFT FROM JIOSTAR INDIA PRIVATE LI M ICICN22025111423350625 ICIB JIOSTAR INDIA PRIVATE LIMITED 2025/11/14 183622 IN22531823350625</t>
  </si>
  <si>
    <t>PMT-S117-12358</t>
  </si>
  <si>
    <t>NEFT FROM STAR INDIA PRIVATE LIMITE ICIB STAR INDIA PRIVATE LIMITED 2025/05/23 190655</t>
  </si>
  <si>
    <t>PMT-S117-10741</t>
  </si>
  <si>
    <t>NEFT FROM FINANCIAL SERVICES CENTER BANS PR12038268 IN S117 406893 19BG3023P 2023/11/06 040110</t>
  </si>
  <si>
    <t>PMT-S117-10075</t>
  </si>
  <si>
    <t>NEFT FROM GRASIM INDUSTRIES LTD PAI HDFC DOMNEFT01 - C71677030323173807 - - 2023/03/03 200204</t>
  </si>
  <si>
    <t>IMPS 612118004444 NSDLPB Service 502000000000 BeneVal-HSBC0110005-XX8001 NSDLPB Service 502000000000/11160010000/9999999999 HSBC0110005/054466628001 IMPS/054466628001</t>
  </si>
  <si>
    <t>412 - Sweden</t>
  </si>
  <si>
    <t>PMT-S146-25901</t>
  </si>
  <si>
    <t>SEK</t>
  </si>
  <si>
    <t>DUMMY CUSTOMER_CASHAPPS 412 - Sweden</t>
  </si>
  <si>
    <t>Max Hugo Larsson Ras Vidal</t>
  </si>
  <si>
    <t>Moved from PMT-S108-5201 SA-S108-DA-57155 TRIFORK A/S DKK 81,375</t>
  </si>
  <si>
    <t>PMT-S146-28090</t>
  </si>
  <si>
    <t>Aktiebolaget Stockholms Spårvägar</t>
  </si>
  <si>
    <t>STOCKHOLMS SPÅRVÄGAR AB</t>
  </si>
  <si>
    <t>PMT-S146-25898</t>
  </si>
  <si>
    <t>DKK</t>
  </si>
  <si>
    <t>Silvan A/S</t>
  </si>
  <si>
    <t>Katarina Andersson</t>
  </si>
  <si>
    <t>Moved from PMT-S108-5338</t>
  </si>
  <si>
    <t>PMT-S146-25899</t>
  </si>
  <si>
    <t>LESSOR A/S</t>
  </si>
  <si>
    <t>Moved from  PMT-S108-5389</t>
  </si>
  <si>
    <t>PMT-S146-23445</t>
  </si>
  <si>
    <t>Högskolan i Borås</t>
  </si>
  <si>
    <t>IN-S146-424346</t>
  </si>
  <si>
    <t>PMT-S146-27126</t>
  </si>
  <si>
    <t>Int. adjustment</t>
  </si>
  <si>
    <t>PMT-S146-25900</t>
  </si>
  <si>
    <t>MAERSK TANKERS A/S</t>
  </si>
  <si>
    <t>Moved from PMT-S108-5297</t>
  </si>
  <si>
    <t>PMT-S146-28000</t>
  </si>
  <si>
    <t>LANDBRUG &amp; FØDEVARER F.M.B.A</t>
  </si>
  <si>
    <t>8 39848.00 57281.50 IBS 39848.00 DKK SEK 143.7500 LANDBRUG + FODEVARER FMBA AXELTORV 3 DK DK5020005903538025 MELTWATER SWEDEN AB BRAHEGATAN 10 SE-114 37 STOCKHOLM CH SE7491900000091950470018 SEK DNBASESXXXX DNBASESXXXX LANDBRUG   FODEVARER F.M.B.A. F IN- S146-429508 2 2026031600022094</t>
  </si>
  <si>
    <t>PMT-S146-24038</t>
  </si>
  <si>
    <t>Omilon Sverige AB</t>
  </si>
  <si>
    <t>PMT-S146-23932</t>
  </si>
  <si>
    <t>Willhem AB</t>
  </si>
  <si>
    <t>PMT-S146-26915</t>
  </si>
  <si>
    <t>Foodora AB</t>
  </si>
  <si>
    <t>IN-S146-428384</t>
  </si>
  <si>
    <t>PMT-S146-24186</t>
  </si>
  <si>
    <t>Medhelp Sjukvårdsrådgivning AB</t>
  </si>
  <si>
    <t>IN-S146-423462</t>
  </si>
  <si>
    <t>PMT-S146-23453</t>
  </si>
  <si>
    <t>REGION KRONOBERG</t>
  </si>
  <si>
    <t>IN-S146-424338</t>
  </si>
  <si>
    <t>PMT-S146-26273</t>
  </si>
  <si>
    <t>Perstorp Holding AB</t>
  </si>
  <si>
    <t>IN-S146-427 (duplicate)</t>
  </si>
  <si>
    <t>PMT-S146-23107</t>
  </si>
  <si>
    <t>Permobil Aktiebolag</t>
  </si>
  <si>
    <t>IN-S146-423983</t>
  </si>
  <si>
    <t>PMT-S146-23239</t>
  </si>
  <si>
    <t>IN-S146-424113</t>
  </si>
  <si>
    <t>Linköpings Universitet</t>
  </si>
  <si>
    <t>PMT-S146-27111</t>
  </si>
  <si>
    <t>990543 »TERBET AZA</t>
  </si>
  <si>
    <t>PMT-S146-24586</t>
  </si>
  <si>
    <t>Ölands Kultur och Nöjespark AB</t>
  </si>
  <si>
    <t>IN-S146-425613</t>
  </si>
  <si>
    <t>PMT-S146-22583</t>
  </si>
  <si>
    <t>Karlstads Kommun</t>
  </si>
  <si>
    <t>PMT-S146-23136</t>
  </si>
  <si>
    <t>Erroneous Receipt from Städbranschen Sverige förlag AB</t>
  </si>
  <si>
    <t>PMT-S146-22745</t>
  </si>
  <si>
    <t>Effektiva Media i Stockholm Aktiebolag</t>
  </si>
  <si>
    <t>PMT-S146-22681</t>
  </si>
  <si>
    <t>AB Tetra Pak</t>
  </si>
  <si>
    <t>PMT-S146-23972</t>
  </si>
  <si>
    <t>IN-S146-424949</t>
  </si>
  <si>
    <t>PMT-S146-27338</t>
  </si>
  <si>
    <t>Meltwater Sweden AB  Kontantavi</t>
  </si>
  <si>
    <t>421 - Finland</t>
  </si>
  <si>
    <t>PMT-S115-31371</t>
  </si>
  <si>
    <t>Drama Queen Communications Oy</t>
  </si>
  <si>
    <t>DRAMA QUEEN COMMUNICATION /51095008 MELTWATER FINLAND OYSCOR 211930000 4322632</t>
  </si>
  <si>
    <t>PMT-S115-26181</t>
  </si>
  <si>
    <t>Bou Oy</t>
  </si>
  <si>
    <t>PMT-S115-28988</t>
  </si>
  <si>
    <t>Liikenteenohjausyhtiö Fintraffic Oy</t>
  </si>
  <si>
    <t>IN-S115-429379, 2023-11-06 11:41:14</t>
  </si>
  <si>
    <t>PMT-S115-32650</t>
  </si>
  <si>
    <t>Aisti Corporation Oy</t>
  </si>
  <si>
    <t>AISTI CORPORATION OY/EREF/L01833/ORDP//NAME/AISTI CORPORATION OY/REMI//CDTRREFTP//CD/SCOR/CDTRREF/2119300004335409AISTI CORPORATION OY</t>
  </si>
  <si>
    <t>PMT-S115-31621</t>
  </si>
  <si>
    <t>Numera Palvelut Oy</t>
  </si>
  <si>
    <t>NUMERA PALVELUT OY /51095008 MELTWA TER FINLAND OYSCOR 0000211930000432 3518</t>
  </si>
  <si>
    <t>PMT-S115-27571</t>
  </si>
  <si>
    <t>Nordic Ren-Gas Oy</t>
  </si>
  <si>
    <t>NORDIC REN-GAS OY</t>
  </si>
  <si>
    <t>PMT-S115-27585</t>
  </si>
  <si>
    <t>PMT-S115-28226</t>
  </si>
  <si>
    <t>Coolbrook Oy</t>
  </si>
  <si>
    <t>COOLBROOK OY /51095008 MELTWATER FI NLAND OYSCOR 00002119300004287434</t>
  </si>
  <si>
    <t>PMT-S115-31821</t>
  </si>
  <si>
    <t>Liikennevirta Oy</t>
  </si>
  <si>
    <t>LIIKENNEVIRTA OY /51095008 MELTWATE R FINLAND OYSCOR 000021193000043267 19</t>
  </si>
  <si>
    <t>PMT-S115-26809</t>
  </si>
  <si>
    <t>Keskustaksi Oy</t>
  </si>
  <si>
    <t>PMT-S115-27568</t>
  </si>
  <si>
    <t>Diktamen Oy</t>
  </si>
  <si>
    <t>overpaid - CM</t>
  </si>
  <si>
    <t>PMT-S115-28427</t>
  </si>
  <si>
    <t>0136082-5</t>
  </si>
  <si>
    <t>PARAISTEN KAUPUNKI /51095008 MELTWA TER FINLAND OYSCOR 0000211930000428 9306</t>
  </si>
  <si>
    <t>PMT-S115-25248</t>
  </si>
  <si>
    <t>Grafia ry</t>
  </si>
  <si>
    <t>PMT-S115-31457</t>
  </si>
  <si>
    <t>Neste Oyj</t>
  </si>
  <si>
    <t>NESTE OYJ /51095008 MELTWATER FINLA ND OYSCOR 2119300004318316</t>
  </si>
  <si>
    <t>PMT-S115-28478</t>
  </si>
  <si>
    <t>Tuska Festival Oy</t>
  </si>
  <si>
    <t>TUSKA FESTIVAL OY /51095008 MELTWAT ER FINLAND OYSCOR 2119300004290188</t>
  </si>
  <si>
    <t>PMT-S115-33052</t>
  </si>
  <si>
    <t>Spin18 Oy</t>
  </si>
  <si>
    <t>SPIN18 OY/EREF/E320999B197104/ORDP//NAME/SPIN18 OY/REMI//CDTRREFTP//CD/SCOR/CDTRREF/2119300004336877SPIN18 OY</t>
  </si>
  <si>
    <t>PMT-S115-25775</t>
  </si>
  <si>
    <t>Proscreen Finland Oy</t>
  </si>
  <si>
    <t>PMT-S115-25891</t>
  </si>
  <si>
    <t>Jones Lang LaSalle Finland Oy</t>
  </si>
  <si>
    <t>ACH CONCENTRATION CREDIT ACH CASH CONCENTRATION JLL AMERICAS-EDI/EFTPMT</t>
  </si>
  <si>
    <t>PMT-S115-32230</t>
  </si>
  <si>
    <t>IN-S115-433180</t>
  </si>
  <si>
    <t>Wolt Oy</t>
  </si>
  <si>
    <t>Moved from CM-S115-1949</t>
  </si>
  <si>
    <t>PMT-S115-29987</t>
  </si>
  <si>
    <t>ProPellet Oy</t>
  </si>
  <si>
    <t>PROPELLET OY /51095008 MELTWATER FINLAND OYSCOR 00002119300004307071</t>
  </si>
  <si>
    <t>PMT-S115-32090</t>
  </si>
  <si>
    <t>Wolfcom Oy</t>
  </si>
  <si>
    <t>IN-S115-432925</t>
  </si>
  <si>
    <t>PMT-S115-28473</t>
  </si>
  <si>
    <t>Suomen Arkkitehtiliitto - Finlands Arkitektförbund ry</t>
  </si>
  <si>
    <t>SUOMEN ARKKITEHTILIITTO - /51095008 MELTWATER FINLAND OYSCOR 211930000 4290395</t>
  </si>
  <si>
    <t>PMT-S115-31313</t>
  </si>
  <si>
    <t>Imaqen Oy</t>
  </si>
  <si>
    <t>Bankruptcy settlement: IMAQEN OY KONKURSSIPESÄ /51095008 M ELTWATER FINLAND OYSA-S115-FI-18488</t>
  </si>
  <si>
    <t>PMT-S115-30730</t>
  </si>
  <si>
    <t>Bamla Agency Oy</t>
  </si>
  <si>
    <t>BAMLA AGENCY OY /51095008 MELTWATER FINLAND OY06.09.2024 CM-S115-2009</t>
  </si>
  <si>
    <t>PMT-S115-30773</t>
  </si>
  <si>
    <t>IN-S115-431652</t>
  </si>
  <si>
    <t>PMT-S115-32424</t>
  </si>
  <si>
    <t>WOLT OY/EREF/001DOGF030417/ORDP//NAME/WOLT OY/REMI//CDTRREFTP//CD/SCOR/CDTRREF/2119300004332680WOLT OY</t>
  </si>
  <si>
    <t>PMT-S115-28761</t>
  </si>
  <si>
    <t>Nomade Collection Ab</t>
  </si>
  <si>
    <t>NOMADE COLLECTION AB /51095008 MELT WATER FINLAND OYSCOR 00002119300004 270946</t>
  </si>
  <si>
    <t>PMT-S115-32610</t>
  </si>
  <si>
    <t>Bluet Oy Ltd</t>
  </si>
  <si>
    <t>BLUET OY LTD/EREF/0000023087000120000007989/ORDP//NAME/BLUET OY LTD/REMI//CDTRREFTP//CD/SCOR/CDTRREF/2119300004333139BLUET OY LTD</t>
  </si>
  <si>
    <t>PMT-S115-27832</t>
  </si>
  <si>
    <t>Helen Oy</t>
  </si>
  <si>
    <t>PMT-S115-32588</t>
  </si>
  <si>
    <t>WOLT OY/EREF/001DOGF031878/ORDP//NAME/WOLT OY/REMI//CDTRREFTP//CD/SCOR/CDTRREF/2119300004334646WOLT OY</t>
  </si>
  <si>
    <t>PMT-S115-32589</t>
  </si>
  <si>
    <t>WOLT OY/EREF/001DOGF031836/ORDP//NAME/WOLT OY/REMI//CDTRREFTP//CD/SCOR/CDTRREF/2119300004333401WOLT OY</t>
  </si>
  <si>
    <t>PMT-S115-31820</t>
  </si>
  <si>
    <t>Drop Design Pool Oy</t>
  </si>
  <si>
    <t>INTRUM OY /51095008 MELTWATER FINLA ND OYTilityserittely 06.03.2025 toi meksiantajanumero 3268350</t>
  </si>
  <si>
    <t>PMT-S115-27528</t>
  </si>
  <si>
    <t>PMT-S115-32343</t>
  </si>
  <si>
    <t>Wolt Enterprises Oy</t>
  </si>
  <si>
    <t>PMT-S115-29244</t>
  </si>
  <si>
    <t>Jolla Oy</t>
  </si>
  <si>
    <t>JOLLA OY /51095008 MELTWATER FINLAN D OYJolla Oy (Y: 2399817-6) saneera usohjelma maksuosuus.</t>
  </si>
  <si>
    <t>PMT-S115-32903</t>
  </si>
  <si>
    <t>Intrum Oy</t>
  </si>
  <si>
    <t>INTRUM OY/EREF/EFTPMT 00302537/ORDP//NAME/INTRUM OY/REMI//CDTRREFTP//CD/SCOR/CDTRREF/2119300004337070INTRUM OY</t>
  </si>
  <si>
    <t>PMT-S115-25724</t>
  </si>
  <si>
    <t>Lännen Tractors Oy</t>
  </si>
  <si>
    <t>431 - Norway</t>
  </si>
  <si>
    <t>PMT-S127-13685</t>
  </si>
  <si>
    <t>NOK</t>
  </si>
  <si>
    <t>Manta Marine Technologies AS</t>
  </si>
  <si>
    <t>FAKTURA IN-S127-413698 116.550,00</t>
  </si>
  <si>
    <t>PMT-S127-13123</t>
  </si>
  <si>
    <t>AKVA GROUP ASA</t>
  </si>
  <si>
    <t>IN-S127-413125 11.01.2024 109.911,25</t>
  </si>
  <si>
    <t>PMT-S127-12138</t>
  </si>
  <si>
    <t>AGDER KOLLEKTIVTRAFIKK AS</t>
  </si>
  <si>
    <t>PMT-S127-12526</t>
  </si>
  <si>
    <t>TAMPNET AS</t>
  </si>
  <si>
    <t>PMT-S127-13732</t>
  </si>
  <si>
    <t>Ergon Nordic AS</t>
  </si>
  <si>
    <t>413786 01.01.0001 42.655,00</t>
  </si>
  <si>
    <t>PMT-S127-13740</t>
  </si>
  <si>
    <t>IN-S127-413786 01.01.0001 42.655,00</t>
  </si>
  <si>
    <t>PMT-S127-12770</t>
  </si>
  <si>
    <t>BETONGPARK ANLEGG AS</t>
  </si>
  <si>
    <t>LOWELL NORGE AS</t>
  </si>
  <si>
    <t>PMT-S127-14174</t>
  </si>
  <si>
    <t>Epax Norway AS</t>
  </si>
  <si>
    <t>6535 079740586535 34500.00 34500.00 IBS 34500.00 EPAX NORWAY AS 5805 NO POSTBOKS 444 5805 BERGEN 15039928652 BBAN Meltwater News AS 0158 NO Nedre Vollgate 3 0158 OSLO 50100542177 BBAN CINV IN -S127-414250 34500.00 2026-04-22T00:00:00+02:00 2026-04-22 1 Overføring innland E86535</t>
  </si>
  <si>
    <t>PMT-S127-11927</t>
  </si>
  <si>
    <t>PMT-S127-12919</t>
  </si>
  <si>
    <t>MO INDUSTRIPARK AS</t>
  </si>
  <si>
    <t>FAKTURA 412897 28.750,00 (duplicate)</t>
  </si>
  <si>
    <t>PMT-S127-14028</t>
  </si>
  <si>
    <t>0176 28125.00 28125.00 IBS 28125.00 NORSK ENERGIGJENVINNING AS 4628 NO MJÅVANNSVEIEN 118 4628 KRISTIANSAND S 73250510966 BBAN Meltwater News AS 0158 NO Nedre Vollgate 3 0158 OSLO 50100542177 BBAN CINV IN-S127-414098 28125.00 2025-12-09T00:00:00+01:00 2025-12-09 2 B70176</t>
  </si>
  <si>
    <t>PMT-S127-13733</t>
  </si>
  <si>
    <t>RYSTAD ENERGY AS</t>
  </si>
  <si>
    <t>FAKTURA IN-S127-413757 27.225,00 FAKTURA 413757 27.225,00</t>
  </si>
  <si>
    <t>PMT-S127-12514</t>
  </si>
  <si>
    <t>Longyearbyen lokalstyre</t>
  </si>
  <si>
    <t>FAKTURA IN-S127-412409 24.500,00</t>
  </si>
  <si>
    <t>PMT-S127-13768</t>
  </si>
  <si>
    <t>IN -S127-413802 01.01.0001 28.750,00 IN-S127-413802 01.01.0001 28.750,00</t>
  </si>
  <si>
    <t>PMT-S127-12187</t>
  </si>
  <si>
    <t>NETKEM AS</t>
  </si>
  <si>
    <t>IN-S127-412059</t>
  </si>
  <si>
    <t>PMT-S127-12244</t>
  </si>
  <si>
    <t>Høyskolen Kristiania - Ernst g Mortensens Stiftelse</t>
  </si>
  <si>
    <t>PMT-S127-13103</t>
  </si>
  <si>
    <t>DUMMY CUSTOMER_CASHAPPS 431 - Norway</t>
  </si>
  <si>
    <t>050554 28.12.2023 15.048,75</t>
  </si>
  <si>
    <t>PMT-S127-13942</t>
  </si>
  <si>
    <t>Relokator AS</t>
  </si>
  <si>
    <t>RELOKATOR AS</t>
  </si>
  <si>
    <t>PMT-S127-12049</t>
  </si>
  <si>
    <t>NORGES BOKSEFORBUND</t>
  </si>
  <si>
    <t>IN-S127-411920 01.01.0001 12.500,00</t>
  </si>
  <si>
    <t>PMT-S127-12722</t>
  </si>
  <si>
    <t>IN-S127-412702 01.01.0001 12.500,00</t>
  </si>
  <si>
    <t>PMT-S127-12644</t>
  </si>
  <si>
    <t>BALSFJORD KOMMUNE</t>
  </si>
  <si>
    <t>Overføring innland nr.3930003 Balsfjord Kommune</t>
  </si>
  <si>
    <t>PMT-S127-13787</t>
  </si>
  <si>
    <t>Norsk Toppfotball</t>
  </si>
  <si>
    <t>IN-S127-413841 01.01.0001 5.208,75</t>
  </si>
  <si>
    <t>PMT-S127-13920</t>
  </si>
  <si>
    <t>NAV Norwegian Labour and Welfare Administration</t>
  </si>
  <si>
    <t>PMT-S127-12788</t>
  </si>
  <si>
    <t>8576914 Lowell Norge AS</t>
  </si>
  <si>
    <t>Americas</t>
  </si>
  <si>
    <t>105 - Owler</t>
  </si>
  <si>
    <t>107 - Linkfluence Corp</t>
  </si>
  <si>
    <t>Sysomos</t>
  </si>
  <si>
    <t>131 - Brazil</t>
  </si>
  <si>
    <t>APAC</t>
  </si>
  <si>
    <t>211 - China</t>
  </si>
  <si>
    <t>231 - Japan</t>
  </si>
  <si>
    <t>EMEA</t>
  </si>
  <si>
    <t>441 - Denmark</t>
  </si>
  <si>
    <t>121 - Argentina</t>
  </si>
  <si>
    <t>251 - Malaysia</t>
  </si>
  <si>
    <t>451- Klear</t>
  </si>
  <si>
    <t>243 - Linkfluence Asia Pte. Ltd</t>
  </si>
  <si>
    <t>323 - Linkfluence LTD</t>
  </si>
  <si>
    <t>312 - Linkfluence GmbH</t>
  </si>
  <si>
    <t>108 - Scoop.it INC</t>
  </si>
  <si>
    <t>212 - Linkfluence Shanghai</t>
  </si>
  <si>
    <t>335 - Scoop.it SAS</t>
  </si>
  <si>
    <t>Row Labels</t>
  </si>
  <si>
    <t>Grand Total</t>
  </si>
  <si>
    <t>Sum of Amount Remaining</t>
  </si>
  <si>
    <t>Marzo</t>
  </si>
  <si>
    <t>Abril</t>
  </si>
  <si>
    <t>By Region/YR</t>
  </si>
  <si>
    <t>IN-S151-593360</t>
  </si>
  <si>
    <t>IN-S151-589402</t>
  </si>
  <si>
    <t>IN-S151-555435</t>
  </si>
  <si>
    <t>IN-S151-546649</t>
  </si>
  <si>
    <t>IN-S151-549189</t>
  </si>
  <si>
    <t>IN-S151-547293</t>
  </si>
  <si>
    <t>IN-S151-568917</t>
  </si>
  <si>
    <t>IN-S151-559205</t>
  </si>
  <si>
    <t>IN-S151-583041</t>
  </si>
  <si>
    <t>IN-S151-564791</t>
  </si>
  <si>
    <t>IN-S151-543872</t>
  </si>
  <si>
    <t>IN-S151-536351</t>
  </si>
  <si>
    <t>IN-S151-536994</t>
  </si>
  <si>
    <t>IN-S151-584586</t>
  </si>
  <si>
    <t>IN-S151-586645</t>
  </si>
  <si>
    <t>IN-S151-560145</t>
  </si>
  <si>
    <t>IN-S151-559407</t>
  </si>
  <si>
    <t>IN-S151-574748</t>
  </si>
  <si>
    <t>IN-S151-592980</t>
  </si>
  <si>
    <t>IN-S151-550789</t>
  </si>
  <si>
    <t>IN-S151-550647</t>
  </si>
  <si>
    <t>IN-S151-592338</t>
  </si>
  <si>
    <t>IN-S151-553963</t>
  </si>
  <si>
    <t>IN-S151-553968</t>
  </si>
  <si>
    <t>IN-S151-553966</t>
  </si>
  <si>
    <t>IN-S151-547382</t>
  </si>
  <si>
    <t>IN-S151-564725</t>
  </si>
  <si>
    <t>IN-S151-588123</t>
  </si>
  <si>
    <t>IN-S151-540721</t>
  </si>
  <si>
    <t>IN-S151-555332</t>
  </si>
  <si>
    <t>IN-S151-555344</t>
  </si>
  <si>
    <t>IN-S151-538297</t>
  </si>
  <si>
    <t>IN-S151-589418</t>
  </si>
  <si>
    <t>IN-S151-580304</t>
  </si>
  <si>
    <t>IN-S151-582892</t>
  </si>
  <si>
    <t>IN-S151-589821</t>
  </si>
  <si>
    <t>IN-S151-560186</t>
  </si>
  <si>
    <t>IN-S151-585386</t>
  </si>
  <si>
    <t>IN-S151-534485</t>
  </si>
  <si>
    <t>IN-S151-544003</t>
  </si>
  <si>
    <t>IN-S151-577332</t>
  </si>
  <si>
    <t>IN-S151-541709</t>
  </si>
  <si>
    <t>IN-S151-545014</t>
  </si>
  <si>
    <t>IN-S151-567734</t>
  </si>
  <si>
    <t>IN-S151-539307</t>
  </si>
  <si>
    <t>IN-S151-542381</t>
  </si>
  <si>
    <t>IN-S151-541218</t>
  </si>
  <si>
    <t>IN-S151-540914</t>
  </si>
  <si>
    <t>IN-S151-540912</t>
  </si>
  <si>
    <t>IN-S151-540913</t>
  </si>
  <si>
    <t>IN-S151-589307</t>
  </si>
  <si>
    <t>IN-S130B-1804</t>
  </si>
  <si>
    <t>IN-S130B-0057</t>
  </si>
  <si>
    <t>IN-S130B-0059</t>
  </si>
  <si>
    <t>IN-S130B-0298</t>
  </si>
  <si>
    <t>IN-S130B-1447</t>
  </si>
  <si>
    <t>IN-S130B-0360</t>
  </si>
  <si>
    <t>IN-S130B-0358</t>
  </si>
  <si>
    <t>IN-S130B-0359</t>
  </si>
  <si>
    <t>IN-S130B-0361</t>
  </si>
  <si>
    <t>IN-S130B-0593</t>
  </si>
  <si>
    <t>IN-S130B-0364</t>
  </si>
  <si>
    <t>IN-S130B-0365</t>
  </si>
  <si>
    <t>IN-S130B-0369</t>
  </si>
  <si>
    <t>IN-S130B-0368</t>
  </si>
  <si>
    <t>IN-S130B-0366</t>
  </si>
  <si>
    <t>IN-S130B-2544</t>
  </si>
  <si>
    <t>IN-S130B-2644</t>
  </si>
  <si>
    <t>IN-S130B-0132</t>
  </si>
  <si>
    <t>IN-S130B-0109</t>
  </si>
  <si>
    <t>IN-S130B-0107</t>
  </si>
  <si>
    <t>IN-S130B-0108</t>
  </si>
  <si>
    <t>IN-S130B-2635</t>
  </si>
  <si>
    <t>IN-S130B-2570</t>
  </si>
  <si>
    <t>IN-S130B-2726</t>
  </si>
  <si>
    <t>IN-S130B-2341</t>
  </si>
  <si>
    <t>IN-S130-455520</t>
  </si>
  <si>
    <t>IN-S130-444455</t>
  </si>
  <si>
    <t>IN-S130-455935</t>
  </si>
  <si>
    <t>IN-S130-454756</t>
  </si>
  <si>
    <t>IN-S130-442681</t>
  </si>
  <si>
    <t>IN-S130-442685</t>
  </si>
  <si>
    <t>IN-S130-452247</t>
  </si>
  <si>
    <t>IN-S130-446514</t>
  </si>
  <si>
    <t>IN-S130-456017</t>
  </si>
  <si>
    <t>IN-S130-445527</t>
  </si>
  <si>
    <t>REFUND PMT-S130C-0298</t>
  </si>
  <si>
    <t>5317</t>
  </si>
  <si>
    <t>IN-S130C-0669</t>
  </si>
  <si>
    <t>IN-S130C-0036</t>
  </si>
  <si>
    <t>IN-S130C-0059</t>
  </si>
  <si>
    <t>IN-S130C-0283</t>
  </si>
  <si>
    <t>IN-S130C-0251</t>
  </si>
  <si>
    <t>IN-S130C-0252</t>
  </si>
  <si>
    <t>IN-S130C-0250</t>
  </si>
  <si>
    <t>IN-S130C-0337</t>
  </si>
  <si>
    <t>IN-S130C-0415</t>
  </si>
  <si>
    <t>IN-S130C-0417</t>
  </si>
  <si>
    <t>IN-S130C-0416</t>
  </si>
  <si>
    <t>IN-S130C-0418</t>
  </si>
  <si>
    <t>IN-S130C-2031</t>
  </si>
  <si>
    <t>IN-S130C-2083</t>
  </si>
  <si>
    <t>IN-S130C-2085</t>
  </si>
  <si>
    <t>IN-S130C-1176</t>
  </si>
  <si>
    <t>IN-S130C-1093</t>
  </si>
  <si>
    <t>IN-S130C-1020</t>
  </si>
  <si>
    <t>IN-S130C-1671</t>
  </si>
  <si>
    <t>IN-S130C-1771</t>
  </si>
  <si>
    <t>IN-S155-424028</t>
  </si>
  <si>
    <t>IN-S155-431433</t>
  </si>
  <si>
    <t>IN-S155-424007</t>
  </si>
  <si>
    <t>IN-S155-426490</t>
  </si>
  <si>
    <t>IN-S155-422085</t>
  </si>
  <si>
    <t>IN-S155-424125</t>
  </si>
  <si>
    <t>IN-S155-420524</t>
  </si>
  <si>
    <t>IN-S133-408223</t>
  </si>
  <si>
    <t>IN-S133-407017</t>
  </si>
  <si>
    <t>IN-S133-407033</t>
  </si>
  <si>
    <t>IN-S158-409318</t>
  </si>
  <si>
    <t>IN-S158-410112</t>
  </si>
  <si>
    <t>IN-S158-410186</t>
  </si>
  <si>
    <t>IN-S158-410328</t>
  </si>
  <si>
    <t>IN-S158-410331</t>
  </si>
  <si>
    <t>IN-S158-410166</t>
  </si>
  <si>
    <t>IN-S158-410605</t>
  </si>
  <si>
    <t>IN-S158-410316</t>
  </si>
  <si>
    <t>IN-S158-410595</t>
  </si>
  <si>
    <t>IN-S158-410484</t>
  </si>
  <si>
    <t>IN-S147-413006</t>
  </si>
  <si>
    <t>IN-S147-416756</t>
  </si>
  <si>
    <t>IN-S147-416618</t>
  </si>
  <si>
    <t>IN-S147-411971</t>
  </si>
  <si>
    <t>IN-S147-415843</t>
  </si>
  <si>
    <t>IN-S147-413332</t>
  </si>
  <si>
    <t>IN-S109-448351</t>
  </si>
  <si>
    <t>IN-S109-444970</t>
  </si>
  <si>
    <t>864</t>
  </si>
  <si>
    <t>IN-S109-447156</t>
  </si>
  <si>
    <t>IN-S109-439093</t>
  </si>
  <si>
    <t>IN-S109-449013</t>
  </si>
  <si>
    <t>IN-S109-448037</t>
  </si>
  <si>
    <t>IN-S109-449006</t>
  </si>
  <si>
    <t>IN-S109-437735</t>
  </si>
  <si>
    <t>IN-S109-446982</t>
  </si>
  <si>
    <t>849</t>
  </si>
  <si>
    <t>IN-S109-438675</t>
  </si>
  <si>
    <t>IN-S109-449138</t>
  </si>
  <si>
    <t>IN-S109-446477</t>
  </si>
  <si>
    <t>IN-S109-447993</t>
  </si>
  <si>
    <t>IN-S109-444756</t>
  </si>
  <si>
    <t>IN-S109-435025</t>
  </si>
  <si>
    <t>IN-S109-446881</t>
  </si>
  <si>
    <t>IN-S109-446330</t>
  </si>
  <si>
    <t>IN-S109-441344</t>
  </si>
  <si>
    <t>IN-S109-443293</t>
  </si>
  <si>
    <t>IN-S109-441185</t>
  </si>
  <si>
    <t>IN-S109-448894</t>
  </si>
  <si>
    <t>IN-S109-441259</t>
  </si>
  <si>
    <t>IN-S109-440918</t>
  </si>
  <si>
    <t>IN-S109-445849</t>
  </si>
  <si>
    <t>IN-S109-441316</t>
  </si>
  <si>
    <t>IN-S109-440031</t>
  </si>
  <si>
    <t>IN-S109-444095</t>
  </si>
  <si>
    <t>IN-S109-439800</t>
  </si>
  <si>
    <t>IN-S109-441405</t>
  </si>
  <si>
    <t>IN-S109-439953</t>
  </si>
  <si>
    <t>IN-S109-443975</t>
  </si>
  <si>
    <t>IN-S109-441110</t>
  </si>
  <si>
    <t>IN-S109-441107</t>
  </si>
  <si>
    <t>IN-S109-441205</t>
  </si>
  <si>
    <t>IN-S104-430746</t>
  </si>
  <si>
    <t>IN-S104-439730</t>
  </si>
  <si>
    <t>IN-S104-429650</t>
  </si>
  <si>
    <t>IN-S104-431830</t>
  </si>
  <si>
    <t>IN-S104-433221</t>
  </si>
  <si>
    <t>IN-S104-437575</t>
  </si>
  <si>
    <t>IN-S104-434751</t>
  </si>
  <si>
    <t>IN-S104-435599</t>
  </si>
  <si>
    <t>IN-S104-440352</t>
  </si>
  <si>
    <t>IN-S104-434446</t>
  </si>
  <si>
    <t>IN-S104-440219</t>
  </si>
  <si>
    <t>IN-S104-432489</t>
  </si>
  <si>
    <t>IN-S104-435281</t>
  </si>
  <si>
    <t>IN-S104-440589</t>
  </si>
  <si>
    <t>IN-S104-436418</t>
  </si>
  <si>
    <t>IN-S130D-0156</t>
  </si>
  <si>
    <t>IN-S130D-0205</t>
  </si>
  <si>
    <t>IN-S130D-0114</t>
  </si>
  <si>
    <t>IN-S130D-0113</t>
  </si>
  <si>
    <t>IN-S130D-0115</t>
  </si>
  <si>
    <t>IN-S130D-0160</t>
  </si>
  <si>
    <t>IN-S188-1981</t>
  </si>
  <si>
    <t>IN-S188-1668</t>
  </si>
  <si>
    <t>IN-S188-1985</t>
  </si>
  <si>
    <t>IN-S188-2013</t>
  </si>
  <si>
    <t>IN-S188-1555</t>
  </si>
  <si>
    <t>IN-S188-2049</t>
  </si>
  <si>
    <t>IN-S114-407718</t>
  </si>
  <si>
    <t>IN-S114-408110</t>
  </si>
  <si>
    <t>IN-S114-407823</t>
  </si>
  <si>
    <t>IN-S114-408015</t>
  </si>
  <si>
    <t>IN-S114-407909</t>
  </si>
  <si>
    <t>IN-S114-407858</t>
  </si>
  <si>
    <t>IN-S114-408003</t>
  </si>
  <si>
    <t>IN-S114-407951</t>
  </si>
  <si>
    <t>IN-S114-407931</t>
  </si>
  <si>
    <t>IN-S114-407930</t>
  </si>
  <si>
    <t>IN-S114-408098</t>
  </si>
  <si>
    <t>IN-S114-407671</t>
  </si>
  <si>
    <t>IN-S114-407439</t>
  </si>
  <si>
    <t>IN-S144-409201</t>
  </si>
  <si>
    <t>IN-S144-409223</t>
  </si>
  <si>
    <t>IN-S144-409139</t>
  </si>
  <si>
    <t>IN-S144-405792</t>
  </si>
  <si>
    <t>IN-S144-408707</t>
  </si>
  <si>
    <t>IN-S117-407871</t>
  </si>
  <si>
    <t>IN-S117-407815</t>
  </si>
  <si>
    <t>IN-S146-428600</t>
  </si>
  <si>
    <t>IN-S146-423537</t>
  </si>
  <si>
    <t>IN-S146-423513</t>
  </si>
  <si>
    <t>IN-S115-432263</t>
  </si>
  <si>
    <t>IN-S115-432351</t>
  </si>
  <si>
    <t>IN-S115-432671</t>
  </si>
  <si>
    <t>IN-S115-431831</t>
  </si>
  <si>
    <t>IN-S115-433181</t>
  </si>
  <si>
    <t>IN-S115-433340</t>
  </si>
  <si>
    <t>IN-S115-434511</t>
  </si>
  <si>
    <t>IN-S115-428404</t>
  </si>
  <si>
    <t>IN-S115-432373</t>
  </si>
  <si>
    <t>IN-S115-428097</t>
  </si>
  <si>
    <t>IN-S115-433268</t>
  </si>
  <si>
    <t>IN-S115-433707</t>
  </si>
  <si>
    <t>IN-S127-413125</t>
  </si>
  <si>
    <t>IN-S127-412026</t>
  </si>
  <si>
    <t>IN-S127-411797</t>
  </si>
  <si>
    <t>IN-S127-413757</t>
  </si>
  <si>
    <t>IN-S127-414250</t>
  </si>
  <si>
    <t>Invoice Number</t>
  </si>
  <si>
    <t>PMT-S151-223708</t>
  </si>
  <si>
    <t>Washington Times Global Media Group</t>
  </si>
  <si>
    <t>PMT-S151-216041</t>
  </si>
  <si>
    <t>The Commit Partnership</t>
  </si>
  <si>
    <t>ACH CONCENTRATION CREDIT ACH CASH CONCENTRATION COMMIT2DALLAS-INS1515900</t>
  </si>
  <si>
    <t>PMT-S151-223744</t>
  </si>
  <si>
    <t>Omaha Supernovas</t>
  </si>
  <si>
    <t>PMT-S151-223676</t>
  </si>
  <si>
    <t>Philander Smith University</t>
  </si>
  <si>
    <t>PMT-S151-223743</t>
  </si>
  <si>
    <t>The Hanover Insurance Company</t>
  </si>
  <si>
    <t>PMT-S151-223677</t>
  </si>
  <si>
    <t>PMT-S151-223723</t>
  </si>
  <si>
    <t>PMT-S158-12718</t>
  </si>
  <si>
    <t>DUMMY CUSTOMER_CASHAPPS 241 - Singapore</t>
  </si>
  <si>
    <t>/CREF/7458424-38000-SG-ACH/BREF/J11 700018855 /EREF/SG260424073/PURP/SALA /OCMT/SGD4086,00/</t>
  </si>
  <si>
    <t>PMT-S158-12723</t>
  </si>
  <si>
    <t>IN-S158-410178</t>
  </si>
  <si>
    <t>Bowman Technologies Inc</t>
  </si>
  <si>
    <t>BOWMAN TECHNOLOGIES INC. /INV/SUPPLIERS PAYMENT PAYMENT FOR SUBSCRIPTION QTY 19 ITEM DESC CA SO CIAL ESSENTIALS L2.. FX USD 20213.80 AT 1.2519980 529478442/TMS/2026-05-05T09:21:01 GMT/MID/1.277626</t>
  </si>
  <si>
    <t>PMT-S109-55381</t>
  </si>
  <si>
    <t>Watches and Wonders Geneva Foundation</t>
  </si>
  <si>
    <t>FRSC TENEO PARIS 1480730582260 504 /ORD.CUST/TENEO PARIS/EREF/FRSC TENEO PARIS</t>
  </si>
  <si>
    <t>PMT-S109-55380</t>
  </si>
  <si>
    <t>NONREF           1480730727260504 /ORD.CUST/CIRCULO DE COMUNICACION SL/PAY.DET./B87255071 CIRCULO C OMUNICACION</t>
  </si>
  <si>
    <t>PMT-S109-55375</t>
  </si>
  <si>
    <t>IC/961045,NONREF,NONREF           IC/961045 ABSCHLUSSPERIODE/CLOSING PERIOD 31.03.26 - 30.04.26 KONTO/ACCOUNT 1/4530/029 DETAILS SIEHE KONTOABSCHLUSSMITTEILUNG. FOR DETAILS SEE STATEMENT OF INTEREST AND CHARGES.</t>
  </si>
  <si>
    <t>PMT-S104-51044</t>
  </si>
  <si>
    <t>AFRODAD (African Forum &amp; Network on Debt Development)</t>
  </si>
  <si>
    <t>PMT-S117-13169</t>
  </si>
  <si>
    <t>PMT-S115-33604</t>
  </si>
  <si>
    <t>Bluet Oy Ltd Scor000021193000043451147000120000008748</t>
  </si>
  <si>
    <t>PMT-S127-14184</t>
  </si>
  <si>
    <t>EB MARINE AS</t>
  </si>
  <si>
    <t>613 25987.50 EB MARINE AS MIDTG$RDVEIEN 16 4031 60750573188 BBAN 50100542177 BBAN EB MARINE AS 2026-04-30 2 Overføring innland 66761127059</t>
  </si>
  <si>
    <t>Total</t>
  </si>
  <si>
    <t>MES</t>
  </si>
  <si>
    <t>AÑO</t>
  </si>
  <si>
    <t>SUBSIDIARY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</si>
</sst>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_);[Red]\(#,##0.00\)"/>
    <numFmt numFmtId="165" formatCode="&quot;€&quot;#,##0.00_);\(&quot;€&quot;#,##0.00\)"/>
    <numFmt numFmtId="166" formatCode="&quot;$&quot;#,##0.00_);\(&quot;$&quot;#,##0.00\)"/>
    <numFmt numFmtId="167" formatCode="&quot;AED&quot;#,##0.00_);\(&quot;AED&quot;#,##0.00\)"/>
    <numFmt numFmtId="168" formatCode="&quot;Can$&quot;#,##0.00_);\(&quot;Can$&quot;#,##0.00\)"/>
    <numFmt numFmtId="169" formatCode="&quot;HK$&quot;#,##0.00_);\(&quot;HK$&quot;#,##0.00\)"/>
    <numFmt numFmtId="170" formatCode="&quot;£&quot;#,##0.00_);\(&quot;£&quot;#,##0.00\)"/>
    <numFmt numFmtId="171" formatCode="&quot;$NZ&quot;#,##0.00_);\(&quot;$NZ&quot;#,##0.00\)"/>
    <numFmt numFmtId="172" formatCode="&quot;DKr&quot;#,##0.00_);\(&quot;DKr&quot;#,##0.00\)"/>
    <numFmt numFmtId="173" formatCode="&quot;SKr&quot;#,##0.00_);\(&quot;SKr&quot;#,##0.00\)"/>
    <numFmt numFmtId="174" formatCode="&quot;R&quot;#,##0.00_);\(&quot;R&quot;#,##0.00\)"/>
    <numFmt numFmtId="175" formatCode="&quot;NKr&quot;#,##0.00_);\(&quot;NKr&quot;#,##0.00\)"/>
    <numFmt numFmtId="176" formatCode="&quot;0#Rs.|1#Re.|1&lt;Rs.&quot;#,##0.00_);\(&quot;0#Rs.|1#Re.|1&lt;Rs.&quot;#,##0.00\)"/>
    <numFmt numFmtId="177" formatCode="&quot;S$&quot;#,##0.00_);\(&quot;S$&quot;#,##0.00\)"/>
    <numFmt numFmtId="178" formatCode="&quot;$A&quot;#,##0.00_);\(&quot;$A&quot;#,##0.00\)"/>
    <numFmt numFmtId="180" formatCode="mm/dd/yyyy;@"/>
  </numFmts>
  <fonts count="24">
    <font>
      <sz val="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7"/>
      <name val="Arial"/>
      <family val="2"/>
    </font>
    <font>
      <sz val="8"/>
      <color indexed="8"/>
      <name val="Verdana"/>
      <family val="2"/>
    </font>
    <font>
      <sz val="8"/>
      <name val="Arial"/>
      <family val="2"/>
    </font>
    <font>
      <b/>
      <sz val="11"/>
      <name val="Arial"/>
      <family val="2"/>
    </font>
    <font>
      <sz val="8"/>
      <color theme="0"/>
      <name val="Arial"/>
      <family val="2"/>
    </font>
    <font>
      <sz val="11"/>
      <color theme="0"/>
      <name val="DengXian"/>
      <charset val="134"/>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D0D0"/>
        <bgColor indexed="64"/>
      </patternFill>
    </fill>
    <fill>
      <patternFill patternType="solid">
        <fgColor rgb="FF002060"/>
        <bgColor indexed="64"/>
      </patternFill>
    </fill>
    <fill>
      <patternFill patternType="solid">
        <fgColor theme="5"/>
        <bgColor indexed="64"/>
      </patternFill>
    </fill>
    <fill>
      <patternFill patternType="solid">
        <fgColor theme="3"/>
        <bgColor indexed="64"/>
      </patternFill>
    </fill>
    <fill>
      <patternFill patternType="solid">
        <fgColor theme="4"/>
        <bgColor indexed="64"/>
      </patternFill>
    </fill>
    <fill>
      <patternFill patternType="solid">
        <fgColor theme="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cellStyleXfs>
  <cellXfs count="42">
    <xf numFmtId="0" fontId="0" fillId="0" borderId="0" xfId="0"/>
    <xf numFmtId="0" fontId="18" fillId="33" borderId="0" xfId="0" applyFont="1" applyFill="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44" fontId="0" fillId="0" borderId="10" xfId="1" applyFont="1" applyBorder="1"/>
    <xf numFmtId="44" fontId="0" fillId="0" borderId="0" xfId="0" applyNumberFormat="1"/>
    <xf numFmtId="0" fontId="21" fillId="0" borderId="0" xfId="43" applyFont="1"/>
    <xf numFmtId="14" fontId="0" fillId="0" borderId="0" xfId="0" applyNumberFormat="1"/>
    <xf numFmtId="166" fontId="0" fillId="0" borderId="0" xfId="0" applyNumberFormat="1" applyAlignment="1">
      <alignment horizontal="right" vertical="center"/>
    </xf>
    <xf numFmtId="164" fontId="19" fillId="0" borderId="0" xfId="0" applyNumberFormat="1" applyFont="1"/>
    <xf numFmtId="168" fontId="0" fillId="0" borderId="0" xfId="0" applyNumberFormat="1" applyAlignment="1">
      <alignment horizontal="right" vertical="center"/>
    </xf>
    <xf numFmtId="170" fontId="0" fillId="0" borderId="0" xfId="0" applyNumberFormat="1" applyAlignment="1">
      <alignment horizontal="right" vertical="center"/>
    </xf>
    <xf numFmtId="165" fontId="0" fillId="0" borderId="0" xfId="0" applyNumberFormat="1" applyAlignment="1">
      <alignment horizontal="right" vertical="center"/>
    </xf>
    <xf numFmtId="178" fontId="0" fillId="0" borderId="0" xfId="0" applyNumberFormat="1" applyAlignment="1">
      <alignment horizontal="right" vertical="center"/>
    </xf>
    <xf numFmtId="171" fontId="0" fillId="0" borderId="0" xfId="0" applyNumberFormat="1" applyAlignment="1">
      <alignment horizontal="right" vertical="center"/>
    </xf>
    <xf numFmtId="169" fontId="0" fillId="0" borderId="0" xfId="0" applyNumberFormat="1" applyAlignment="1">
      <alignment horizontal="right" vertical="center"/>
    </xf>
    <xf numFmtId="177" fontId="0" fillId="0" borderId="0" xfId="0" applyNumberFormat="1" applyAlignment="1">
      <alignment horizontal="right" vertical="center"/>
    </xf>
    <xf numFmtId="167" fontId="0" fillId="0" borderId="0" xfId="0" applyNumberFormat="1" applyAlignment="1">
      <alignment horizontal="right" vertical="center"/>
    </xf>
    <xf numFmtId="174" fontId="0" fillId="0" borderId="0" xfId="0" applyNumberFormat="1" applyAlignment="1">
      <alignment horizontal="right" vertical="center"/>
    </xf>
    <xf numFmtId="176" fontId="0" fillId="0" borderId="0" xfId="0" applyNumberFormat="1" applyAlignment="1">
      <alignment horizontal="right" vertical="center"/>
    </xf>
    <xf numFmtId="173" fontId="0" fillId="0" borderId="0" xfId="0" applyNumberFormat="1" applyAlignment="1">
      <alignment horizontal="right" vertical="center"/>
    </xf>
    <xf numFmtId="172" fontId="0" fillId="0" borderId="0" xfId="0" applyNumberFormat="1" applyAlignment="1">
      <alignment horizontal="right" vertical="center"/>
    </xf>
    <xf numFmtId="175" fontId="0" fillId="0" borderId="0" xfId="0" applyNumberFormat="1" applyAlignment="1">
      <alignment horizontal="right" vertical="center"/>
    </xf>
    <xf numFmtId="0" fontId="0" fillId="0" borderId="0" xfId="0" applyNumberFormat="1"/>
    <xf numFmtId="0" fontId="0" fillId="0" borderId="0" xfId="0" applyNumberFormat="1" applyAlignment="1">
      <alignment horizontal="center"/>
    </xf>
    <xf numFmtId="0" fontId="22" fillId="34" borderId="0" xfId="0" applyFont="1" applyFill="1"/>
    <xf numFmtId="0" fontId="22" fillId="34" borderId="0" xfId="0" applyFont="1" applyFill="1" applyAlignment="1">
      <alignment horizontal="left"/>
    </xf>
    <xf numFmtId="164" fontId="22" fillId="34" borderId="0" xfId="0" applyNumberFormat="1" applyFont="1" applyFill="1"/>
    <xf numFmtId="0" fontId="22" fillId="35" borderId="0" xfId="0" applyFont="1" applyFill="1"/>
    <xf numFmtId="0" fontId="22" fillId="35" borderId="0" xfId="0" applyFont="1" applyFill="1" applyAlignment="1">
      <alignment horizontal="left"/>
    </xf>
    <xf numFmtId="164" fontId="22" fillId="35" borderId="0" xfId="0" applyNumberFormat="1" applyFont="1" applyFill="1"/>
    <xf numFmtId="0" fontId="22" fillId="36" borderId="0" xfId="0" applyFont="1" applyFill="1"/>
    <xf numFmtId="0" fontId="22" fillId="36" borderId="0" xfId="0" applyFont="1" applyFill="1" applyAlignment="1">
      <alignment horizontal="left"/>
    </xf>
    <xf numFmtId="164" fontId="22" fillId="36" borderId="0" xfId="0" applyNumberFormat="1" applyFont="1" applyFill="1"/>
    <xf numFmtId="0" fontId="23" fillId="34" borderId="0" xfId="0" applyFont="1" applyFill="1"/>
    <xf numFmtId="0" fontId="0" fillId="37" borderId="0" xfId="0" applyFill="1" applyAlignment="1">
      <alignment horizontal="center"/>
    </xf>
    <xf numFmtId="0" fontId="0" fillId="38" borderId="0" xfId="0" applyFill="1" applyAlignment="1">
      <alignment horizontal="center"/>
    </xf>
    <xf numFmtId="180" fontId="0" fillId="0" borderId="0" xfId="0" applyNumberFormat="1"/>
    <xf numFmtId="49"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ustomBuiltin="1"/>
    <cellStyle name="Normal 2" xfId="43" xr:uid="{C34A491E-9858-4786-B2C1-C83307A24EE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1">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alignment horizontal="center"/>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alignment horizontal="center"/>
    </dxf>
    <dxf>
      <fill>
        <patternFill>
          <bgColor theme="4"/>
        </patternFill>
      </fill>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alignment horizontal="center"/>
    </dxf>
    <dxf>
      <fill>
        <patternFill>
          <bgColor theme="7"/>
        </patternFill>
      </fill>
    </dxf>
    <dxf>
      <fill>
        <patternFill patternType="solid">
          <bgColor rgb="FF002060"/>
        </patternFill>
      </fill>
    </dxf>
    <dxf>
      <fill>
        <patternFill patternType="solid">
          <bgColor rgb="FF002060"/>
        </patternFill>
      </fill>
    </dxf>
    <dxf>
      <font>
        <color theme="0"/>
      </font>
    </dxf>
    <dxf>
      <font>
        <color theme="0"/>
      </font>
    </dxf>
    <dxf>
      <fill>
        <patternFill patternType="solid">
          <bgColor rgb="FF002060"/>
        </patternFill>
      </fill>
    </dxf>
    <dxf>
      <fill>
        <patternFill patternType="solid">
          <bgColor rgb="FF002060"/>
        </patternFill>
      </fill>
    </dxf>
    <dxf>
      <font>
        <color theme="0"/>
      </font>
    </dxf>
    <dxf>
      <font>
        <color theme="0"/>
      </font>
    </dxf>
    <dxf>
      <fill>
        <patternFill patternType="solid">
          <bgColor rgb="FF002060"/>
        </patternFill>
      </fill>
    </dxf>
    <dxf>
      <fill>
        <patternFill patternType="solid">
          <bgColor rgb="FF002060"/>
        </patternFill>
      </fill>
    </dxf>
    <dxf>
      <font>
        <color theme="0"/>
      </font>
    </dxf>
    <dxf>
      <font>
        <color theme="0"/>
      </font>
    </dxf>
    <dxf>
      <fill>
        <patternFill patternType="solid">
          <bgColor rgb="FF002060"/>
        </patternFill>
      </fill>
    </dxf>
    <dxf>
      <fill>
        <patternFill patternType="solid">
          <bgColor rgb="FF002060"/>
        </patternFill>
      </fill>
    </dxf>
    <dxf>
      <font>
        <color theme="0"/>
      </font>
    </dxf>
    <dxf>
      <font>
        <color theme="0"/>
      </font>
    </dxf>
    <dxf>
      <fill>
        <patternFill>
          <bgColor theme="5"/>
        </patternFill>
      </fill>
    </dxf>
    <dxf>
      <fill>
        <patternFill>
          <bgColor theme="5"/>
        </patternFill>
      </fill>
    </dxf>
    <dxf>
      <fill>
        <patternFill>
          <bgColor theme="5"/>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patternFill>
      </fill>
    </dxf>
    <dxf>
      <fill>
        <patternFill>
          <bgColor theme="4"/>
        </patternFill>
      </fill>
    </dxf>
    <dxf>
      <alignment horizontal="center"/>
    </dxf>
    <dxf>
      <alignment horizontal="center"/>
    </dxf>
    <dxf>
      <alignment horizontal="center"/>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fill>
        <patternFill>
          <bgColor theme="5"/>
        </patternFill>
      </fill>
    </dxf>
    <dxf>
      <fill>
        <patternFill>
          <bgColor theme="5"/>
        </patternFill>
      </fill>
    </dxf>
    <dxf>
      <fill>
        <patternFill>
          <bgColor theme="5"/>
        </patternFill>
      </fill>
    </dxf>
    <dxf>
      <fill>
        <patternFill>
          <bgColor theme="5"/>
        </patternFill>
      </fill>
    </dxf>
    <dxf>
      <fill>
        <patternFill patternType="solid">
          <bgColor rgb="FF002060"/>
        </patternFill>
      </fill>
    </dxf>
    <dxf>
      <fill>
        <patternFill patternType="solid">
          <bgColor rgb="FF002060"/>
        </patternFill>
      </fill>
    </dxf>
    <dxf>
      <font>
        <color theme="0"/>
      </font>
    </dxf>
    <dxf>
      <font>
        <color theme="0"/>
      </font>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ont>
        <color theme="0"/>
      </font>
    </dxf>
    <dxf>
      <font>
        <color theme="0"/>
      </font>
    </dxf>
    <dxf>
      <fill>
        <patternFill patternType="solid">
          <bgColor rgb="FF002060"/>
        </patternFill>
      </fill>
    </dxf>
    <dxf>
      <fill>
        <patternFill patternType="solid">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1249680</xdr:colOff>
      <xdr:row>22</xdr:row>
      <xdr:rowOff>30480</xdr:rowOff>
    </xdr:from>
    <xdr:to>
      <xdr:col>7</xdr:col>
      <xdr:colOff>1143000</xdr:colOff>
      <xdr:row>26</xdr:row>
      <xdr:rowOff>106680</xdr:rowOff>
    </xdr:to>
    <mc:AlternateContent xmlns:mc="http://schemas.openxmlformats.org/markup-compatibility/2006" xmlns:a14="http://schemas.microsoft.com/office/drawing/2010/main">
      <mc:Choice Requires="a14">
        <xdr:graphicFrame macro="">
          <xdr:nvGraphicFramePr>
            <xdr:cNvPr id="2" name="Subsidiary">
              <a:extLst>
                <a:ext uri="{FF2B5EF4-FFF2-40B4-BE49-F238E27FC236}">
                  <a16:creationId xmlns:a16="http://schemas.microsoft.com/office/drawing/2014/main" id="{396D147E-ECA9-87E9-B4DF-9C5D2A0F6C63}"/>
                </a:ext>
              </a:extLst>
            </xdr:cNvPr>
            <xdr:cNvGraphicFramePr/>
          </xdr:nvGraphicFramePr>
          <xdr:xfrm>
            <a:off x="0" y="0"/>
            <a:ext cx="0" cy="0"/>
          </xdr:xfrm>
          <a:graphic>
            <a:graphicData uri="http://schemas.microsoft.com/office/drawing/2010/slicer">
              <sle:slicer xmlns:sle="http://schemas.microsoft.com/office/drawing/2010/slicer" name="Subsidiary"/>
            </a:graphicData>
          </a:graphic>
        </xdr:graphicFrame>
      </mc:Choice>
      <mc:Fallback xmlns="">
        <xdr:sp macro="" textlink="">
          <xdr:nvSpPr>
            <xdr:cNvPr id="0" name=""/>
            <xdr:cNvSpPr>
              <a:spLocks noTextEdit="1"/>
            </xdr:cNvSpPr>
          </xdr:nvSpPr>
          <xdr:spPr>
            <a:xfrm>
              <a:off x="2019300" y="2118360"/>
              <a:ext cx="551688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161086</xdr:colOff>
      <xdr:row>7</xdr:row>
      <xdr:rowOff>60960</xdr:rowOff>
    </xdr:to>
    <xdr:pic>
      <xdr:nvPicPr>
        <xdr:cNvPr id="4" name="Picture 3">
          <a:extLst>
            <a:ext uri="{FF2B5EF4-FFF2-40B4-BE49-F238E27FC236}">
              <a16:creationId xmlns:a16="http://schemas.microsoft.com/office/drawing/2014/main" id="{D36F2386-66EB-66F6-8DDB-CA02B8E136C1}"/>
            </a:ext>
          </a:extLst>
        </xdr:cNvPr>
        <xdr:cNvPicPr>
          <a:picLocks noChangeAspect="1"/>
        </xdr:cNvPicPr>
      </xdr:nvPicPr>
      <xdr:blipFill>
        <a:blip xmlns:r="http://schemas.openxmlformats.org/officeDocument/2006/relationships" r:embed="rId1"/>
        <a:stretch>
          <a:fillRect/>
        </a:stretch>
      </xdr:blipFill>
      <xdr:spPr>
        <a:xfrm>
          <a:off x="0" y="0"/>
          <a:ext cx="2447086" cy="9677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nesto Jaramillo" refreshedDate="46147.826969444446" createdVersion="8" refreshedVersion="8" minRefreshableVersion="3" recordCount="589" xr:uid="{AEAEB07C-6628-49C0-A6CA-E6CD38550761}">
  <cacheSource type="worksheet">
    <worksheetSource ref="A1:BT668" sheet="UnappliedPaymentsErnestoResult"/>
  </cacheSource>
  <cacheFields count="72">
    <cacheField name="Subsidiary (no hierarchy)" numFmtId="0">
      <sharedItems containsBlank="1"/>
    </cacheField>
    <cacheField name="Date" numFmtId="0">
      <sharedItems containsDate="1" containsBlank="1" containsMixedTypes="1" minDate="2019-01-23T00:00:00" maxDate="2026-05-06T00:00:00"/>
    </cacheField>
    <cacheField name="MES" numFmtId="0">
      <sharedItems containsBlank="1"/>
    </cacheField>
    <cacheField name="AÑO" numFmtId="0">
      <sharedItems containsBlank="1" containsMixedTypes="1" containsNumber="1" containsInteger="1" minValue="2019" maxValue="2026"/>
    </cacheField>
    <cacheField name="SUBSIDIARY" numFmtId="0">
      <sharedItems containsBlank="1" count="6">
        <s v="Americas"/>
        <s v="Sysomos"/>
        <s v="APAC"/>
        <s v="EMEA"/>
        <e v="#N/A"/>
        <m/>
      </sharedItems>
    </cacheField>
    <cacheField name="Status" numFmtId="0">
      <sharedItems containsBlank="1"/>
    </cacheField>
    <cacheField name="Number" numFmtId="0">
      <sharedItems containsBlank="1"/>
    </cacheField>
    <cacheField name="Invoice Number" numFmtId="0">
      <sharedItems containsBlank="1"/>
    </cacheField>
    <cacheField name="Currency" numFmtId="0">
      <sharedItems containsBlank="1"/>
    </cacheField>
    <cacheField name="Amount Base" numFmtId="0">
      <sharedItems containsString="0" containsBlank="1" containsNumber="1" minValue="-14611696.16" maxValue="-0.01"/>
    </cacheField>
    <cacheField name="Amount USD" numFmtId="0">
      <sharedItems containsString="0" containsBlank="1" containsNumber="1" minValue="-6776077.2599999998" maxValue="-0.01"/>
    </cacheField>
    <cacheField name="Amount Remaining" numFmtId="0">
      <sharedItems containsString="0" containsBlank="1" containsNumber="1" minValue="3.0000000000000001E-3" maxValue="3256517.25"/>
    </cacheField>
    <cacheField name="Balance" numFmtId="0">
      <sharedItems containsString="0" containsBlank="1" containsNumber="1" minValue="-14871008.34" maxValue="154725.09"/>
    </cacheField>
    <cacheField name="Customer Name" numFmtId="0">
      <sharedItems containsBlank="1"/>
    </cacheField>
    <cacheField name="AR Specialist" numFmtId="0">
      <sharedItems containsBlank="1"/>
    </cacheField>
    <cacheField name="Memo" numFmtId="0">
      <sharedItems containsBlank="1" longText="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s>
  <extLst>
    <ext xmlns:x14="http://schemas.microsoft.com/office/spreadsheetml/2009/9/main" uri="{725AE2AE-9491-48be-B2B4-4EB974FC3084}">
      <x14:pivotCacheDefinition pivotCacheId="1715484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nesto Jaramillo" refreshedDate="46147.826969791669" createdVersion="8" refreshedVersion="8" minRefreshableVersion="3" recordCount="543" xr:uid="{9FA5BE33-F799-43CE-BFCB-2BADFE8C8FF3}">
  <cacheSource type="worksheet">
    <worksheetSource ref="A1:AZ544" sheet="UnappliedPaymentsErnestoResult"/>
  </cacheSource>
  <cacheFields count="52">
    <cacheField name="Subsidiary (no hierarchy)" numFmtId="0">
      <sharedItems/>
    </cacheField>
    <cacheField name="Date" numFmtId="14">
      <sharedItems containsSemiMixedTypes="0" containsNonDate="0" containsDate="1" containsString="0" minDate="2019-01-23T00:00:00" maxDate="2026-05-06T00:00:00"/>
    </cacheField>
    <cacheField name="MES" numFmtId="14">
      <sharedItems/>
    </cacheField>
    <cacheField name="AÑO" numFmtId="49">
      <sharedItems containsSemiMixedTypes="0" containsString="0" containsNumber="1" containsInteger="1" minValue="2019" maxValue="2026"/>
    </cacheField>
    <cacheField name="SUBSIDIARY" numFmtId="14">
      <sharedItems count="5">
        <s v="Americas"/>
        <s v="Sysomos"/>
        <s v="APAC"/>
        <s v="EMEA"/>
        <e v="#N/A" u="1"/>
      </sharedItems>
    </cacheField>
    <cacheField name="Status" numFmtId="0">
      <sharedItems/>
    </cacheField>
    <cacheField name="Number" numFmtId="0">
      <sharedItems/>
    </cacheField>
    <cacheField name="Invoice Number" numFmtId="0">
      <sharedItems/>
    </cacheField>
    <cacheField name="Currency" numFmtId="0">
      <sharedItems/>
    </cacheField>
    <cacheField name="Amount Base" numFmtId="0">
      <sharedItems containsSemiMixedTypes="0" containsString="0" containsNumber="1" minValue="-1167188.3999999999" maxValue="-0.01"/>
    </cacheField>
    <cacheField name="Amount USD" numFmtId="164">
      <sharedItems containsSemiMixedTypes="0" containsString="0" containsNumber="1" minValue="-228603.73300000001" maxValue="-0.01"/>
    </cacheField>
    <cacheField name="Amount Remaining" numFmtId="164">
      <sharedItems containsSemiMixedTypes="0" containsString="0" containsNumber="1" minValue="3.0000000000000001E-3" maxValue="228603.73300000001"/>
    </cacheField>
    <cacheField name="Balance" numFmtId="164">
      <sharedItems containsSemiMixedTypes="0" containsString="0" containsNumber="1" minValue="-318643.51400000002" maxValue="154725.09"/>
    </cacheField>
    <cacheField name="Customer Name" numFmtId="0">
      <sharedItems/>
    </cacheField>
    <cacheField name="AR Specialist" numFmtId="0">
      <sharedItems/>
    </cacheField>
    <cacheField name="Memo" numFmtId="0">
      <sharedItems longText="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nesto Jaramillo" refreshedDate="46147.826970138885" createdVersion="8" refreshedVersion="8" minRefreshableVersion="3" recordCount="544" xr:uid="{A32470D5-05AA-4270-AF6A-5F3285B7E70D}">
  <cacheSource type="worksheet">
    <worksheetSource ref="A1:AT545" sheet="UnappliedPaymentsErnestoResult"/>
  </cacheSource>
  <cacheFields count="46">
    <cacheField name="Subsidiary (no hierarchy)" numFmtId="0">
      <sharedItems/>
    </cacheField>
    <cacheField name="Date" numFmtId="14">
      <sharedItems containsSemiMixedTypes="0" containsNonDate="0" containsDate="1" containsString="0" minDate="2019-01-23T00:00:00" maxDate="2026-05-06T00:00:00"/>
    </cacheField>
    <cacheField name="MES" numFmtId="14">
      <sharedItems/>
    </cacheField>
    <cacheField name="AÑO" numFmtId="49">
      <sharedItems containsSemiMixedTypes="0" containsDate="1" containsString="0" containsMixedTypes="1" minDate="1900-01-05T22:40:04" maxDate="1905-07-19T00:00:00" count="14">
        <n v="2025"/>
        <n v="2026"/>
        <n v="2022"/>
        <n v="2023"/>
        <n v="2024"/>
        <n v="2020"/>
        <n v="2019"/>
        <d v="1905-07-17T00:00:00" u="1"/>
        <d v="1905-07-18T00:00:00" u="1"/>
        <d v="1905-07-14T00:00:00" u="1"/>
        <d v="1905-07-15T00:00:00" u="1"/>
        <d v="1905-07-16T00:00:00" u="1"/>
        <d v="1905-07-12T00:00:00" u="1"/>
        <d v="1905-07-11T00:00:00" u="1"/>
      </sharedItems>
    </cacheField>
    <cacheField name="SUBSIDIARY" numFmtId="14">
      <sharedItems count="5">
        <s v="Americas"/>
        <s v="Sysomos"/>
        <s v="APAC"/>
        <s v="EMEA"/>
        <e v="#N/A" u="1"/>
      </sharedItems>
    </cacheField>
    <cacheField name="Status" numFmtId="0">
      <sharedItems/>
    </cacheField>
    <cacheField name="Number" numFmtId="0">
      <sharedItems/>
    </cacheField>
    <cacheField name="Invoice Number" numFmtId="0">
      <sharedItems/>
    </cacheField>
    <cacheField name="Currency" numFmtId="0">
      <sharedItems/>
    </cacheField>
    <cacheField name="Amount Base" numFmtId="0">
      <sharedItems containsSemiMixedTypes="0" containsString="0" containsNumber="1" minValue="-1167188.3999999999" maxValue="-0.01"/>
    </cacheField>
    <cacheField name="Amount USD" numFmtId="164">
      <sharedItems containsSemiMixedTypes="0" containsString="0" containsNumber="1" minValue="-228603.73300000001" maxValue="-0.01"/>
    </cacheField>
    <cacheField name="Amount Remaining" numFmtId="164">
      <sharedItems containsSemiMixedTypes="0" containsString="0" containsNumber="1" minValue="3.0000000000000001E-3" maxValue="228603.73300000001"/>
    </cacheField>
    <cacheField name="Balance" numFmtId="164">
      <sharedItems containsSemiMixedTypes="0" containsString="0" containsNumber="1" minValue="-318643.51400000002" maxValue="154725.09"/>
    </cacheField>
    <cacheField name="Customer Name" numFmtId="0">
      <sharedItems/>
    </cacheField>
    <cacheField name="AR Specialist" numFmtId="0">
      <sharedItems/>
    </cacheField>
    <cacheField name="Memo" numFmtId="0">
      <sharedItems longText="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s>
  <extLst>
    <ext xmlns:x14="http://schemas.microsoft.com/office/spreadsheetml/2009/9/main" uri="{725AE2AE-9491-48be-B2B4-4EB974FC3084}">
      <x14:pivotCacheDefinition pivotCacheId="29831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
  <r>
    <s v="102 - US"/>
    <d v="2025-03-20T00:00:00"/>
    <s v="MARCH"/>
    <n v="2025"/>
    <x v="0"/>
    <s v="Deposited"/>
    <s v="PMT-S151-202999"/>
    <s v=""/>
    <s v="USD"/>
    <n v="-81229.11"/>
    <n v="-81229.11"/>
    <n v="81229.11"/>
    <n v="-250567.82"/>
    <s v="DUMMY CUSTOMER_CASHAPPS 102 - US"/>
    <s v=""/>
    <s v="ACH CONCENTRATION CREDIT ACH CORP TRADE PAYMENT FROM MICROSOFT MICROSOFT 0004992933 68251185441010"/>
    <m/>
    <m/>
    <m/>
    <m/>
    <m/>
    <m/>
    <m/>
    <m/>
    <m/>
    <m/>
    <m/>
    <m/>
    <m/>
    <m/>
    <m/>
    <m/>
    <m/>
    <m/>
    <m/>
    <m/>
    <m/>
    <m/>
    <m/>
    <m/>
    <m/>
    <m/>
    <m/>
    <m/>
    <m/>
    <m/>
    <m/>
    <m/>
    <m/>
    <m/>
    <m/>
    <m/>
    <m/>
    <m/>
    <m/>
    <m/>
    <m/>
    <m/>
    <m/>
    <m/>
    <m/>
    <m/>
    <m/>
    <m/>
    <m/>
    <m/>
    <m/>
    <m/>
    <m/>
    <m/>
    <m/>
    <m/>
  </r>
  <r>
    <s v="102 - US"/>
    <d v="2025-09-22T00:00:00"/>
    <s v="SEPTEMBER"/>
    <n v="2025"/>
    <x v="0"/>
    <s v="Deposited"/>
    <s v="PMT-S151-211138"/>
    <s v=""/>
    <s v="USD"/>
    <n v="-54445.55"/>
    <n v="-54445.55"/>
    <n v="54445.55"/>
    <n v="-50095.55"/>
    <s v="Microsoft Corporation"/>
    <s v=""/>
    <s v="ACH CONCENTRATION CREDIT ACH CORP TRADE PAYMENT FROM MICROSOFT MICROSOFT 0005317824 68550845931010"/>
    <m/>
    <m/>
    <m/>
    <m/>
    <m/>
    <m/>
    <m/>
    <m/>
    <m/>
    <m/>
    <m/>
    <m/>
    <m/>
    <m/>
    <m/>
    <m/>
    <m/>
    <m/>
    <m/>
    <m/>
    <m/>
    <m/>
    <m/>
    <m/>
    <m/>
    <m/>
    <m/>
    <m/>
    <m/>
    <m/>
    <m/>
    <m/>
    <m/>
    <m/>
    <m/>
    <m/>
    <m/>
    <m/>
    <m/>
    <m/>
    <m/>
    <m/>
    <m/>
    <m/>
    <m/>
    <m/>
    <m/>
    <m/>
    <m/>
    <m/>
    <m/>
    <m/>
    <m/>
    <m/>
    <m/>
    <m/>
  </r>
  <r>
    <s v="102 - US"/>
    <d v="2026-02-18T00:00:00"/>
    <s v="FEBRUARY"/>
    <n v="2026"/>
    <x v="0"/>
    <s v="Deposited"/>
    <s v="PMT-S151-219775"/>
    <s v=""/>
    <s v="USD"/>
    <n v="-35534"/>
    <n v="-35534"/>
    <n v="35534"/>
    <n v="-35534"/>
    <s v="Brick Media"/>
    <s v=""/>
    <s v="INCOMING MONEY TRANSFER 53RECD FED JPMORGAN CHASE BANK*ORG:BRICK MEDIA LLC,RO CKY RIVER OH 44116-1815 US,19885 DETRO*OGB:JPMORGAN CHASE BANK,TAMPA,10410 HI GHLAND MANOR DRIVE*BNF:MELTWATER NEWS US INC,REDWOOD CITY         CA/US,275 S HO*STFEDSEQ:B1Q8982R000363*TIME:0341*YOUR REF:WTH OF 26/02/18*OUR REF:0490937 10"/>
    <m/>
    <m/>
    <m/>
    <m/>
    <m/>
    <m/>
    <m/>
    <m/>
    <m/>
    <m/>
    <m/>
    <m/>
    <m/>
    <m/>
    <m/>
    <m/>
    <m/>
    <m/>
    <m/>
    <m/>
    <m/>
    <m/>
    <m/>
    <m/>
    <m/>
    <m/>
    <m/>
    <m/>
    <m/>
    <m/>
    <m/>
    <m/>
    <m/>
    <m/>
    <m/>
    <m/>
    <m/>
    <m/>
    <m/>
    <m/>
    <m/>
    <m/>
    <m/>
    <m/>
    <m/>
    <m/>
    <m/>
    <m/>
    <m/>
    <m/>
    <m/>
    <m/>
    <m/>
    <m/>
    <m/>
    <m/>
  </r>
  <r>
    <s v="102 - US"/>
    <d v="2025-02-03T00:00:00"/>
    <s v="FEBRUARY"/>
    <n v="2025"/>
    <x v="0"/>
    <s v="Deposited"/>
    <s v="PMT-S151-200395"/>
    <s v=""/>
    <s v="USD"/>
    <n v="-32613.85"/>
    <n v="-32613.85"/>
    <n v="32613.85"/>
    <n v="-250567.82"/>
    <s v="DUMMY CUSTOMER_CASHAPPS 102 - US"/>
    <s v=""/>
    <s v="ACH CONCENTRATION CREDIT ACH CORP TRADE PAYMENT FROM MICROSOFT MICROSOFT 0004890122 68550745441010"/>
    <m/>
    <m/>
    <m/>
    <m/>
    <m/>
    <m/>
    <m/>
    <m/>
    <m/>
    <m/>
    <m/>
    <m/>
    <m/>
    <m/>
    <m/>
    <m/>
    <m/>
    <m/>
    <m/>
    <m/>
    <m/>
    <m/>
    <m/>
    <m/>
    <m/>
    <m/>
    <m/>
    <m/>
    <m/>
    <m/>
    <m/>
    <m/>
    <m/>
    <m/>
    <m/>
    <m/>
    <m/>
    <m/>
    <m/>
    <m/>
    <m/>
    <m/>
    <m/>
    <m/>
    <m/>
    <m/>
    <m/>
    <m/>
    <m/>
    <m/>
    <m/>
    <m/>
    <m/>
    <m/>
    <m/>
    <m/>
  </r>
  <r>
    <s v="102 - US"/>
    <d v="2022-10-17T00:00:00"/>
    <s v="OCTOBER"/>
    <n v="2022"/>
    <x v="0"/>
    <s v="Deposited"/>
    <s v="PMT-S151-156272"/>
    <s v=""/>
    <s v="USD"/>
    <n v="-27218.77"/>
    <n v="-27218.77"/>
    <n v="27218.77"/>
    <n v="-27218.77"/>
    <s v="ComplySci"/>
    <s v=""/>
    <s v="ACH CONCENTRATION CREDIT ACH CASH CONCENTRATION COMPLYSCI-PAYMENT ComplySci Payment 46810"/>
    <m/>
    <m/>
    <m/>
    <m/>
    <m/>
    <m/>
    <m/>
    <m/>
    <m/>
    <m/>
    <m/>
    <m/>
    <m/>
    <m/>
    <m/>
    <m/>
    <m/>
    <m/>
    <m/>
    <m/>
    <m/>
    <m/>
    <m/>
    <m/>
    <m/>
    <m/>
    <m/>
    <m/>
    <m/>
    <m/>
    <m/>
    <m/>
    <m/>
    <m/>
    <m/>
    <m/>
    <m/>
    <m/>
    <m/>
    <m/>
    <m/>
    <m/>
    <m/>
    <m/>
    <m/>
    <m/>
    <m/>
    <m/>
    <m/>
    <m/>
    <m/>
    <m/>
    <m/>
    <m/>
    <m/>
    <m/>
  </r>
  <r>
    <s v="102 - US"/>
    <d v="2025-07-18T00:00:00"/>
    <s v="JULY"/>
    <n v="2025"/>
    <x v="0"/>
    <s v="Deposited"/>
    <s v="PMT-S151-208003"/>
    <s v=""/>
    <s v="USD"/>
    <n v="-25699.72"/>
    <n v="-25699.72"/>
    <n v="25699.72"/>
    <n v="-250567.82"/>
    <s v="DUMMY CUSTOMER_CASHAPPS 102 - US"/>
    <s v=""/>
    <s v="ACH CONCENTRATION CREDIT ACH CASH CONCENTRATION ENVIOLOL-PAYMENTS ENVIOLOL  PAYMENTS 0000010593"/>
    <m/>
    <m/>
    <m/>
    <m/>
    <m/>
    <m/>
    <m/>
    <m/>
    <m/>
    <m/>
    <m/>
    <m/>
    <m/>
    <m/>
    <m/>
    <m/>
    <m/>
    <m/>
    <m/>
    <m/>
    <m/>
    <m/>
    <m/>
    <m/>
    <m/>
    <m/>
    <m/>
    <m/>
    <m/>
    <m/>
    <m/>
    <m/>
    <m/>
    <m/>
    <m/>
    <m/>
    <m/>
    <m/>
    <m/>
    <m/>
    <m/>
    <m/>
    <m/>
    <m/>
    <m/>
    <m/>
    <m/>
    <m/>
    <m/>
    <m/>
    <m/>
    <m/>
    <m/>
    <m/>
    <m/>
    <m/>
  </r>
  <r>
    <s v="102 - US"/>
    <d v="2025-06-30T00:00:00"/>
    <s v="JUNE"/>
    <n v="2025"/>
    <x v="0"/>
    <s v="Deposited"/>
    <s v="PMT-S151-207105"/>
    <s v=""/>
    <s v="USD"/>
    <n v="-24128"/>
    <n v="-24128"/>
    <n v="24128"/>
    <n v="-250567.82"/>
    <s v="DUMMY CUSTOMER_CASHAPPS 102 - US"/>
    <s v=""/>
    <s v="ACH CONCENTRATION CREDIT ACH CORP TRADE PAYMENT FROM MICROSOFT MICROSOFT 0005162418 68500854311010"/>
    <m/>
    <m/>
    <m/>
    <m/>
    <m/>
    <m/>
    <m/>
    <m/>
    <m/>
    <m/>
    <m/>
    <m/>
    <m/>
    <m/>
    <m/>
    <m/>
    <m/>
    <m/>
    <m/>
    <m/>
    <m/>
    <m/>
    <m/>
    <m/>
    <m/>
    <m/>
    <m/>
    <m/>
    <m/>
    <m/>
    <m/>
    <m/>
    <m/>
    <m/>
    <m/>
    <m/>
    <m/>
    <m/>
    <m/>
    <m/>
    <m/>
    <m/>
    <m/>
    <m/>
    <m/>
    <m/>
    <m/>
    <m/>
    <m/>
    <m/>
    <m/>
    <m/>
    <m/>
    <m/>
    <m/>
    <m/>
  </r>
  <r>
    <s v="102 - US"/>
    <d v="2026-04-06T00:00:00"/>
    <s v="APRIL"/>
    <n v="2026"/>
    <x v="0"/>
    <s v="Deposited"/>
    <s v="PMT-S151-222326"/>
    <s v=""/>
    <s v="USD"/>
    <n v="-20913.77"/>
    <n v="-20913.77"/>
    <n v="20913.77"/>
    <n v="-20913.77"/>
    <s v="Camp Chef"/>
    <s v=""/>
    <s v="ACH CONCENTRATION CREDIT ACH CASH CONCENTRATION BUSHNELL OPER-PAYMENT BUSHNELL  PAYMENT 2021416"/>
    <m/>
    <m/>
    <m/>
    <m/>
    <m/>
    <m/>
    <m/>
    <m/>
    <m/>
    <m/>
    <m/>
    <m/>
    <m/>
    <m/>
    <m/>
    <m/>
    <m/>
    <m/>
    <m/>
    <m/>
    <m/>
    <m/>
    <m/>
    <m/>
    <m/>
    <m/>
    <m/>
    <m/>
    <m/>
    <m/>
    <m/>
    <m/>
    <m/>
    <m/>
    <m/>
    <m/>
    <m/>
    <m/>
    <m/>
    <m/>
    <m/>
    <m/>
    <m/>
    <m/>
    <m/>
    <m/>
    <m/>
    <m/>
    <m/>
    <m/>
    <m/>
    <m/>
    <m/>
    <m/>
    <m/>
    <m/>
  </r>
  <r>
    <s v="102 - US"/>
    <d v="2026-04-15T00:00:00"/>
    <s v="APRIL"/>
    <n v="2026"/>
    <x v="0"/>
    <s v="Deposited"/>
    <s v="PMT-S151-222780"/>
    <s v=""/>
    <s v="USD"/>
    <n v="-20698"/>
    <n v="-20698"/>
    <n v="20698"/>
    <n v="-20698"/>
    <s v="Culloton + Bauer Luce"/>
    <s v=""/>
    <s v="ACH CONCENTRATION CREDIT ACH CASH CONCENTRATION CULLOTON STRATEG-ACH PAYMEN Culloton  ACH Paymen 95267"/>
    <m/>
    <m/>
    <m/>
    <m/>
    <m/>
    <m/>
    <m/>
    <m/>
    <m/>
    <m/>
    <m/>
    <m/>
    <m/>
    <m/>
    <m/>
    <m/>
    <m/>
    <m/>
    <m/>
    <m/>
    <m/>
    <m/>
    <m/>
    <m/>
    <m/>
    <m/>
    <m/>
    <m/>
    <m/>
    <m/>
    <m/>
    <m/>
    <m/>
    <m/>
    <m/>
    <m/>
    <m/>
    <m/>
    <m/>
    <m/>
    <m/>
    <m/>
    <m/>
    <m/>
    <m/>
    <m/>
    <m/>
    <m/>
    <m/>
    <m/>
    <m/>
    <m/>
    <m/>
    <m/>
    <m/>
    <m/>
  </r>
  <r>
    <s v="102 - US"/>
    <d v="2025-08-20T00:00:00"/>
    <s v="AUGUST"/>
    <n v="2025"/>
    <x v="0"/>
    <s v="Deposited"/>
    <s v="PMT-S151-209700"/>
    <s v=""/>
    <s v="USD"/>
    <n v="-20000"/>
    <n v="-20000"/>
    <n v="20000"/>
    <n v="-50095.55"/>
    <s v="Microsoft Corporation"/>
    <s v=""/>
    <s v="ACH CONCENTRATION CREDIT ACH CORP TRADE PAYMENT FROM MICROSOFT MICROSOFT 0005263117 68151120631010"/>
    <m/>
    <m/>
    <m/>
    <m/>
    <m/>
    <m/>
    <m/>
    <m/>
    <m/>
    <m/>
    <m/>
    <m/>
    <m/>
    <m/>
    <m/>
    <m/>
    <m/>
    <m/>
    <m/>
    <m/>
    <m/>
    <m/>
    <m/>
    <m/>
    <m/>
    <m/>
    <m/>
    <m/>
    <m/>
    <m/>
    <m/>
    <m/>
    <m/>
    <m/>
    <m/>
    <m/>
    <m/>
    <m/>
    <m/>
    <m/>
    <m/>
    <m/>
    <m/>
    <m/>
    <m/>
    <m/>
    <m/>
    <m/>
    <m/>
    <m/>
    <m/>
    <m/>
    <m/>
    <m/>
    <m/>
    <m/>
  </r>
  <r>
    <s v="102 - US"/>
    <d v="2026-03-27T00:00:00"/>
    <s v="MARCH"/>
    <n v="2026"/>
    <x v="0"/>
    <s v="Deposited"/>
    <s v="PMT-S151-221843"/>
    <s v="PMT-S151-221843"/>
    <s v="USD"/>
    <n v="-39600"/>
    <n v="-39600"/>
    <n v="19800"/>
    <n v="-19800"/>
    <s v="Blue Learning"/>
    <s v=""/>
    <s v="ACH CONCENTRATION CREDIT ACH CASH CONCENTRATION BLUE LEARNING OP-CORP PAY BLUE LEAR CORP PAY 10957"/>
    <m/>
    <m/>
    <m/>
    <m/>
    <m/>
    <m/>
    <m/>
    <m/>
    <m/>
    <m/>
    <m/>
    <m/>
    <m/>
    <m/>
    <m/>
    <m/>
    <m/>
    <m/>
    <m/>
    <m/>
    <m/>
    <m/>
    <m/>
    <m/>
    <m/>
    <m/>
    <m/>
    <m/>
    <m/>
    <m/>
    <m/>
    <m/>
    <m/>
    <m/>
    <m/>
    <m/>
    <m/>
    <m/>
    <m/>
    <m/>
    <m/>
    <m/>
    <m/>
    <m/>
    <m/>
    <m/>
    <m/>
    <m/>
    <m/>
    <m/>
    <m/>
    <m/>
    <m/>
    <m/>
    <m/>
    <m/>
  </r>
  <r>
    <s v="102 - US"/>
    <d v="2026-04-27T00:00:00"/>
    <s v="APRIL"/>
    <n v="2026"/>
    <x v="0"/>
    <s v="Deposited"/>
    <s v="PMT-S151-223322"/>
    <s v=""/>
    <s v="USD"/>
    <n v="-19350"/>
    <n v="-19350"/>
    <n v="19350"/>
    <n v="-19350"/>
    <s v="Gaudenzia, Inc"/>
    <s v=""/>
    <s v=""/>
    <m/>
    <m/>
    <m/>
    <m/>
    <m/>
    <m/>
    <m/>
    <m/>
    <m/>
    <m/>
    <m/>
    <m/>
    <m/>
    <m/>
    <m/>
    <m/>
    <m/>
    <m/>
    <m/>
    <m/>
    <m/>
    <m/>
    <m/>
    <m/>
    <m/>
    <m/>
    <m/>
    <m/>
    <m/>
    <m/>
    <m/>
    <m/>
    <m/>
    <m/>
    <m/>
    <m/>
    <m/>
    <m/>
    <m/>
    <m/>
    <m/>
    <m/>
    <m/>
    <m/>
    <m/>
    <m/>
    <m/>
    <m/>
    <m/>
    <m/>
    <m/>
    <m/>
    <m/>
    <m/>
    <m/>
    <m/>
  </r>
  <r>
    <s v="102 - US"/>
    <d v="2023-05-03T00:00:00"/>
    <s v="MAY"/>
    <n v="2023"/>
    <x v="0"/>
    <s v="Deposited"/>
    <s v="PMT-S151-167535"/>
    <s v=""/>
    <s v="USD"/>
    <n v="-18060"/>
    <n v="-18060"/>
    <n v="18060"/>
    <n v="-18060"/>
    <s v="Sun Valley Resort"/>
    <s v=""/>
    <s v="CHECK"/>
    <m/>
    <m/>
    <m/>
    <m/>
    <m/>
    <m/>
    <m/>
    <m/>
    <m/>
    <m/>
    <m/>
    <m/>
    <m/>
    <m/>
    <m/>
    <m/>
    <m/>
    <m/>
    <m/>
    <m/>
    <m/>
    <m/>
    <m/>
    <m/>
    <m/>
    <m/>
    <m/>
    <m/>
    <m/>
    <m/>
    <m/>
    <m/>
    <m/>
    <m/>
    <m/>
    <m/>
    <m/>
    <m/>
    <m/>
    <m/>
    <m/>
    <m/>
    <m/>
    <m/>
    <m/>
    <m/>
    <m/>
    <m/>
    <m/>
    <m/>
    <m/>
    <m/>
    <m/>
    <m/>
    <m/>
    <m/>
  </r>
  <r>
    <s v="102 - US"/>
    <d v="2022-04-01T00:00:00"/>
    <s v="APRIL"/>
    <n v="2022"/>
    <x v="0"/>
    <s v="Deposited"/>
    <s v="PMT-S151-145279"/>
    <s v=""/>
    <s v="USD"/>
    <n v="-17850.400000000001"/>
    <n v="-17850.400000000001"/>
    <n v="17850.400000000001"/>
    <n v="-17850.400000000001"/>
    <s v="Netchoice"/>
    <s v=""/>
    <s v="FOREIGN REMITTANCE CREDIT 33RECD CHIP WELLS FARGO BANK,SAN FRANCISCO,CA*O RG:NETCHOICE,US 20005-3417,WASHINGTON           DC,1401 K S*BNF:MELTWATER NEW S US INC,SAN FRANCISCO        CA/US,STE 100*OBI:INVOICE S151 535230*STCHIPSEQ :0499781*TIME:1511*YOUR REF:643*OUR REF:091587415"/>
    <m/>
    <m/>
    <m/>
    <m/>
    <m/>
    <m/>
    <m/>
    <m/>
    <m/>
    <m/>
    <m/>
    <m/>
    <m/>
    <m/>
    <m/>
    <m/>
    <m/>
    <m/>
    <m/>
    <m/>
    <m/>
    <m/>
    <m/>
    <m/>
    <m/>
    <m/>
    <m/>
    <m/>
    <m/>
    <m/>
    <m/>
    <m/>
    <m/>
    <m/>
    <m/>
    <m/>
    <m/>
    <m/>
    <m/>
    <m/>
    <m/>
    <m/>
    <m/>
    <m/>
    <m/>
    <m/>
    <m/>
    <m/>
    <m/>
    <m/>
    <m/>
    <m/>
    <m/>
    <m/>
    <m/>
    <m/>
  </r>
  <r>
    <s v="102 - US"/>
    <d v="2026-04-20T00:00:00"/>
    <s v="APRIL"/>
    <n v="2026"/>
    <x v="0"/>
    <s v="Deposited"/>
    <s v="PMT-S151-223019"/>
    <s v=""/>
    <s v="USD"/>
    <n v="-17200"/>
    <n v="-17200"/>
    <n v="17200"/>
    <n v="0"/>
    <s v="Gordon State College"/>
    <s v=""/>
    <s v="ACH CONCENTRATION CREDIT ACH CORP TRADE PAYMENT FROM Gordon State Col Gordon St CTX 0000039074"/>
    <m/>
    <m/>
    <m/>
    <m/>
    <m/>
    <m/>
    <m/>
    <m/>
    <m/>
    <m/>
    <m/>
    <m/>
    <m/>
    <m/>
    <m/>
    <m/>
    <m/>
    <m/>
    <m/>
    <m/>
    <m/>
    <m/>
    <m/>
    <m/>
    <m/>
    <m/>
    <m/>
    <m/>
    <m/>
    <m/>
    <m/>
    <m/>
    <m/>
    <m/>
    <m/>
    <m/>
    <m/>
    <m/>
    <m/>
    <m/>
    <m/>
    <m/>
    <m/>
    <m/>
    <m/>
    <m/>
    <m/>
    <m/>
    <m/>
    <m/>
    <m/>
    <m/>
    <m/>
    <m/>
    <m/>
    <m/>
  </r>
  <r>
    <s v="102 - US"/>
    <d v="2022-12-12T00:00:00"/>
    <s v="DECEMBER"/>
    <n v="2022"/>
    <x v="0"/>
    <s v="Deposited"/>
    <s v="PMT-S151-159463"/>
    <s v=""/>
    <s v="USD"/>
    <n v="-16500"/>
    <n v="-16500"/>
    <n v="16500"/>
    <n v="3500"/>
    <s v="Bayhealth Medical Center"/>
    <s v=""/>
    <s v="CHECK"/>
    <m/>
    <m/>
    <m/>
    <m/>
    <m/>
    <m/>
    <m/>
    <m/>
    <m/>
    <m/>
    <m/>
    <m/>
    <m/>
    <m/>
    <m/>
    <m/>
    <m/>
    <m/>
    <m/>
    <m/>
    <m/>
    <m/>
    <m/>
    <m/>
    <m/>
    <m/>
    <m/>
    <m/>
    <m/>
    <m/>
    <m/>
    <m/>
    <m/>
    <m/>
    <m/>
    <m/>
    <m/>
    <m/>
    <m/>
    <m/>
    <m/>
    <m/>
    <m/>
    <m/>
    <m/>
    <m/>
    <m/>
    <m/>
    <m/>
    <m/>
    <m/>
    <m/>
    <m/>
    <m/>
    <m/>
    <m/>
  </r>
  <r>
    <s v="102 - US"/>
    <d v="2026-05-01T00:00:00"/>
    <s v="MAY"/>
    <n v="2026"/>
    <x v="0"/>
    <s v="Deposited"/>
    <s v="PMT-S151-223708"/>
    <s v=""/>
    <s v="USD"/>
    <n v="-16483"/>
    <n v="-16483"/>
    <n v="16483"/>
    <n v="-16483"/>
    <s v="Washington Times Global Media Group"/>
    <s v="Jordan Irvine"/>
    <s v="ACH CREDIT ACH DEPOSIT FROM WASHINGTON TIMES-CREDITS WASHINGTO CREDITS    TWT-22920"/>
    <m/>
    <m/>
    <m/>
    <m/>
    <m/>
    <m/>
    <m/>
    <m/>
    <m/>
    <m/>
    <m/>
    <m/>
    <m/>
    <m/>
    <m/>
    <m/>
    <m/>
    <m/>
    <m/>
    <m/>
    <m/>
    <m/>
    <m/>
    <m/>
    <m/>
    <m/>
    <m/>
    <m/>
    <m/>
    <m/>
    <m/>
    <m/>
    <m/>
    <m/>
    <m/>
    <m/>
    <m/>
    <m/>
    <m/>
    <m/>
    <m/>
    <m/>
    <m/>
    <m/>
    <m/>
    <m/>
    <m/>
    <m/>
    <m/>
    <m/>
    <m/>
    <m/>
    <m/>
    <m/>
    <m/>
    <m/>
  </r>
  <r>
    <s v="102 - US"/>
    <d v="2026-02-03T00:00:00"/>
    <s v="FEBRUARY"/>
    <n v="2026"/>
    <x v="0"/>
    <s v="Deposited"/>
    <s v="PMT-S151-218617"/>
    <s v="IN-S151-589402"/>
    <s v="USD"/>
    <n v="-16000"/>
    <n v="-16000"/>
    <n v="15999.84"/>
    <n v="-15999.84"/>
    <s v="West Palm Beach Downtown Development Authority"/>
    <s v="Jose Castellanos"/>
    <s v=""/>
    <m/>
    <m/>
    <m/>
    <m/>
    <m/>
    <m/>
    <m/>
    <m/>
    <m/>
    <m/>
    <m/>
    <m/>
    <m/>
    <m/>
    <m/>
    <m/>
    <m/>
    <m/>
    <m/>
    <m/>
    <m/>
    <m/>
    <m/>
    <m/>
    <m/>
    <m/>
    <m/>
    <m/>
    <m/>
    <m/>
    <m/>
    <m/>
    <m/>
    <m/>
    <m/>
    <m/>
    <m/>
    <m/>
    <m/>
    <m/>
    <m/>
    <m/>
    <m/>
    <m/>
    <m/>
    <m/>
    <m/>
    <m/>
    <m/>
    <m/>
    <m/>
    <m/>
    <m/>
    <m/>
    <m/>
    <m/>
  </r>
  <r>
    <s v="102 - US"/>
    <d v="2022-04-29T00:00:00"/>
    <s v="APRIL"/>
    <n v="2022"/>
    <x v="0"/>
    <s v="Deposited"/>
    <s v="PMT-S151-146709"/>
    <s v=""/>
    <s v="USD"/>
    <n v="-15750"/>
    <n v="-15750"/>
    <n v="15750"/>
    <n v="-15750"/>
    <s v="Kean University"/>
    <s v="Kristin Walsh"/>
    <s v=""/>
    <m/>
    <m/>
    <m/>
    <m/>
    <m/>
    <m/>
    <m/>
    <m/>
    <m/>
    <m/>
    <m/>
    <m/>
    <m/>
    <m/>
    <m/>
    <m/>
    <m/>
    <m/>
    <m/>
    <m/>
    <m/>
    <m/>
    <m/>
    <m/>
    <m/>
    <m/>
    <m/>
    <m/>
    <m/>
    <m/>
    <m/>
    <m/>
    <m/>
    <m/>
    <m/>
    <m/>
    <m/>
    <m/>
    <m/>
    <m/>
    <m/>
    <m/>
    <m/>
    <m/>
    <m/>
    <m/>
    <m/>
    <m/>
    <m/>
    <m/>
    <m/>
    <m/>
    <m/>
    <m/>
    <m/>
    <m/>
  </r>
  <r>
    <s v="102 - US"/>
    <d v="2026-04-27T00:00:00"/>
    <s v="APRIL"/>
    <n v="2026"/>
    <x v="0"/>
    <s v="Deposited"/>
    <s v="PMT-S151-223397"/>
    <s v=""/>
    <s v="USD"/>
    <n v="-15000"/>
    <n v="-15000"/>
    <n v="15000"/>
    <n v="-15000"/>
    <s v="Nautilus Solar Energy, LLC"/>
    <s v=""/>
    <s v="ACH CONCENTRATION CREDIT ACH CASH CONCENTRATION NAUTILUS SOLAR E-ACH PMT NAUTILUS  ACH Pmt 11216430243"/>
    <m/>
    <m/>
    <m/>
    <m/>
    <m/>
    <m/>
    <m/>
    <m/>
    <m/>
    <m/>
    <m/>
    <m/>
    <m/>
    <m/>
    <m/>
    <m/>
    <m/>
    <m/>
    <m/>
    <m/>
    <m/>
    <m/>
    <m/>
    <m/>
    <m/>
    <m/>
    <m/>
    <m/>
    <m/>
    <m/>
    <m/>
    <m/>
    <m/>
    <m/>
    <m/>
    <m/>
    <m/>
    <m/>
    <m/>
    <m/>
    <m/>
    <m/>
    <m/>
    <m/>
    <m/>
    <m/>
    <m/>
    <m/>
    <m/>
    <m/>
    <m/>
    <m/>
    <m/>
    <m/>
    <m/>
    <m/>
  </r>
  <r>
    <s v="102 - US"/>
    <d v="2025-12-05T00:00:00"/>
    <s v="DECEMBER"/>
    <n v="2025"/>
    <x v="0"/>
    <s v="Deposited"/>
    <s v="PMT-S151-215069"/>
    <s v=""/>
    <s v="USD"/>
    <n v="-14145.99"/>
    <n v="-14145.99"/>
    <n v="14145.99"/>
    <n v="154725.09"/>
    <s v="Amazon.com Services LLC"/>
    <s v=""/>
    <s v="ACH CONCENTRATION CREDIT ACH CASH CONCENTRATION AMAZON.COM-EDI PYMNTS AMAZON.CO EDI PYMNTS DAS4VG6U2FWEEBQ"/>
    <m/>
    <m/>
    <m/>
    <m/>
    <m/>
    <m/>
    <m/>
    <m/>
    <m/>
    <m/>
    <m/>
    <m/>
    <m/>
    <m/>
    <m/>
    <m/>
    <m/>
    <m/>
    <m/>
    <m/>
    <m/>
    <m/>
    <m/>
    <m/>
    <m/>
    <m/>
    <m/>
    <m/>
    <m/>
    <m/>
    <m/>
    <m/>
    <m/>
    <m/>
    <m/>
    <m/>
    <m/>
    <m/>
    <m/>
    <m/>
    <m/>
    <m/>
    <m/>
    <m/>
    <m/>
    <m/>
    <m/>
    <m/>
    <m/>
    <m/>
    <m/>
    <m/>
    <m/>
    <m/>
    <m/>
    <m/>
  </r>
  <r>
    <s v="102 - US"/>
    <d v="2024-11-18T00:00:00"/>
    <s v="NOVEMBER"/>
    <n v="2024"/>
    <x v="0"/>
    <s v="Deposited"/>
    <s v="PMT-S151-196679"/>
    <s v=""/>
    <s v="USD"/>
    <n v="-13975"/>
    <n v="-13975"/>
    <n v="13975"/>
    <n v="-250567.82"/>
    <s v="DUMMY CUSTOMER_CASHAPPS 102 - US"/>
    <s v=""/>
    <s v="FOREIGN REMITTANCE CREDIT 33RECD CHIP JPMORGAN CHASE BANK*ORG:BYTECHIP LLC,UNITED STATES,US ,8 THE GREEN, SUITE B, DOVE*OGB:RD WALLET TECHNOLOGIES LIMITED,CAUSEWAY BAY,535 JAFFE RO*BNF:MELTWATER NEWS US INC,REDWOOD CITY CA/US,STE 165*OBI:202411080803*STCHIPSEQ:00209649*TIME:0248 *YOUR REF:1513OT8581513*OUR REF:323200531"/>
    <m/>
    <m/>
    <m/>
    <m/>
    <m/>
    <m/>
    <m/>
    <m/>
    <m/>
    <m/>
    <m/>
    <m/>
    <m/>
    <m/>
    <m/>
    <m/>
    <m/>
    <m/>
    <m/>
    <m/>
    <m/>
    <m/>
    <m/>
    <m/>
    <m/>
    <m/>
    <m/>
    <m/>
    <m/>
    <m/>
    <m/>
    <m/>
    <m/>
    <m/>
    <m/>
    <m/>
    <m/>
    <m/>
    <m/>
    <m/>
    <m/>
    <m/>
    <m/>
    <m/>
    <m/>
    <m/>
    <m/>
    <m/>
    <m/>
    <m/>
    <m/>
    <m/>
    <m/>
    <m/>
    <m/>
    <m/>
  </r>
  <r>
    <s v="102 - US"/>
    <d v="2022-05-13T00:00:00"/>
    <s v="MAY"/>
    <n v="2022"/>
    <x v="0"/>
    <s v="Deposited"/>
    <s v="PMT-S151-147498"/>
    <s v=""/>
    <s v="USD"/>
    <n v="-13650"/>
    <n v="-13650"/>
    <n v="13650"/>
    <n v="-13650"/>
    <s v="Florida Dept. of Agriculture and Consumer Services"/>
    <s v="Jordan Irvine"/>
    <s v="CHECK"/>
    <m/>
    <m/>
    <m/>
    <m/>
    <m/>
    <m/>
    <m/>
    <m/>
    <m/>
    <m/>
    <m/>
    <m/>
    <m/>
    <m/>
    <m/>
    <m/>
    <m/>
    <m/>
    <m/>
    <m/>
    <m/>
    <m/>
    <m/>
    <m/>
    <m/>
    <m/>
    <m/>
    <m/>
    <m/>
    <m/>
    <m/>
    <m/>
    <m/>
    <m/>
    <m/>
    <m/>
    <m/>
    <m/>
    <m/>
    <m/>
    <m/>
    <m/>
    <m/>
    <m/>
    <m/>
    <m/>
    <m/>
    <m/>
    <m/>
    <m/>
    <m/>
    <m/>
    <m/>
    <m/>
    <m/>
    <m/>
  </r>
  <r>
    <s v="102 - US"/>
    <d v="2025-09-10T00:00:00"/>
    <s v="SEPTEMBER"/>
    <n v="2025"/>
    <x v="0"/>
    <s v="Deposited"/>
    <s v="PMT-S151-210583"/>
    <s v=""/>
    <s v="USD"/>
    <n v="-13564.62"/>
    <n v="-13564.62"/>
    <n v="13564.62"/>
    <n v="-13564.62"/>
    <s v="Cubic Corporation"/>
    <s v="Jose Castellanos"/>
    <s v="Customer refund ACH CONCENTRATION CREDIT ACH CASH CONCENTRATION CUBIC CORPORATIO-EDI/ACH Cubic Cor EDI/ACH                                                10152000245 624"/>
    <m/>
    <m/>
    <m/>
    <m/>
    <m/>
    <m/>
    <m/>
    <m/>
    <m/>
    <m/>
    <m/>
    <m/>
    <m/>
    <m/>
    <m/>
    <m/>
    <m/>
    <m/>
    <m/>
    <m/>
    <m/>
    <m/>
    <m/>
    <m/>
    <m/>
    <m/>
    <m/>
    <m/>
    <m/>
    <m/>
    <m/>
    <m/>
    <m/>
    <m/>
    <m/>
    <m/>
    <m/>
    <m/>
    <m/>
    <m/>
    <m/>
    <m/>
    <m/>
    <m/>
    <m/>
    <m/>
    <m/>
    <m/>
    <m/>
    <m/>
    <m/>
    <m/>
    <m/>
    <m/>
    <m/>
    <m/>
  </r>
  <r>
    <s v="102 - US"/>
    <d v="2023-08-29T00:00:00"/>
    <s v="AUGUST"/>
    <n v="2023"/>
    <x v="0"/>
    <s v="Deposited"/>
    <s v="PMT-S151-173898"/>
    <s v=""/>
    <s v="USD"/>
    <n v="-13500"/>
    <n v="-13500"/>
    <n v="13500"/>
    <n v="-13500"/>
    <s v="Versant Health"/>
    <s v=""/>
    <s v="CHECK"/>
    <m/>
    <m/>
    <m/>
    <m/>
    <m/>
    <m/>
    <m/>
    <m/>
    <m/>
    <m/>
    <m/>
    <m/>
    <m/>
    <m/>
    <m/>
    <m/>
    <m/>
    <m/>
    <m/>
    <m/>
    <m/>
    <m/>
    <m/>
    <m/>
    <m/>
    <m/>
    <m/>
    <m/>
    <m/>
    <m/>
    <m/>
    <m/>
    <m/>
    <m/>
    <m/>
    <m/>
    <m/>
    <m/>
    <m/>
    <m/>
    <m/>
    <m/>
    <m/>
    <m/>
    <m/>
    <m/>
    <m/>
    <m/>
    <m/>
    <m/>
    <m/>
    <m/>
    <m/>
    <m/>
    <m/>
    <m/>
  </r>
  <r>
    <s v="102 - US"/>
    <d v="2023-06-08T00:00:00"/>
    <s v="JUNE"/>
    <n v="2023"/>
    <x v="0"/>
    <s v="Deposited"/>
    <s v="PMT-S151-169476"/>
    <s v=""/>
    <s v="USD"/>
    <n v="-12980"/>
    <n v="-12980"/>
    <n v="12980"/>
    <n v="-250567.82"/>
    <s v="DUMMY CUSTOMER_CASHAPPS 102 - US"/>
    <s v=""/>
    <s v="ACH CONCENTRATION CREDIT ACH CASH CONCENTRATION DALLAS FOUNDATIO-CORP PAY DALLAS FO CORP PAY 1504"/>
    <m/>
    <m/>
    <m/>
    <m/>
    <m/>
    <m/>
    <m/>
    <m/>
    <m/>
    <m/>
    <m/>
    <m/>
    <m/>
    <m/>
    <m/>
    <m/>
    <m/>
    <m/>
    <m/>
    <m/>
    <m/>
    <m/>
    <m/>
    <m/>
    <m/>
    <m/>
    <m/>
    <m/>
    <m/>
    <m/>
    <m/>
    <m/>
    <m/>
    <m/>
    <m/>
    <m/>
    <m/>
    <m/>
    <m/>
    <m/>
    <m/>
    <m/>
    <m/>
    <m/>
    <m/>
    <m/>
    <m/>
    <m/>
    <m/>
    <m/>
    <m/>
    <m/>
    <m/>
    <m/>
    <m/>
    <m/>
  </r>
  <r>
    <s v="102 - US"/>
    <d v="2022-09-26T00:00:00"/>
    <s v="SEPTEMBER"/>
    <n v="2022"/>
    <x v="0"/>
    <s v="Deposited"/>
    <s v="PMT-S151-154814"/>
    <s v=""/>
    <s v="USD"/>
    <n v="-11550"/>
    <n v="-11550"/>
    <n v="11550"/>
    <n v="-11550"/>
    <s v="AmeriCU Credit Union"/>
    <s v=""/>
    <s v="CHECK"/>
    <m/>
    <m/>
    <m/>
    <m/>
    <m/>
    <m/>
    <m/>
    <m/>
    <m/>
    <m/>
    <m/>
    <m/>
    <m/>
    <m/>
    <m/>
    <m/>
    <m/>
    <m/>
    <m/>
    <m/>
    <m/>
    <m/>
    <m/>
    <m/>
    <m/>
    <m/>
    <m/>
    <m/>
    <m/>
    <m/>
    <m/>
    <m/>
    <m/>
    <m/>
    <m/>
    <m/>
    <m/>
    <m/>
    <m/>
    <m/>
    <m/>
    <m/>
    <m/>
    <m/>
    <m/>
    <m/>
    <m/>
    <m/>
    <m/>
    <m/>
    <m/>
    <m/>
    <m/>
    <m/>
    <m/>
    <m/>
  </r>
  <r>
    <s v="102 - US"/>
    <d v="2023-09-05T00:00:00"/>
    <s v="SEPTEMBER"/>
    <n v="2023"/>
    <x v="0"/>
    <s v="Deposited"/>
    <s v="PMT-S151-174242"/>
    <s v="IN-S151-555435"/>
    <s v="USD"/>
    <n v="-22698.13"/>
    <n v="-22698.13"/>
    <n v="11349.07"/>
    <n v="-11349.07"/>
    <s v="Drive Agency, LLC"/>
    <s v="Yangzom Vitali-116"/>
    <s v="ACH CREDIT ACH DEPOSIT FROM GREENBERG QUINLA-ACH PAYMNT INV IN-S151-548883"/>
    <m/>
    <m/>
    <m/>
    <m/>
    <m/>
    <m/>
    <m/>
    <m/>
    <m/>
    <m/>
    <m/>
    <m/>
    <m/>
    <m/>
    <m/>
    <m/>
    <m/>
    <m/>
    <m/>
    <m/>
    <m/>
    <m/>
    <m/>
    <m/>
    <m/>
    <m/>
    <m/>
    <m/>
    <m/>
    <m/>
    <m/>
    <m/>
    <m/>
    <m/>
    <m/>
    <m/>
    <m/>
    <m/>
    <m/>
    <m/>
    <m/>
    <m/>
    <m/>
    <m/>
    <m/>
    <m/>
    <m/>
    <m/>
    <m/>
    <m/>
    <m/>
    <m/>
    <m/>
    <m/>
    <m/>
    <m/>
  </r>
  <r>
    <s v="102 - US"/>
    <d v="2026-04-24T00:00:00"/>
    <s v="APRIL"/>
    <n v="2026"/>
    <x v="0"/>
    <s v="Deposited"/>
    <s v="PMT-S151-223327"/>
    <s v=""/>
    <s v="USD"/>
    <n v="-9900"/>
    <n v="-9900"/>
    <n v="9900"/>
    <n v="-250567.82"/>
    <s v="DUMMY CUSTOMER_CASHAPPS 102 - US"/>
    <s v=""/>
    <s v="ACH CONCENTRATION CREDIT ACH CASH CONCENTRATION COMMISSION L'UNI-PAYMENT COMMISSIO PAYMENT    KQ3LUSEQGD69"/>
    <m/>
    <m/>
    <m/>
    <m/>
    <m/>
    <m/>
    <m/>
    <m/>
    <m/>
    <m/>
    <m/>
    <m/>
    <m/>
    <m/>
    <m/>
    <m/>
    <m/>
    <m/>
    <m/>
    <m/>
    <m/>
    <m/>
    <m/>
    <m/>
    <m/>
    <m/>
    <m/>
    <m/>
    <m/>
    <m/>
    <m/>
    <m/>
    <m/>
    <m/>
    <m/>
    <m/>
    <m/>
    <m/>
    <m/>
    <m/>
    <m/>
    <m/>
    <m/>
    <m/>
    <m/>
    <m/>
    <m/>
    <m/>
    <m/>
    <m/>
    <m/>
    <m/>
    <m/>
    <m/>
    <m/>
    <m/>
  </r>
  <r>
    <s v="102 - US"/>
    <d v="2023-07-07T00:00:00"/>
    <s v="JULY"/>
    <n v="2023"/>
    <x v="0"/>
    <s v="Deposited"/>
    <s v="PMT-S151-171074"/>
    <s v=""/>
    <s v="USD"/>
    <n v="-9695"/>
    <n v="-9695"/>
    <n v="9695"/>
    <n v="-10420"/>
    <s v="Amarin Pharma, Inc."/>
    <s v="Sarah Shoemaker-MW"/>
    <s v="FOREIGN REMITTANCE CREDIT 33RECD CHIP JPMORGAN CHASE BANK*ORG:AMARIN SWITZERLAND GMBH,CH/ZUG 6300,BAARERSTRASSE 75*OGB:JPMORGAN CHASE BANK,N.A.,ZUERICH,DREI KOENIGSTRASSE 21*BNF:MELTWATER NEWS US INC,REDWOOD CITY         CA/US,STE 165 *OBI:/ROC/714*STCHIPSEQ:0157130*TIME:0207*YOUR REF:SWF OF 23/07/07*OUR REF:18 8409072"/>
    <m/>
    <m/>
    <m/>
    <m/>
    <m/>
    <m/>
    <m/>
    <m/>
    <m/>
    <m/>
    <m/>
    <m/>
    <m/>
    <m/>
    <m/>
    <m/>
    <m/>
    <m/>
    <m/>
    <m/>
    <m/>
    <m/>
    <m/>
    <m/>
    <m/>
    <m/>
    <m/>
    <m/>
    <m/>
    <m/>
    <m/>
    <m/>
    <m/>
    <m/>
    <m/>
    <m/>
    <m/>
    <m/>
    <m/>
    <m/>
    <m/>
    <m/>
    <m/>
    <m/>
    <m/>
    <m/>
    <m/>
    <m/>
    <m/>
    <m/>
    <m/>
    <m/>
    <m/>
    <m/>
    <m/>
    <m/>
  </r>
  <r>
    <s v="102 - US"/>
    <d v="2025-01-27T00:00:00"/>
    <s v="JANUARY"/>
    <n v="2025"/>
    <x v="0"/>
    <s v="Deposited"/>
    <s v="PMT-S151-199815"/>
    <s v=""/>
    <s v="USD"/>
    <n v="-9680"/>
    <n v="-9680"/>
    <n v="9680"/>
    <n v="-9680"/>
    <s v="Zonda Home"/>
    <s v=""/>
    <s v="ACH CONCENTRATION CREDIT ACH CASH CONCENTRATION METROSTUDY INC-AB-TFBANIP METROSTUD AB-TFBANIP                                             4090116"/>
    <m/>
    <m/>
    <m/>
    <m/>
    <m/>
    <m/>
    <m/>
    <m/>
    <m/>
    <m/>
    <m/>
    <m/>
    <m/>
    <m/>
    <m/>
    <m/>
    <m/>
    <m/>
    <m/>
    <m/>
    <m/>
    <m/>
    <m/>
    <m/>
    <m/>
    <m/>
    <m/>
    <m/>
    <m/>
    <m/>
    <m/>
    <m/>
    <m/>
    <m/>
    <m/>
    <m/>
    <m/>
    <m/>
    <m/>
    <m/>
    <m/>
    <m/>
    <m/>
    <m/>
    <m/>
    <m/>
    <m/>
    <m/>
    <m/>
    <m/>
    <m/>
    <m/>
    <m/>
    <m/>
    <m/>
    <m/>
  </r>
  <r>
    <s v="102 - US"/>
    <d v="2026-01-09T00:00:00"/>
    <s v="JANUARY"/>
    <n v="2026"/>
    <x v="0"/>
    <s v="Deposited"/>
    <s v="PMT-S151-217064"/>
    <s v=""/>
    <s v="USD"/>
    <n v="-9600"/>
    <n v="-9600"/>
    <n v="9600"/>
    <n v="-9600"/>
    <s v="Hunstville Botanical Garden"/>
    <s v=""/>
    <s v="ACH CONCENTRATION CREDIT ACH CASH CONCENTRATION HSV BG       517-ACH PAYMEN HSV BG    ACH Paymen 32465974"/>
    <m/>
    <m/>
    <m/>
    <m/>
    <m/>
    <m/>
    <m/>
    <m/>
    <m/>
    <m/>
    <m/>
    <m/>
    <m/>
    <m/>
    <m/>
    <m/>
    <m/>
    <m/>
    <m/>
    <m/>
    <m/>
    <m/>
    <m/>
    <m/>
    <m/>
    <m/>
    <m/>
    <m/>
    <m/>
    <m/>
    <m/>
    <m/>
    <m/>
    <m/>
    <m/>
    <m/>
    <m/>
    <m/>
    <m/>
    <m/>
    <m/>
    <m/>
    <m/>
    <m/>
    <m/>
    <m/>
    <m/>
    <m/>
    <m/>
    <m/>
    <m/>
    <m/>
    <m/>
    <m/>
    <m/>
    <m/>
  </r>
  <r>
    <s v="102 - US"/>
    <d v="2022-10-18T00:00:00"/>
    <s v="OCTOBER"/>
    <n v="2022"/>
    <x v="0"/>
    <s v="Deposited"/>
    <s v="PMT-S151-156313"/>
    <s v="IN-S151-546649"/>
    <s v="USD"/>
    <n v="-14000"/>
    <n v="-14000"/>
    <n v="9333.33"/>
    <n v="-9333.33"/>
    <s v="Management &amp; Training Corporation (Job Corps)"/>
    <s v="Jose Castellanos-103"/>
    <s v="renewal 12/7/22-12/6/25"/>
    <m/>
    <m/>
    <m/>
    <m/>
    <m/>
    <m/>
    <m/>
    <m/>
    <m/>
    <m/>
    <m/>
    <m/>
    <m/>
    <m/>
    <m/>
    <m/>
    <m/>
    <m/>
    <m/>
    <m/>
    <m/>
    <m/>
    <m/>
    <m/>
    <m/>
    <m/>
    <m/>
    <m/>
    <m/>
    <m/>
    <m/>
    <m/>
    <m/>
    <m/>
    <m/>
    <m/>
    <m/>
    <m/>
    <m/>
    <m/>
    <m/>
    <m/>
    <m/>
    <m/>
    <m/>
    <m/>
    <m/>
    <m/>
    <m/>
    <m/>
    <m/>
    <m/>
    <m/>
    <m/>
    <m/>
    <m/>
  </r>
  <r>
    <s v="102 - US"/>
    <d v="2022-06-24T00:00:00"/>
    <s v="JUNE"/>
    <n v="2022"/>
    <x v="0"/>
    <s v="Deposited"/>
    <s v="PMT-S151-149470"/>
    <s v=""/>
    <s v="USD"/>
    <n v="-8250"/>
    <n v="-8250"/>
    <n v="8250"/>
    <n v="-8250"/>
    <s v="Avendra"/>
    <s v=""/>
    <s v="CHECK"/>
    <m/>
    <m/>
    <m/>
    <m/>
    <m/>
    <m/>
    <m/>
    <m/>
    <m/>
    <m/>
    <m/>
    <m/>
    <m/>
    <m/>
    <m/>
    <m/>
    <m/>
    <m/>
    <m/>
    <m/>
    <m/>
    <m/>
    <m/>
    <m/>
    <m/>
    <m/>
    <m/>
    <m/>
    <m/>
    <m/>
    <m/>
    <m/>
    <m/>
    <m/>
    <m/>
    <m/>
    <m/>
    <m/>
    <m/>
    <m/>
    <m/>
    <m/>
    <m/>
    <m/>
    <m/>
    <m/>
    <m/>
    <m/>
    <m/>
    <m/>
    <m/>
    <m/>
    <m/>
    <m/>
    <m/>
    <m/>
  </r>
  <r>
    <s v="102 - US"/>
    <d v="2022-07-06T00:00:00"/>
    <s v="JULY"/>
    <n v="2022"/>
    <x v="0"/>
    <s v="Deposited"/>
    <s v="PMT-S151-150211"/>
    <s v=""/>
    <s v="USD"/>
    <n v="-8250"/>
    <n v="-8250"/>
    <n v="8250"/>
    <n v="-250567.82"/>
    <s v="DUMMY CUSTOMER_CASHAPPS 102 - US"/>
    <s v=""/>
    <s v="ACH CONCENTRATION CREDIT ACH CASH CONCENTRATION INDIANA UNV-BATCH INDIANA U BATCH 504301824"/>
    <m/>
    <m/>
    <m/>
    <m/>
    <m/>
    <m/>
    <m/>
    <m/>
    <m/>
    <m/>
    <m/>
    <m/>
    <m/>
    <m/>
    <m/>
    <m/>
    <m/>
    <m/>
    <m/>
    <m/>
    <m/>
    <m/>
    <m/>
    <m/>
    <m/>
    <m/>
    <m/>
    <m/>
    <m/>
    <m/>
    <m/>
    <m/>
    <m/>
    <m/>
    <m/>
    <m/>
    <m/>
    <m/>
    <m/>
    <m/>
    <m/>
    <m/>
    <m/>
    <m/>
    <m/>
    <m/>
    <m/>
    <m/>
    <m/>
    <m/>
    <m/>
    <m/>
    <m/>
    <m/>
    <m/>
    <m/>
  </r>
  <r>
    <s v="102 - US"/>
    <d v="2023-01-30T00:00:00"/>
    <s v="JANUARY"/>
    <n v="2023"/>
    <x v="0"/>
    <s v="Deposited"/>
    <s v="PMT-S151-162604"/>
    <s v="IN-S151-549189"/>
    <s v="USD"/>
    <n v="-15665.62"/>
    <n v="-15665.62"/>
    <n v="8165.62"/>
    <n v="-8165.62"/>
    <s v="Comic Relief, Inc"/>
    <s v=""/>
    <s v="ACH CONCENTRATION CREDIT ACH CASH CONCENTRATION COMIC RELIEF8654-PAYMENTS COMIC REL PAYMENTS                                               Meltwater N ews"/>
    <m/>
    <m/>
    <m/>
    <m/>
    <m/>
    <m/>
    <m/>
    <m/>
    <m/>
    <m/>
    <m/>
    <m/>
    <m/>
    <m/>
    <m/>
    <m/>
    <m/>
    <m/>
    <m/>
    <m/>
    <m/>
    <m/>
    <m/>
    <m/>
    <m/>
    <m/>
    <m/>
    <m/>
    <m/>
    <m/>
    <m/>
    <m/>
    <m/>
    <m/>
    <m/>
    <m/>
    <m/>
    <m/>
    <m/>
    <m/>
    <m/>
    <m/>
    <m/>
    <m/>
    <m/>
    <m/>
    <m/>
    <m/>
    <m/>
    <m/>
    <m/>
    <m/>
    <m/>
    <m/>
    <m/>
    <m/>
  </r>
  <r>
    <s v="102 - US"/>
    <d v="2025-07-18T00:00:00"/>
    <s v="JULY"/>
    <n v="2025"/>
    <x v="0"/>
    <s v="Deposited"/>
    <s v="PMT-S151-208027"/>
    <s v=""/>
    <s v="USD"/>
    <n v="-7720.17"/>
    <n v="-7720.17"/>
    <n v="7720.17"/>
    <n v="-250567.82"/>
    <s v="DUMMY CUSTOMER_CASHAPPS 102 - US"/>
    <s v=""/>
    <s v="ACH CONCENTRATION CREDIT ACH CASH CONCENTRATION ENVIOLOL-PAYMENTS ENVIOLOL  PAYMENTS 0000010634"/>
    <m/>
    <m/>
    <m/>
    <m/>
    <m/>
    <m/>
    <m/>
    <m/>
    <m/>
    <m/>
    <m/>
    <m/>
    <m/>
    <m/>
    <m/>
    <m/>
    <m/>
    <m/>
    <m/>
    <m/>
    <m/>
    <m/>
    <m/>
    <m/>
    <m/>
    <m/>
    <m/>
    <m/>
    <m/>
    <m/>
    <m/>
    <m/>
    <m/>
    <m/>
    <m/>
    <m/>
    <m/>
    <m/>
    <m/>
    <m/>
    <m/>
    <m/>
    <m/>
    <m/>
    <m/>
    <m/>
    <m/>
    <m/>
    <m/>
    <m/>
    <m/>
    <m/>
    <m/>
    <m/>
    <m/>
    <m/>
  </r>
  <r>
    <s v="102 - US"/>
    <d v="2025-08-12T00:00:00"/>
    <s v="AUGUST"/>
    <n v="2025"/>
    <x v="0"/>
    <s v="Deposited"/>
    <s v="PMT-S151-209317"/>
    <s v=""/>
    <s v="USD"/>
    <n v="-7652"/>
    <n v="-7652"/>
    <n v="7652"/>
    <n v="-7652"/>
    <s v="Fort Worth Symphony Orchestra"/>
    <s v=""/>
    <s v=""/>
    <m/>
    <m/>
    <m/>
    <m/>
    <m/>
    <m/>
    <m/>
    <m/>
    <m/>
    <m/>
    <m/>
    <m/>
    <m/>
    <m/>
    <m/>
    <m/>
    <m/>
    <m/>
    <m/>
    <m/>
    <m/>
    <m/>
    <m/>
    <m/>
    <m/>
    <m/>
    <m/>
    <m/>
    <m/>
    <m/>
    <m/>
    <m/>
    <m/>
    <m/>
    <m/>
    <m/>
    <m/>
    <m/>
    <m/>
    <m/>
    <m/>
    <m/>
    <m/>
    <m/>
    <m/>
    <m/>
    <m/>
    <m/>
    <m/>
    <m/>
    <m/>
    <m/>
    <m/>
    <m/>
    <m/>
    <m/>
  </r>
  <r>
    <s v="102 - US"/>
    <d v="2026-04-14T00:00:00"/>
    <s v="APRIL"/>
    <n v="2026"/>
    <x v="0"/>
    <s v="Deposited"/>
    <s v="PMT-S151-222677"/>
    <s v=""/>
    <s v="USD"/>
    <n v="-7500"/>
    <n v="-7500"/>
    <n v="7500"/>
    <n v="-250567.82"/>
    <s v="DUMMY CUSTOMER_CASHAPPS 102 - US"/>
    <s v=""/>
    <s v=""/>
    <m/>
    <m/>
    <m/>
    <m/>
    <m/>
    <m/>
    <m/>
    <m/>
    <m/>
    <m/>
    <m/>
    <m/>
    <m/>
    <m/>
    <m/>
    <m/>
    <m/>
    <m/>
    <m/>
    <m/>
    <m/>
    <m/>
    <m/>
    <m/>
    <m/>
    <m/>
    <m/>
    <m/>
    <m/>
    <m/>
    <m/>
    <m/>
    <m/>
    <m/>
    <m/>
    <m/>
    <m/>
    <m/>
    <m/>
    <m/>
    <m/>
    <m/>
    <m/>
    <m/>
    <m/>
    <m/>
    <m/>
    <m/>
    <m/>
    <m/>
    <m/>
    <m/>
    <m/>
    <m/>
    <m/>
    <m/>
  </r>
  <r>
    <s v="102 - US"/>
    <d v="2023-10-06T00:00:00"/>
    <s v="OCTOBER"/>
    <n v="2023"/>
    <x v="0"/>
    <s v="Deposited"/>
    <s v="PMT-S151-175978"/>
    <s v=""/>
    <s v="USD"/>
    <n v="-7350"/>
    <n v="-7350"/>
    <n v="7350"/>
    <n v="-7350"/>
    <s v="American Magic"/>
    <s v=""/>
    <s v="ACH CONCENTRATION CREDIT ACH CASH CONCENTRATION BMQR-SPT ACH BMQR SPT ACH    Meltwater"/>
    <m/>
    <m/>
    <m/>
    <m/>
    <m/>
    <m/>
    <m/>
    <m/>
    <m/>
    <m/>
    <m/>
    <m/>
    <m/>
    <m/>
    <m/>
    <m/>
    <m/>
    <m/>
    <m/>
    <m/>
    <m/>
    <m/>
    <m/>
    <m/>
    <m/>
    <m/>
    <m/>
    <m/>
    <m/>
    <m/>
    <m/>
    <m/>
    <m/>
    <m/>
    <m/>
    <m/>
    <m/>
    <m/>
    <m/>
    <m/>
    <m/>
    <m/>
    <m/>
    <m/>
    <m/>
    <m/>
    <m/>
    <m/>
    <m/>
    <m/>
    <m/>
    <m/>
    <m/>
    <m/>
    <m/>
    <m/>
  </r>
  <r>
    <s v="102 - US"/>
    <d v="2025-01-31T00:00:00"/>
    <s v="JANUARY"/>
    <n v="2025"/>
    <x v="0"/>
    <s v="Deposited"/>
    <s v="PMT-S151-200236"/>
    <s v=""/>
    <s v="USD"/>
    <n v="-7150"/>
    <n v="-7150"/>
    <n v="7150"/>
    <n v="-250567.82"/>
    <s v="DUMMY CUSTOMER_CASHAPPS 102 - US"/>
    <s v=""/>
    <s v="ACH CONCENTRATION CREDIT ACH CORP TRADE PAYMENT FROM THE CITY OF NEW THE CITY  Payments 202501296563717"/>
    <m/>
    <m/>
    <m/>
    <m/>
    <m/>
    <m/>
    <m/>
    <m/>
    <m/>
    <m/>
    <m/>
    <m/>
    <m/>
    <m/>
    <m/>
    <m/>
    <m/>
    <m/>
    <m/>
    <m/>
    <m/>
    <m/>
    <m/>
    <m/>
    <m/>
    <m/>
    <m/>
    <m/>
    <m/>
    <m/>
    <m/>
    <m/>
    <m/>
    <m/>
    <m/>
    <m/>
    <m/>
    <m/>
    <m/>
    <m/>
    <m/>
    <m/>
    <m/>
    <m/>
    <m/>
    <m/>
    <m/>
    <m/>
    <m/>
    <m/>
    <m/>
    <m/>
    <m/>
    <m/>
    <m/>
    <m/>
  </r>
  <r>
    <s v="102 - US"/>
    <d v="2022-10-04T00:00:00"/>
    <s v="OCTOBER"/>
    <n v="2022"/>
    <x v="0"/>
    <s v="Deposited"/>
    <s v="PMT-S151-155504"/>
    <s v=""/>
    <s v="USD"/>
    <n v="-7000"/>
    <n v="-7000"/>
    <n v="7000"/>
    <n v="-7000"/>
    <s v="Girl Scouts of Northeast Texas"/>
    <s v=""/>
    <s v="ACH CONCENTRATION CREDIT ACH CASH CONCENTRATION GIRL SCOUTS OF N-PAYMENTS GIRL SCOU PAYMENTS   MELTWATER"/>
    <m/>
    <m/>
    <m/>
    <m/>
    <m/>
    <m/>
    <m/>
    <m/>
    <m/>
    <m/>
    <m/>
    <m/>
    <m/>
    <m/>
    <m/>
    <m/>
    <m/>
    <m/>
    <m/>
    <m/>
    <m/>
    <m/>
    <m/>
    <m/>
    <m/>
    <m/>
    <m/>
    <m/>
    <m/>
    <m/>
    <m/>
    <m/>
    <m/>
    <m/>
    <m/>
    <m/>
    <m/>
    <m/>
    <m/>
    <m/>
    <m/>
    <m/>
    <m/>
    <m/>
    <m/>
    <m/>
    <m/>
    <m/>
    <m/>
    <m/>
    <m/>
    <m/>
    <m/>
    <m/>
    <m/>
    <m/>
  </r>
  <r>
    <s v="102 - US"/>
    <d v="2022-12-02T00:00:00"/>
    <s v="DECEMBER"/>
    <n v="2022"/>
    <x v="0"/>
    <s v="Deposited"/>
    <s v="PMT-S151-159053"/>
    <s v="IN-S151-547293"/>
    <s v="USD"/>
    <n v="-20000"/>
    <n v="-20000"/>
    <n v="7000"/>
    <n v="-7000"/>
    <s v="SSR Mining, Inc"/>
    <s v=""/>
    <s v="ACH CREDIT ACH DEPOSIT FROM SSR MINING INC.-AP PAYMENT SSR MININ AP PAYMENT NOTPROVIDED"/>
    <m/>
    <m/>
    <m/>
    <m/>
    <m/>
    <m/>
    <m/>
    <m/>
    <m/>
    <m/>
    <m/>
    <m/>
    <m/>
    <m/>
    <m/>
    <m/>
    <m/>
    <m/>
    <m/>
    <m/>
    <m/>
    <m/>
    <m/>
    <m/>
    <m/>
    <m/>
    <m/>
    <m/>
    <m/>
    <m/>
    <m/>
    <m/>
    <m/>
    <m/>
    <m/>
    <m/>
    <m/>
    <m/>
    <m/>
    <m/>
    <m/>
    <m/>
    <m/>
    <m/>
    <m/>
    <m/>
    <m/>
    <m/>
    <m/>
    <m/>
    <m/>
    <m/>
    <m/>
    <m/>
    <m/>
    <m/>
  </r>
  <r>
    <s v="102 - US"/>
    <d v="2023-07-31T00:00:00"/>
    <s v="JULY"/>
    <n v="2023"/>
    <x v="0"/>
    <s v="Deposited"/>
    <s v="PMT-S151-172289"/>
    <s v="IN-S151-568917"/>
    <s v="USD"/>
    <n v="-7750"/>
    <n v="-7750"/>
    <n v="6975"/>
    <n v="-6975"/>
    <s v="Johnston County Schools"/>
    <s v="Stephanie Thore"/>
    <s v="CHECK"/>
    <m/>
    <m/>
    <m/>
    <m/>
    <m/>
    <m/>
    <m/>
    <m/>
    <m/>
    <m/>
    <m/>
    <m/>
    <m/>
    <m/>
    <m/>
    <m/>
    <m/>
    <m/>
    <m/>
    <m/>
    <m/>
    <m/>
    <m/>
    <m/>
    <m/>
    <m/>
    <m/>
    <m/>
    <m/>
    <m/>
    <m/>
    <m/>
    <m/>
    <m/>
    <m/>
    <m/>
    <m/>
    <m/>
    <m/>
    <m/>
    <m/>
    <m/>
    <m/>
    <m/>
    <m/>
    <m/>
    <m/>
    <m/>
    <m/>
    <m/>
    <m/>
    <m/>
    <m/>
    <m/>
    <m/>
    <m/>
  </r>
  <r>
    <s v="102 - US"/>
    <d v="2023-07-21T00:00:00"/>
    <s v="JULY"/>
    <n v="2023"/>
    <x v="0"/>
    <s v="Deposited"/>
    <s v="PMT-S151-171846"/>
    <s v=""/>
    <s v="USD"/>
    <n v="-6929"/>
    <n v="-6929"/>
    <n v="6929"/>
    <n v="-6929"/>
    <s v="Season Health"/>
    <s v=""/>
    <s v="ACH CONCENTRATION CREDIT ACH CASH CONCENTRATION SURELY HEALTH,I-TRANSFER"/>
    <m/>
    <m/>
    <m/>
    <m/>
    <m/>
    <m/>
    <m/>
    <m/>
    <m/>
    <m/>
    <m/>
    <m/>
    <m/>
    <m/>
    <m/>
    <m/>
    <m/>
    <m/>
    <m/>
    <m/>
    <m/>
    <m/>
    <m/>
    <m/>
    <m/>
    <m/>
    <m/>
    <m/>
    <m/>
    <m/>
    <m/>
    <m/>
    <m/>
    <m/>
    <m/>
    <m/>
    <m/>
    <m/>
    <m/>
    <m/>
    <m/>
    <m/>
    <m/>
    <m/>
    <m/>
    <m/>
    <m/>
    <m/>
    <m/>
    <m/>
    <m/>
    <m/>
    <m/>
    <m/>
    <m/>
    <m/>
  </r>
  <r>
    <s v="102 - US"/>
    <d v="2025-12-22T00:00:00"/>
    <s v="DECEMBER"/>
    <n v="2025"/>
    <x v="0"/>
    <s v="Deposited"/>
    <s v="PMT-S151-216041"/>
    <s v="PMT-S151-216041"/>
    <s v="USD"/>
    <n v="-6655"/>
    <n v="-6655"/>
    <n v="6655"/>
    <n v="-6655"/>
    <s v="The Commit Partnership"/>
    <s v=""/>
    <s v="ACH CONCENTRATION CREDIT ACH CASH CONCENTRATION COMMIT2DALLAS-INS1515900"/>
    <m/>
    <m/>
    <m/>
    <m/>
    <m/>
    <m/>
    <m/>
    <m/>
    <m/>
    <m/>
    <m/>
    <m/>
    <m/>
    <m/>
    <m/>
    <m/>
    <m/>
    <m/>
    <m/>
    <m/>
    <m/>
    <m/>
    <m/>
    <m/>
    <m/>
    <m/>
    <m/>
    <m/>
    <m/>
    <m/>
    <m/>
    <m/>
    <m/>
    <m/>
    <m/>
    <m/>
    <m/>
    <m/>
    <m/>
    <m/>
    <m/>
    <m/>
    <m/>
    <m/>
    <m/>
    <m/>
    <m/>
    <m/>
    <m/>
    <m/>
    <m/>
    <m/>
    <m/>
    <m/>
    <m/>
    <m/>
  </r>
  <r>
    <s v="102 - US"/>
    <d v="2022-12-29T00:00:00"/>
    <s v="DECEMBER"/>
    <n v="2022"/>
    <x v="0"/>
    <s v="Deposited"/>
    <s v="PMT-S151-160605"/>
    <s v=""/>
    <s v="USD"/>
    <n v="-6325"/>
    <n v="-6325"/>
    <n v="6325"/>
    <n v="-6325"/>
    <s v="Gulfshore Playhouse"/>
    <s v=""/>
    <s v="CHECK"/>
    <m/>
    <m/>
    <m/>
    <m/>
    <m/>
    <m/>
    <m/>
    <m/>
    <m/>
    <m/>
    <m/>
    <m/>
    <m/>
    <m/>
    <m/>
    <m/>
    <m/>
    <m/>
    <m/>
    <m/>
    <m/>
    <m/>
    <m/>
    <m/>
    <m/>
    <m/>
    <m/>
    <m/>
    <m/>
    <m/>
    <m/>
    <m/>
    <m/>
    <m/>
    <m/>
    <m/>
    <m/>
    <m/>
    <m/>
    <m/>
    <m/>
    <m/>
    <m/>
    <m/>
    <m/>
    <m/>
    <m/>
    <m/>
    <m/>
    <m/>
    <m/>
    <m/>
    <m/>
    <m/>
    <m/>
    <m/>
  </r>
  <r>
    <s v="102 - US"/>
    <d v="2026-04-24T00:00:00"/>
    <s v="APRIL"/>
    <n v="2026"/>
    <x v="0"/>
    <s v="Deposited"/>
    <s v="PMT-S151-223212"/>
    <s v=""/>
    <s v="USD"/>
    <n v="-6200"/>
    <n v="-6200"/>
    <n v="6200"/>
    <n v="-6200"/>
    <s v="Honolulu Marathon Association"/>
    <s v="Stephanie Thore"/>
    <s v=""/>
    <m/>
    <m/>
    <m/>
    <m/>
    <m/>
    <m/>
    <m/>
    <m/>
    <m/>
    <m/>
    <m/>
    <m/>
    <m/>
    <m/>
    <m/>
    <m/>
    <m/>
    <m/>
    <m/>
    <m/>
    <m/>
    <m/>
    <m/>
    <m/>
    <m/>
    <m/>
    <m/>
    <m/>
    <m/>
    <m/>
    <m/>
    <m/>
    <m/>
    <m/>
    <m/>
    <m/>
    <m/>
    <m/>
    <m/>
    <m/>
    <m/>
    <m/>
    <m/>
    <m/>
    <m/>
    <m/>
    <m/>
    <m/>
    <m/>
    <m/>
    <m/>
    <m/>
    <m/>
    <m/>
    <m/>
    <m/>
  </r>
  <r>
    <s v="102 - US"/>
    <d v="2026-05-04T00:00:00"/>
    <s v="MAY"/>
    <n v="2026"/>
    <x v="0"/>
    <s v="Deposited"/>
    <s v="PMT-S151-223744"/>
    <s v=""/>
    <s v="USD"/>
    <n v="-5625"/>
    <n v="-5625"/>
    <n v="5625"/>
    <n v="-5625"/>
    <s v="Omaha Supernovas"/>
    <s v=""/>
    <s v=""/>
    <m/>
    <m/>
    <m/>
    <m/>
    <m/>
    <m/>
    <m/>
    <m/>
    <m/>
    <m/>
    <m/>
    <m/>
    <m/>
    <m/>
    <m/>
    <m/>
    <m/>
    <m/>
    <m/>
    <m/>
    <m/>
    <m/>
    <m/>
    <m/>
    <m/>
    <m/>
    <m/>
    <m/>
    <m/>
    <m/>
    <m/>
    <m/>
    <m/>
    <m/>
    <m/>
    <m/>
    <m/>
    <m/>
    <m/>
    <m/>
    <m/>
    <m/>
    <m/>
    <m/>
    <m/>
    <m/>
    <m/>
    <m/>
    <m/>
    <m/>
    <m/>
    <m/>
    <m/>
    <m/>
    <m/>
    <m/>
  </r>
  <r>
    <s v="102 - US"/>
    <d v="2022-04-27T00:00:00"/>
    <s v="APRIL"/>
    <n v="2022"/>
    <x v="0"/>
    <s v="Deposited"/>
    <s v="PMT-S151-146660"/>
    <s v=""/>
    <s v="USD"/>
    <n v="-5505"/>
    <n v="-5505"/>
    <n v="5505"/>
    <n v="-5505"/>
    <s v="Pacvue"/>
    <s v=""/>
    <s v="ACH CONCENTRATION CREDIT ACH CASH CONCENTRATION PACVUE CORPORATI-ACH PMT PACVUE CO ACH Pmt 5332490959"/>
    <m/>
    <m/>
    <m/>
    <m/>
    <m/>
    <m/>
    <m/>
    <m/>
    <m/>
    <m/>
    <m/>
    <m/>
    <m/>
    <m/>
    <m/>
    <m/>
    <m/>
    <m/>
    <m/>
    <m/>
    <m/>
    <m/>
    <m/>
    <m/>
    <m/>
    <m/>
    <m/>
    <m/>
    <m/>
    <m/>
    <m/>
    <m/>
    <m/>
    <m/>
    <m/>
    <m/>
    <m/>
    <m/>
    <m/>
    <m/>
    <m/>
    <m/>
    <m/>
    <m/>
    <m/>
    <m/>
    <m/>
    <m/>
    <m/>
    <m/>
    <m/>
    <m/>
    <m/>
    <m/>
    <m/>
    <m/>
  </r>
  <r>
    <s v="102 - US"/>
    <d v="2023-04-25T00:00:00"/>
    <s v="APRIL"/>
    <n v="2023"/>
    <x v="0"/>
    <s v="Deposited"/>
    <s v="PMT-S151-167020"/>
    <s v=""/>
    <s v="USD"/>
    <n v="-5500"/>
    <n v="-5500"/>
    <n v="5500"/>
    <n v="-5500"/>
    <s v="Birmingham Public Schools"/>
    <s v=""/>
    <s v="CHECK"/>
    <m/>
    <m/>
    <m/>
    <m/>
    <m/>
    <m/>
    <m/>
    <m/>
    <m/>
    <m/>
    <m/>
    <m/>
    <m/>
    <m/>
    <m/>
    <m/>
    <m/>
    <m/>
    <m/>
    <m/>
    <m/>
    <m/>
    <m/>
    <m/>
    <m/>
    <m/>
    <m/>
    <m/>
    <m/>
    <m/>
    <m/>
    <m/>
    <m/>
    <m/>
    <m/>
    <m/>
    <m/>
    <m/>
    <m/>
    <m/>
    <m/>
    <m/>
    <m/>
    <m/>
    <m/>
    <m/>
    <m/>
    <m/>
    <m/>
    <m/>
    <m/>
    <m/>
    <m/>
    <m/>
    <m/>
    <m/>
  </r>
  <r>
    <s v="102 - US"/>
    <d v="2023-08-16T00:00:00"/>
    <s v="AUGUST"/>
    <n v="2023"/>
    <x v="0"/>
    <s v="Deposited"/>
    <s v="PMT-S151-173335"/>
    <s v=""/>
    <s v="USD"/>
    <n v="-5500"/>
    <n v="-5500"/>
    <n v="5500"/>
    <n v="-5500"/>
    <s v="Brain Technologies, Inc."/>
    <s v=""/>
    <s v="ACH CONCENTRATION CREDIT ACH CASH CONCENTRATION BRAIN TECHNOLOGI-BILL.COM Brain Tec Bill.com                                               016GNOXUE2QY ILR"/>
    <m/>
    <m/>
    <m/>
    <m/>
    <m/>
    <m/>
    <m/>
    <m/>
    <m/>
    <m/>
    <m/>
    <m/>
    <m/>
    <m/>
    <m/>
    <m/>
    <m/>
    <m/>
    <m/>
    <m/>
    <m/>
    <m/>
    <m/>
    <m/>
    <m/>
    <m/>
    <m/>
    <m/>
    <m/>
    <m/>
    <m/>
    <m/>
    <m/>
    <m/>
    <m/>
    <m/>
    <m/>
    <m/>
    <m/>
    <m/>
    <m/>
    <m/>
    <m/>
    <m/>
    <m/>
    <m/>
    <m/>
    <m/>
    <m/>
    <m/>
    <m/>
    <m/>
    <m/>
    <m/>
    <m/>
    <m/>
  </r>
  <r>
    <s v="102 - US"/>
    <d v="2025-10-22T00:00:00"/>
    <s v="OCTOBER"/>
    <n v="2025"/>
    <x v="0"/>
    <s v="Deposited"/>
    <s v="PMT-S151-212527"/>
    <s v=""/>
    <s v="USD"/>
    <n v="-5500"/>
    <n v="-5500"/>
    <n v="5500"/>
    <n v="-5500"/>
    <s v="Vladimir Jones"/>
    <s v=""/>
    <s v=""/>
    <m/>
    <m/>
    <m/>
    <m/>
    <m/>
    <m/>
    <m/>
    <m/>
    <m/>
    <m/>
    <m/>
    <m/>
    <m/>
    <m/>
    <m/>
    <m/>
    <m/>
    <m/>
    <m/>
    <m/>
    <m/>
    <m/>
    <m/>
    <m/>
    <m/>
    <m/>
    <m/>
    <m/>
    <m/>
    <m/>
    <m/>
    <m/>
    <m/>
    <m/>
    <m/>
    <m/>
    <m/>
    <m/>
    <m/>
    <m/>
    <m/>
    <m/>
    <m/>
    <m/>
    <m/>
    <m/>
    <m/>
    <m/>
    <m/>
    <m/>
    <m/>
    <m/>
    <m/>
    <m/>
    <m/>
    <m/>
  </r>
  <r>
    <s v="102 - US"/>
    <d v="2023-01-04T00:00:00"/>
    <s v="JANUARY"/>
    <n v="2023"/>
    <x v="0"/>
    <s v="Deposited"/>
    <s v="PMT-S151-160930"/>
    <s v=""/>
    <s v="USD"/>
    <n v="-5457"/>
    <n v="-5457"/>
    <n v="5457"/>
    <n v="-5457"/>
    <s v="Calvin Klein"/>
    <s v="Jason Welch"/>
    <s v="INCOMING MONEY TRANSFER 53RECD FED BANK OF AMERICA N.A.*ORG:1/PVH EUROPE B .V.,3/NL/AMSTERDAM 1054ES,2/STADHOUDERSKAD*OGB:BANK OF AMERICA NA LONDON,LOND ON,BANK OF AMERICA MERRILL*BNF:MELTWATER NEWS US INC,SAN FRANCISCO        CA/ US,STE 100*OBI:IN-S151-531453C PVHE CALVIN KL EIN EUROPE BV /RFB/221019200010 1556*STFEDSEQ:B1Q8982R002942*TIME:1618*YOUR REF:2210192000101556*OUR REF:0045 77450"/>
    <m/>
    <m/>
    <m/>
    <m/>
    <m/>
    <m/>
    <m/>
    <m/>
    <m/>
    <m/>
    <m/>
    <m/>
    <m/>
    <m/>
    <m/>
    <m/>
    <m/>
    <m/>
    <m/>
    <m/>
    <m/>
    <m/>
    <m/>
    <m/>
    <m/>
    <m/>
    <m/>
    <m/>
    <m/>
    <m/>
    <m/>
    <m/>
    <m/>
    <m/>
    <m/>
    <m/>
    <m/>
    <m/>
    <m/>
    <m/>
    <m/>
    <m/>
    <m/>
    <m/>
    <m/>
    <m/>
    <m/>
    <m/>
    <m/>
    <m/>
    <m/>
    <m/>
    <m/>
    <m/>
    <m/>
    <m/>
  </r>
  <r>
    <s v="102 - US"/>
    <d v="2024-02-20T00:00:00"/>
    <s v="FEBRUARY"/>
    <n v="2024"/>
    <x v="0"/>
    <s v="Deposited"/>
    <s v="PMT-S151-183645"/>
    <s v=""/>
    <s v="USD"/>
    <n v="-5400"/>
    <n v="-5400"/>
    <n v="5400"/>
    <n v="-5400"/>
    <s v="Mextenis, S.A. de C.V"/>
    <s v="Maria Papadopoulos"/>
    <s v="INCOMING MONEY TRANSFER 53RECD FED BANK OF NEW YORK*ORG:MEX TENIS S.A. DE C.V.,MX 23/10/1992,BOSQUES DE LAS LOMA*OGB:INTERCAM BANCO SA INSTITUCION DE B A,CIUDAD DE MEXICO,COL*BNF:MELTWATER NEWS US INC,REDWOOD CITY         CA/US,S TE 165*OBI:PAY LICENCIAMELTWATERPAQ PAGO DE SE RVIC BOF MEX TENIS S.A. DE C.V .*STFEDSEQ:B1Q8981R004078*TIME:1315*YOUR REF NONREF*OUR REF:051500808"/>
    <m/>
    <m/>
    <m/>
    <m/>
    <m/>
    <m/>
    <m/>
    <m/>
    <m/>
    <m/>
    <m/>
    <m/>
    <m/>
    <m/>
    <m/>
    <m/>
    <m/>
    <m/>
    <m/>
    <m/>
    <m/>
    <m/>
    <m/>
    <m/>
    <m/>
    <m/>
    <m/>
    <m/>
    <m/>
    <m/>
    <m/>
    <m/>
    <m/>
    <m/>
    <m/>
    <m/>
    <m/>
    <m/>
    <m/>
    <m/>
    <m/>
    <m/>
    <m/>
    <m/>
    <m/>
    <m/>
    <m/>
    <m/>
    <m/>
    <m/>
    <m/>
    <m/>
    <m/>
    <m/>
    <m/>
    <m/>
  </r>
  <r>
    <s v="102 - US"/>
    <d v="2025-04-16T00:00:00"/>
    <s v="APRIL"/>
    <n v="2025"/>
    <x v="0"/>
    <s v="Deposited"/>
    <s v="PMT-S151-204303"/>
    <s v=""/>
    <s v="USD"/>
    <n v="-5375"/>
    <n v="-5375"/>
    <n v="5375"/>
    <n v="-5375"/>
    <s v="Bath &amp; Body Works Direct, Inc."/>
    <s v=""/>
    <s v="ACH CONCENTRATION CREDIT ACH CASH CONCENTRATION L BRAND 1332-EDI PAYMNT L BRAND 1 EDI PAYMNT 2003275583"/>
    <m/>
    <m/>
    <m/>
    <m/>
    <m/>
    <m/>
    <m/>
    <m/>
    <m/>
    <m/>
    <m/>
    <m/>
    <m/>
    <m/>
    <m/>
    <m/>
    <m/>
    <m/>
    <m/>
    <m/>
    <m/>
    <m/>
    <m/>
    <m/>
    <m/>
    <m/>
    <m/>
    <m/>
    <m/>
    <m/>
    <m/>
    <m/>
    <m/>
    <m/>
    <m/>
    <m/>
    <m/>
    <m/>
    <m/>
    <m/>
    <m/>
    <m/>
    <m/>
    <m/>
    <m/>
    <m/>
    <m/>
    <m/>
    <m/>
    <m/>
    <m/>
    <m/>
    <m/>
    <m/>
    <m/>
    <m/>
  </r>
  <r>
    <s v="102 - US"/>
    <d v="2023-09-26T00:00:00"/>
    <s v="SEPTEMBER"/>
    <n v="2023"/>
    <x v="0"/>
    <s v="Deposited"/>
    <s v="PMT-S151-175385"/>
    <s v="IN-S151-559205"/>
    <s v="USD"/>
    <n v="-9717.1200000000008"/>
    <n v="-9717.1200000000008"/>
    <n v="5254.62"/>
    <n v="-5254.62"/>
    <s v="CultureWorks Inc"/>
    <s v=""/>
    <s v="ACH CONCENTRATION CREDIT ACH CASH CONCENTRATION CULTUREWORKS,IN-BILL.COM CultureWo Bill.com                                                         025BRMYDKVMZ 65U"/>
    <m/>
    <m/>
    <m/>
    <m/>
    <m/>
    <m/>
    <m/>
    <m/>
    <m/>
    <m/>
    <m/>
    <m/>
    <m/>
    <m/>
    <m/>
    <m/>
    <m/>
    <m/>
    <m/>
    <m/>
    <m/>
    <m/>
    <m/>
    <m/>
    <m/>
    <m/>
    <m/>
    <m/>
    <m/>
    <m/>
    <m/>
    <m/>
    <m/>
    <m/>
    <m/>
    <m/>
    <m/>
    <m/>
    <m/>
    <m/>
    <m/>
    <m/>
    <m/>
    <m/>
    <m/>
    <m/>
    <m/>
    <m/>
    <m/>
    <m/>
    <m/>
    <m/>
    <m/>
    <m/>
    <m/>
    <m/>
  </r>
  <r>
    <s v="102 - US"/>
    <d v="2025-06-20T00:00:00"/>
    <s v="JUNE"/>
    <n v="2025"/>
    <x v="0"/>
    <s v="Deposited"/>
    <s v="PMT-S151-206730"/>
    <s v="IN-S151-583041"/>
    <s v="USD"/>
    <n v="-55150"/>
    <n v="-55150"/>
    <n v="5150"/>
    <n v="-50095.55"/>
    <s v="Microsoft Corporation"/>
    <s v=""/>
    <s v="ACH CONCENTRATION CREDIT ACH CASH CONCENTRATION 200-ACTIVISION P-6531011921 200-ACTIV 6531011921 6531011921"/>
    <m/>
    <m/>
    <m/>
    <m/>
    <m/>
    <m/>
    <m/>
    <m/>
    <m/>
    <m/>
    <m/>
    <m/>
    <m/>
    <m/>
    <m/>
    <m/>
    <m/>
    <m/>
    <m/>
    <m/>
    <m/>
    <m/>
    <m/>
    <m/>
    <m/>
    <m/>
    <m/>
    <m/>
    <m/>
    <m/>
    <m/>
    <m/>
    <m/>
    <m/>
    <m/>
    <m/>
    <m/>
    <m/>
    <m/>
    <m/>
    <m/>
    <m/>
    <m/>
    <m/>
    <m/>
    <m/>
    <m/>
    <m/>
    <m/>
    <m/>
    <m/>
    <m/>
    <m/>
    <m/>
    <m/>
    <m/>
  </r>
  <r>
    <s v="102 - US"/>
    <d v="2025-10-27T00:00:00"/>
    <s v="OCTOBER"/>
    <n v="2025"/>
    <x v="0"/>
    <s v="Deposited"/>
    <s v="PMT-S151-212754"/>
    <s v=""/>
    <s v="USD"/>
    <n v="-5000"/>
    <n v="-5000"/>
    <n v="5000"/>
    <n v="-5000"/>
    <s v="McDaniels Marketing"/>
    <s v=""/>
    <s v=""/>
    <m/>
    <m/>
    <m/>
    <m/>
    <m/>
    <m/>
    <m/>
    <m/>
    <m/>
    <m/>
    <m/>
    <m/>
    <m/>
    <m/>
    <m/>
    <m/>
    <m/>
    <m/>
    <m/>
    <m/>
    <m/>
    <m/>
    <m/>
    <m/>
    <m/>
    <m/>
    <m/>
    <m/>
    <m/>
    <m/>
    <m/>
    <m/>
    <m/>
    <m/>
    <m/>
    <m/>
    <m/>
    <m/>
    <m/>
    <m/>
    <m/>
    <m/>
    <m/>
    <m/>
    <m/>
    <m/>
    <m/>
    <m/>
    <m/>
    <m/>
    <m/>
    <m/>
    <m/>
    <m/>
    <m/>
    <m/>
  </r>
  <r>
    <s v="102 - US"/>
    <d v="2025-11-19T00:00:00"/>
    <s v="NOVEMBER"/>
    <n v="2025"/>
    <x v="0"/>
    <s v="Deposited"/>
    <s v="PMT-S151-214232"/>
    <s v=""/>
    <s v="USD"/>
    <n v="-5000"/>
    <n v="-5000"/>
    <n v="5000"/>
    <n v="-5000"/>
    <s v="Mendaera, Inc"/>
    <s v=""/>
    <s v=""/>
    <m/>
    <m/>
    <m/>
    <m/>
    <m/>
    <m/>
    <m/>
    <m/>
    <m/>
    <m/>
    <m/>
    <m/>
    <m/>
    <m/>
    <m/>
    <m/>
    <m/>
    <m/>
    <m/>
    <m/>
    <m/>
    <m/>
    <m/>
    <m/>
    <m/>
    <m/>
    <m/>
    <m/>
    <m/>
    <m/>
    <m/>
    <m/>
    <m/>
    <m/>
    <m/>
    <m/>
    <m/>
    <m/>
    <m/>
    <m/>
    <m/>
    <m/>
    <m/>
    <m/>
    <m/>
    <m/>
    <m/>
    <m/>
    <m/>
    <m/>
    <m/>
    <m/>
    <m/>
    <m/>
    <m/>
    <m/>
  </r>
  <r>
    <s v="102 - US"/>
    <d v="2022-04-22T00:00:00"/>
    <s v="APRIL"/>
    <n v="2022"/>
    <x v="0"/>
    <s v="Deposited"/>
    <s v="PMT-S151-146301"/>
    <s v=""/>
    <s v="USD"/>
    <n v="-4800"/>
    <n v="-4800"/>
    <n v="4800"/>
    <n v="-4800"/>
    <s v="WeGo Public Transit"/>
    <s v=""/>
    <s v="CHECK"/>
    <m/>
    <m/>
    <m/>
    <m/>
    <m/>
    <m/>
    <m/>
    <m/>
    <m/>
    <m/>
    <m/>
    <m/>
    <m/>
    <m/>
    <m/>
    <m/>
    <m/>
    <m/>
    <m/>
    <m/>
    <m/>
    <m/>
    <m/>
    <m/>
    <m/>
    <m/>
    <m/>
    <m/>
    <m/>
    <m/>
    <m/>
    <m/>
    <m/>
    <m/>
    <m/>
    <m/>
    <m/>
    <m/>
    <m/>
    <m/>
    <m/>
    <m/>
    <m/>
    <m/>
    <m/>
    <m/>
    <m/>
    <m/>
    <m/>
    <m/>
    <m/>
    <m/>
    <m/>
    <m/>
    <m/>
    <m/>
  </r>
  <r>
    <s v="102 - US"/>
    <d v="2026-04-23T00:00:00"/>
    <s v="APRIL"/>
    <n v="2026"/>
    <x v="0"/>
    <s v="Deposited"/>
    <s v="PMT-S151-223214"/>
    <s v=""/>
    <s v="USD"/>
    <n v="-4265.16"/>
    <n v="-4265.16"/>
    <n v="4265.16"/>
    <n v="-4265.16"/>
    <s v="TFI Family Services, Inc."/>
    <s v=""/>
    <s v="ACH CONCENTRATION CREDIT ACH CASH CONCENTRATION TFI FAMILY SERVI-ACH PAYMEN TFI Famil ACH Paymen V000000551"/>
    <m/>
    <m/>
    <m/>
    <m/>
    <m/>
    <m/>
    <m/>
    <m/>
    <m/>
    <m/>
    <m/>
    <m/>
    <m/>
    <m/>
    <m/>
    <m/>
    <m/>
    <m/>
    <m/>
    <m/>
    <m/>
    <m/>
    <m/>
    <m/>
    <m/>
    <m/>
    <m/>
    <m/>
    <m/>
    <m/>
    <m/>
    <m/>
    <m/>
    <m/>
    <m/>
    <m/>
    <m/>
    <m/>
    <m/>
    <m/>
    <m/>
    <m/>
    <m/>
    <m/>
    <m/>
    <m/>
    <m/>
    <m/>
    <m/>
    <m/>
    <m/>
    <m/>
    <m/>
    <m/>
    <m/>
    <m/>
  </r>
  <r>
    <s v="102 - US"/>
    <d v="2022-04-01T00:00:00"/>
    <s v="APRIL"/>
    <n v="2022"/>
    <x v="0"/>
    <s v="Deposited"/>
    <s v="PMT-S151-145257"/>
    <s v=""/>
    <s v="USD"/>
    <n v="-4225"/>
    <n v="-4225"/>
    <n v="4225"/>
    <n v="-4225"/>
    <s v="SVB Leerink"/>
    <s v=""/>
    <s v="ACH CONCENTRATION CREDIT ACH CASH CONCENTRATION LEERINK PRTNRS-TRADE PAY LEERINK P TRADE PAY MELTWATER"/>
    <m/>
    <m/>
    <m/>
    <m/>
    <m/>
    <m/>
    <m/>
    <m/>
    <m/>
    <m/>
    <m/>
    <m/>
    <m/>
    <m/>
    <m/>
    <m/>
    <m/>
    <m/>
    <m/>
    <m/>
    <m/>
    <m/>
    <m/>
    <m/>
    <m/>
    <m/>
    <m/>
    <m/>
    <m/>
    <m/>
    <m/>
    <m/>
    <m/>
    <m/>
    <m/>
    <m/>
    <m/>
    <m/>
    <m/>
    <m/>
    <m/>
    <m/>
    <m/>
    <m/>
    <m/>
    <m/>
    <m/>
    <m/>
    <m/>
    <m/>
    <m/>
    <m/>
    <m/>
    <m/>
    <m/>
    <m/>
  </r>
  <r>
    <s v="102 - US"/>
    <d v="2025-06-26T00:00:00"/>
    <s v="JUNE"/>
    <n v="2025"/>
    <x v="0"/>
    <s v="Deposited"/>
    <s v="PMT-S151-206955"/>
    <s v=""/>
    <s v="USD"/>
    <n v="-4087.75"/>
    <n v="-4087.75"/>
    <n v="4087.75"/>
    <n v="-4087.75"/>
    <s v="FOULGER-PRATT"/>
    <s v=""/>
    <s v="ACH CONCENTRATION CREDIT ACH CASH CONCENTRATION FOULGERPRATT PMD-PAYMENT FOULGERPR PAYMENT    5543440"/>
    <m/>
    <m/>
    <m/>
    <m/>
    <m/>
    <m/>
    <m/>
    <m/>
    <m/>
    <m/>
    <m/>
    <m/>
    <m/>
    <m/>
    <m/>
    <m/>
    <m/>
    <m/>
    <m/>
    <m/>
    <m/>
    <m/>
    <m/>
    <m/>
    <m/>
    <m/>
    <m/>
    <m/>
    <m/>
    <m/>
    <m/>
    <m/>
    <m/>
    <m/>
    <m/>
    <m/>
    <m/>
    <m/>
    <m/>
    <m/>
    <m/>
    <m/>
    <m/>
    <m/>
    <m/>
    <m/>
    <m/>
    <m/>
    <m/>
    <m/>
    <m/>
    <m/>
    <m/>
    <m/>
    <m/>
    <m/>
  </r>
  <r>
    <s v="102 - US"/>
    <d v="2026-05-01T00:00:00"/>
    <s v="MAY"/>
    <n v="2026"/>
    <x v="0"/>
    <s v="Deposited"/>
    <s v="PMT-S151-223676"/>
    <s v=""/>
    <s v="USD"/>
    <n v="-4026"/>
    <n v="-4026"/>
    <n v="4026"/>
    <n v="0"/>
    <s v="Philander Smith University"/>
    <s v="Stephanie Thore"/>
    <s v=""/>
    <m/>
    <m/>
    <m/>
    <m/>
    <m/>
    <m/>
    <m/>
    <m/>
    <m/>
    <m/>
    <m/>
    <m/>
    <m/>
    <m/>
    <m/>
    <m/>
    <m/>
    <m/>
    <m/>
    <m/>
    <m/>
    <m/>
    <m/>
    <m/>
    <m/>
    <m/>
    <m/>
    <m/>
    <m/>
    <m/>
    <m/>
    <m/>
    <m/>
    <m/>
    <m/>
    <m/>
    <m/>
    <m/>
    <m/>
    <m/>
    <m/>
    <m/>
    <m/>
    <m/>
    <m/>
    <m/>
    <m/>
    <m/>
    <m/>
    <m/>
    <m/>
    <m/>
    <m/>
    <m/>
    <m/>
    <m/>
  </r>
  <r>
    <s v="102 - US"/>
    <d v="2024-06-14T00:00:00"/>
    <s v="JUNE"/>
    <n v="2024"/>
    <x v="0"/>
    <s v="Deposited"/>
    <s v="PMT-S151-189268"/>
    <s v="IN-S151-564791"/>
    <s v="USD"/>
    <n v="-7983"/>
    <n v="-7983"/>
    <n v="3991.5"/>
    <n v="-3991.5"/>
    <s v="RISE INTERNATIONAL GROUP LIMITED"/>
    <s v=""/>
    <s v="BOOK TRANSFER CREDIT 41BOOK CREDIT MELTWATER NEWS US INC*ORG:ULUTECH IN TERNATIONAL TRADING LLC,2F 011 OBAID BUD NAIF *OGB:EMIRATES NBD BANK PJ,DUBAI BANIYAS ROAD*BNF:MELTWATER NEWS US INC,REDWOOD CITY         CA/US,STE 165*OB I:INS151564791*STBOOK*TIME:0622*YOUR REF:EPHCOP16603XIGD9*OUR REF:166272624"/>
    <m/>
    <m/>
    <m/>
    <m/>
    <m/>
    <m/>
    <m/>
    <m/>
    <m/>
    <m/>
    <m/>
    <m/>
    <m/>
    <m/>
    <m/>
    <m/>
    <m/>
    <m/>
    <m/>
    <m/>
    <m/>
    <m/>
    <m/>
    <m/>
    <m/>
    <m/>
    <m/>
    <m/>
    <m/>
    <m/>
    <m/>
    <m/>
    <m/>
    <m/>
    <m/>
    <m/>
    <m/>
    <m/>
    <m/>
    <m/>
    <m/>
    <m/>
    <m/>
    <m/>
    <m/>
    <m/>
    <m/>
    <m/>
    <m/>
    <m/>
    <m/>
    <m/>
    <m/>
    <m/>
    <m/>
    <m/>
  </r>
  <r>
    <s v="102 - US"/>
    <d v="2025-05-09T00:00:00"/>
    <s v="MAY"/>
    <n v="2025"/>
    <x v="0"/>
    <s v="Deposited"/>
    <s v="PMT-S151-205267"/>
    <s v=""/>
    <s v="USD"/>
    <n v="-3990"/>
    <n v="-3990"/>
    <n v="3990"/>
    <n v="-3990"/>
    <s v="OPERADORA HOTELERA DEL CORREDOR MAYAKOBA"/>
    <s v=""/>
    <s v="INCOMING MONEY TRANSFER 53RECD FED BANK OF AMERICA N.A.*ORG:1/OPERADORA HO TELERA DEL CORREDO,3/MX/MEXICO,2/PLAYA DEL*OGB:BBVA BANCOMER,S.A.,MEXICO,120 0,AVENIDA UNIVERSIDAD*BNF:MELTWATER NEWS US INC,REDWOOD CITY         CA/US,2 75 SHO*OBI:444*STFEDSEQ:B1Q8982R000314*TIME:2216*YOUR REF:1074658586010177*OU R REF:129062691"/>
    <m/>
    <m/>
    <m/>
    <m/>
    <m/>
    <m/>
    <m/>
    <m/>
    <m/>
    <m/>
    <m/>
    <m/>
    <m/>
    <m/>
    <m/>
    <m/>
    <m/>
    <m/>
    <m/>
    <m/>
    <m/>
    <m/>
    <m/>
    <m/>
    <m/>
    <m/>
    <m/>
    <m/>
    <m/>
    <m/>
    <m/>
    <m/>
    <m/>
    <m/>
    <m/>
    <m/>
    <m/>
    <m/>
    <m/>
    <m/>
    <m/>
    <m/>
    <m/>
    <m/>
    <m/>
    <m/>
    <m/>
    <m/>
    <m/>
    <m/>
    <m/>
    <m/>
    <m/>
    <m/>
    <m/>
    <m/>
  </r>
  <r>
    <s v="102 - US"/>
    <d v="2023-01-19T00:00:00"/>
    <s v="JANUARY"/>
    <n v="2023"/>
    <x v="0"/>
    <s v="Deposited"/>
    <s v="PMT-S151-161929"/>
    <s v=""/>
    <s v="USD"/>
    <n v="-3950"/>
    <n v="-3950"/>
    <n v="3950"/>
    <n v="-3950"/>
    <s v="CommunityAmerica Credit Union"/>
    <s v=""/>
    <s v="ACH CONCENTRATION CREDIT ACH CORP TRADE PAYMENT FROM COMMUNITYAMERICA COMMUNITY DIRECT-PAY 30422800"/>
    <m/>
    <m/>
    <m/>
    <m/>
    <m/>
    <m/>
    <m/>
    <m/>
    <m/>
    <m/>
    <m/>
    <m/>
    <m/>
    <m/>
    <m/>
    <m/>
    <m/>
    <m/>
    <m/>
    <m/>
    <m/>
    <m/>
    <m/>
    <m/>
    <m/>
    <m/>
    <m/>
    <m/>
    <m/>
    <m/>
    <m/>
    <m/>
    <m/>
    <m/>
    <m/>
    <m/>
    <m/>
    <m/>
    <m/>
    <m/>
    <m/>
    <m/>
    <m/>
    <m/>
    <m/>
    <m/>
    <m/>
    <m/>
    <m/>
    <m/>
    <m/>
    <m/>
    <m/>
    <m/>
    <m/>
    <m/>
  </r>
  <r>
    <s v="102 - US"/>
    <d v="2025-11-26T00:00:00"/>
    <s v="NOVEMBER"/>
    <n v="2025"/>
    <x v="0"/>
    <s v="Deposited"/>
    <s v="PMT-S151-214621"/>
    <s v=""/>
    <s v="USD"/>
    <n v="-3841.2"/>
    <n v="-3841.2"/>
    <n v="3841.2"/>
    <n v="154725.09"/>
    <s v="Amazon.com Services LLC"/>
    <s v=""/>
    <s v="ACH CONCENTRATION CREDIT ACH CASH CONCENTRATION AMAZON.COM-EDI PYMNTS AMAZON.CO EDI PYMNTS DASACDYOVX4SPOU"/>
    <m/>
    <m/>
    <m/>
    <m/>
    <m/>
    <m/>
    <m/>
    <m/>
    <m/>
    <m/>
    <m/>
    <m/>
    <m/>
    <m/>
    <m/>
    <m/>
    <m/>
    <m/>
    <m/>
    <m/>
    <m/>
    <m/>
    <m/>
    <m/>
    <m/>
    <m/>
    <m/>
    <m/>
    <m/>
    <m/>
    <m/>
    <m/>
    <m/>
    <m/>
    <m/>
    <m/>
    <m/>
    <m/>
    <m/>
    <m/>
    <m/>
    <m/>
    <m/>
    <m/>
    <m/>
    <m/>
    <m/>
    <m/>
    <m/>
    <m/>
    <m/>
    <m/>
    <m/>
    <m/>
    <m/>
    <m/>
  </r>
  <r>
    <s v="102 - US"/>
    <d v="2022-09-19T00:00:00"/>
    <s v="SEPTEMBER"/>
    <n v="2022"/>
    <x v="0"/>
    <s v="Deposited"/>
    <s v="PMT-S151-154377"/>
    <s v="IN-S151-543872"/>
    <s v="USD"/>
    <n v="-30844.22"/>
    <n v="-30844.22"/>
    <n v="3520.22"/>
    <n v="-3520.22"/>
    <s v="AIDS Healthcare Foundation"/>
    <s v="Jose Castellanos-103"/>
    <s v="PMT-S151-153768 (09/06/2022)"/>
    <m/>
    <m/>
    <m/>
    <m/>
    <m/>
    <m/>
    <m/>
    <m/>
    <m/>
    <m/>
    <m/>
    <m/>
    <m/>
    <m/>
    <m/>
    <m/>
    <m/>
    <m/>
    <m/>
    <m/>
    <m/>
    <m/>
    <m/>
    <m/>
    <m/>
    <m/>
    <m/>
    <m/>
    <m/>
    <m/>
    <m/>
    <m/>
    <m/>
    <m/>
    <m/>
    <m/>
    <m/>
    <m/>
    <m/>
    <m/>
    <m/>
    <m/>
    <m/>
    <m/>
    <m/>
    <m/>
    <m/>
    <m/>
    <m/>
    <m/>
    <m/>
    <m/>
    <m/>
    <m/>
    <m/>
    <m/>
  </r>
  <r>
    <s v="102 - US"/>
    <d v="2026-03-27T00:00:00"/>
    <s v="MARCH"/>
    <n v="2026"/>
    <x v="0"/>
    <s v="Deposited"/>
    <s v="PMT-S151-221854"/>
    <s v=""/>
    <s v="USD"/>
    <n v="-3500"/>
    <n v="-3500"/>
    <n v="3500"/>
    <n v="-250567.82"/>
    <s v="DUMMY CUSTOMER_CASHAPPS 102 - US"/>
    <s v=""/>
    <s v="ACH CONCENTRATION CREDIT ACH CASH CONCENTRATION AMERICAN INDIAN-AMINDIAN American  AMINDIAN                                               3441"/>
    <m/>
    <m/>
    <m/>
    <m/>
    <m/>
    <m/>
    <m/>
    <m/>
    <m/>
    <m/>
    <m/>
    <m/>
    <m/>
    <m/>
    <m/>
    <m/>
    <m/>
    <m/>
    <m/>
    <m/>
    <m/>
    <m/>
    <m/>
    <m/>
    <m/>
    <m/>
    <m/>
    <m/>
    <m/>
    <m/>
    <m/>
    <m/>
    <m/>
    <m/>
    <m/>
    <m/>
    <m/>
    <m/>
    <m/>
    <m/>
    <m/>
    <m/>
    <m/>
    <m/>
    <m/>
    <m/>
    <m/>
    <m/>
    <m/>
    <m/>
    <m/>
    <m/>
    <m/>
    <m/>
    <m/>
    <m/>
  </r>
  <r>
    <s v="102 - US"/>
    <d v="2022-06-03T00:00:00"/>
    <s v="JUNE"/>
    <n v="2022"/>
    <x v="0"/>
    <s v="Deposited"/>
    <s v="PMT-S151-148522"/>
    <s v=""/>
    <s v="USD"/>
    <n v="-3450.01"/>
    <n v="-3450.01"/>
    <n v="3450.01"/>
    <n v="-3450.01"/>
    <s v="Peak Vista Community Health Centers"/>
    <s v=""/>
    <s v="ACH CONCENTRATION CREDIT ACH CASH CONCENTRATION PEAK VISTA COMM-TRADE PAY Peak Vist TRADE PAY VMEL03"/>
    <m/>
    <m/>
    <m/>
    <m/>
    <m/>
    <m/>
    <m/>
    <m/>
    <m/>
    <m/>
    <m/>
    <m/>
    <m/>
    <m/>
    <m/>
    <m/>
    <m/>
    <m/>
    <m/>
    <m/>
    <m/>
    <m/>
    <m/>
    <m/>
    <m/>
    <m/>
    <m/>
    <m/>
    <m/>
    <m/>
    <m/>
    <m/>
    <m/>
    <m/>
    <m/>
    <m/>
    <m/>
    <m/>
    <m/>
    <m/>
    <m/>
    <m/>
    <m/>
    <m/>
    <m/>
    <m/>
    <m/>
    <m/>
    <m/>
    <m/>
    <m/>
    <m/>
    <m/>
    <m/>
    <m/>
    <m/>
  </r>
  <r>
    <s v="102 - US"/>
    <d v="2022-08-05T00:00:00"/>
    <s v="AUGUST"/>
    <n v="2022"/>
    <x v="0"/>
    <s v="Deposited"/>
    <s v="PMT-S151-152042"/>
    <s v=""/>
    <s v="USD"/>
    <n v="-3400"/>
    <n v="-3400"/>
    <n v="3400"/>
    <n v="-3400"/>
    <s v="iProspect Colombia S.A.S"/>
    <s v="Yangzom Vitali"/>
    <s v="INCOMING MONEY TRANSFER 53RECD FED BANK OF AMERICA N.A.*ORG:IPROSPECT COLO MBIA SAS,BOGOTA COLOMBIA,CARRERA 19 C 91 6*OGB:SCOTIABANK COLPATRIA S.A.,BOGO TA,TORRE COLPATRIA,CARRERA*BNF:MELTWATER NEWS US INC,SAN FRANCISCO        CA/ US,STE 100*OBI:ACC INVOICE IN-S151-533120*STFEDSEQ:B1Q8981R003908*TIME:1848*Y OUR REF:KTPP2090515*OUR REF:217618348"/>
    <m/>
    <m/>
    <m/>
    <m/>
    <m/>
    <m/>
    <m/>
    <m/>
    <m/>
    <m/>
    <m/>
    <m/>
    <m/>
    <m/>
    <m/>
    <m/>
    <m/>
    <m/>
    <m/>
    <m/>
    <m/>
    <m/>
    <m/>
    <m/>
    <m/>
    <m/>
    <m/>
    <m/>
    <m/>
    <m/>
    <m/>
    <m/>
    <m/>
    <m/>
    <m/>
    <m/>
    <m/>
    <m/>
    <m/>
    <m/>
    <m/>
    <m/>
    <m/>
    <m/>
    <m/>
    <m/>
    <m/>
    <m/>
    <m/>
    <m/>
    <m/>
    <m/>
    <m/>
    <m/>
    <m/>
    <m/>
  </r>
  <r>
    <s v="102 - US"/>
    <d v="2022-04-28T00:00:00"/>
    <s v="APRIL"/>
    <n v="2022"/>
    <x v="0"/>
    <s v="Deposited"/>
    <s v="PMT-S151-146617"/>
    <s v="IN-S151-536351"/>
    <s v="USD"/>
    <n v="-6750"/>
    <n v="-6750"/>
    <n v="3375"/>
    <n v="-3375"/>
    <s v="American Oncology Network"/>
    <s v="Jose Castellanos"/>
    <s v="Check"/>
    <m/>
    <m/>
    <m/>
    <m/>
    <m/>
    <m/>
    <m/>
    <m/>
    <m/>
    <m/>
    <m/>
    <m/>
    <m/>
    <m/>
    <m/>
    <m/>
    <m/>
    <m/>
    <m/>
    <m/>
    <m/>
    <m/>
    <m/>
    <m/>
    <m/>
    <m/>
    <m/>
    <m/>
    <m/>
    <m/>
    <m/>
    <m/>
    <m/>
    <m/>
    <m/>
    <m/>
    <m/>
    <m/>
    <m/>
    <m/>
    <m/>
    <m/>
    <m/>
    <m/>
    <m/>
    <m/>
    <m/>
    <m/>
    <m/>
    <m/>
    <m/>
    <m/>
    <m/>
    <m/>
    <m/>
    <m/>
  </r>
  <r>
    <s v="102 - US"/>
    <d v="2022-07-08T00:00:00"/>
    <s v="JULY"/>
    <n v="2022"/>
    <x v="0"/>
    <s v="Deposited"/>
    <s v="PMT-S151-150272"/>
    <s v=""/>
    <s v="USD"/>
    <n v="-3300"/>
    <n v="-3300"/>
    <n v="3300"/>
    <n v="-3300"/>
    <s v="Fishburne Military School"/>
    <s v="Jose Castellanos"/>
    <s v="CHECK"/>
    <m/>
    <m/>
    <m/>
    <m/>
    <m/>
    <m/>
    <m/>
    <m/>
    <m/>
    <m/>
    <m/>
    <m/>
    <m/>
    <m/>
    <m/>
    <m/>
    <m/>
    <m/>
    <m/>
    <m/>
    <m/>
    <m/>
    <m/>
    <m/>
    <m/>
    <m/>
    <m/>
    <m/>
    <m/>
    <m/>
    <m/>
    <m/>
    <m/>
    <m/>
    <m/>
    <m/>
    <m/>
    <m/>
    <m/>
    <m/>
    <m/>
    <m/>
    <m/>
    <m/>
    <m/>
    <m/>
    <m/>
    <m/>
    <m/>
    <m/>
    <m/>
    <m/>
    <m/>
    <m/>
    <m/>
    <m/>
  </r>
  <r>
    <s v="102 - US"/>
    <d v="2026-05-04T00:00:00"/>
    <s v="MAY"/>
    <n v="2026"/>
    <x v="0"/>
    <s v="Deposited"/>
    <s v="PMT-S151-223743"/>
    <s v=""/>
    <s v="USD"/>
    <n v="-3187.5"/>
    <n v="-3187.5"/>
    <n v="3187.5"/>
    <n v="-3187.5"/>
    <s v="The Hanover Insurance Company"/>
    <s v=""/>
    <s v=""/>
    <m/>
    <m/>
    <m/>
    <m/>
    <m/>
    <m/>
    <m/>
    <m/>
    <m/>
    <m/>
    <m/>
    <m/>
    <m/>
    <m/>
    <m/>
    <m/>
    <m/>
    <m/>
    <m/>
    <m/>
    <m/>
    <m/>
    <m/>
    <m/>
    <m/>
    <m/>
    <m/>
    <m/>
    <m/>
    <m/>
    <m/>
    <m/>
    <m/>
    <m/>
    <m/>
    <m/>
    <m/>
    <m/>
    <m/>
    <m/>
    <m/>
    <m/>
    <m/>
    <m/>
    <m/>
    <m/>
    <m/>
    <m/>
    <m/>
    <m/>
    <m/>
    <m/>
    <m/>
    <m/>
    <m/>
    <m/>
  </r>
  <r>
    <s v="102 - US"/>
    <d v="2022-05-13T00:00:00"/>
    <s v="MAY"/>
    <n v="2022"/>
    <x v="0"/>
    <s v="Deposited"/>
    <s v="PMT-S151-147510"/>
    <s v="IN-S151-536994"/>
    <s v="USD"/>
    <n v="-6000"/>
    <n v="-6000"/>
    <n v="3000"/>
    <n v="-3000"/>
    <s v="High Bar Brands"/>
    <s v="Stephanie Thore"/>
    <s v="CHECK"/>
    <m/>
    <m/>
    <m/>
    <m/>
    <m/>
    <m/>
    <m/>
    <m/>
    <m/>
    <m/>
    <m/>
    <m/>
    <m/>
    <m/>
    <m/>
    <m/>
    <m/>
    <m/>
    <m/>
    <m/>
    <m/>
    <m/>
    <m/>
    <m/>
    <m/>
    <m/>
    <m/>
    <m/>
    <m/>
    <m/>
    <m/>
    <m/>
    <m/>
    <m/>
    <m/>
    <m/>
    <m/>
    <m/>
    <m/>
    <m/>
    <m/>
    <m/>
    <m/>
    <m/>
    <m/>
    <m/>
    <m/>
    <m/>
    <m/>
    <m/>
    <m/>
    <m/>
    <m/>
    <m/>
    <m/>
    <m/>
  </r>
  <r>
    <s v="102 - US"/>
    <d v="2023-06-07T00:00:00"/>
    <s v="JUNE"/>
    <n v="2023"/>
    <x v="0"/>
    <s v="Deposited"/>
    <s v="PMT-S151-169389"/>
    <s v=""/>
    <s v="USD"/>
    <n v="-2979"/>
    <n v="-2979"/>
    <n v="2979"/>
    <n v="-250567.82"/>
    <s v="DUMMY CUSTOMER_CASHAPPS 102 - US"/>
    <s v=""/>
    <s v="FOREIGN REMITTANCE CREDIT 33RECD CHIP DEUTSCHE BANK AG*ORG:EPPENDORF NEDERLAND B .V.,NETHERLANDS-NL,6546 BC  NIJMEGE*OGB:DEUTSCHE BANK AG,AMSTERDAM,DE ENTREE 196*BNF:MELTWATER NEWS US INC,REDWOOD CITY         CA/US,STE 165*OBI:2023-400 -003 05/01/23*STCHIPSEQ:0022320*TIME:0000*YOUR REF:SIP/02.06-10:52*OUR REF:15 8317944"/>
    <m/>
    <m/>
    <m/>
    <m/>
    <m/>
    <m/>
    <m/>
    <m/>
    <m/>
    <m/>
    <m/>
    <m/>
    <m/>
    <m/>
    <m/>
    <m/>
    <m/>
    <m/>
    <m/>
    <m/>
    <m/>
    <m/>
    <m/>
    <m/>
    <m/>
    <m/>
    <m/>
    <m/>
    <m/>
    <m/>
    <m/>
    <m/>
    <m/>
    <m/>
    <m/>
    <m/>
    <m/>
    <m/>
    <m/>
    <m/>
    <m/>
    <m/>
    <m/>
    <m/>
    <m/>
    <m/>
    <m/>
    <m/>
    <m/>
    <m/>
    <m/>
    <m/>
    <m/>
    <m/>
    <m/>
    <m/>
  </r>
  <r>
    <s v="102 - US"/>
    <d v="2025-08-14T00:00:00"/>
    <s v="AUGUST"/>
    <n v="2025"/>
    <x v="0"/>
    <s v="Deposited"/>
    <s v="PMT-S151-209465"/>
    <s v="IN-S151-584586"/>
    <s v="USD"/>
    <n v="-36131.26"/>
    <n v="-36131.26"/>
    <n v="2963.26"/>
    <n v="-2963.26"/>
    <s v="L.A. Care Health Plan"/>
    <s v="Jose Castellanos"/>
    <s v="ACH CONCENTRATION CREDIT ACH CASH CONCENTRATION L.A. CARE HEALTH-122000661"/>
    <m/>
    <m/>
    <m/>
    <m/>
    <m/>
    <m/>
    <m/>
    <m/>
    <m/>
    <m/>
    <m/>
    <m/>
    <m/>
    <m/>
    <m/>
    <m/>
    <m/>
    <m/>
    <m/>
    <m/>
    <m/>
    <m/>
    <m/>
    <m/>
    <m/>
    <m/>
    <m/>
    <m/>
    <m/>
    <m/>
    <m/>
    <m/>
    <m/>
    <m/>
    <m/>
    <m/>
    <m/>
    <m/>
    <m/>
    <m/>
    <m/>
    <m/>
    <m/>
    <m/>
    <m/>
    <m/>
    <m/>
    <m/>
    <m/>
    <m/>
    <m/>
    <m/>
    <m/>
    <m/>
    <m/>
    <m/>
  </r>
  <r>
    <s v="102 - US"/>
    <d v="2025-07-28T00:00:00"/>
    <s v="JULY"/>
    <n v="2025"/>
    <x v="0"/>
    <s v="Deposited"/>
    <s v="PMT-S151-208422"/>
    <s v=""/>
    <s v="USD"/>
    <n v="-2636.66"/>
    <n v="-2636.66"/>
    <n v="2636.66"/>
    <n v="-2636.66"/>
    <s v="Survivors Network of those Abused by Priests (SNAP)"/>
    <s v=""/>
    <s v=""/>
    <m/>
    <m/>
    <m/>
    <m/>
    <m/>
    <m/>
    <m/>
    <m/>
    <m/>
    <m/>
    <m/>
    <m/>
    <m/>
    <m/>
    <m/>
    <m/>
    <m/>
    <m/>
    <m/>
    <m/>
    <m/>
    <m/>
    <m/>
    <m/>
    <m/>
    <m/>
    <m/>
    <m/>
    <m/>
    <m/>
    <m/>
    <m/>
    <m/>
    <m/>
    <m/>
    <m/>
    <m/>
    <m/>
    <m/>
    <m/>
    <m/>
    <m/>
    <m/>
    <m/>
    <m/>
    <m/>
    <m/>
    <m/>
    <m/>
    <m/>
    <m/>
    <m/>
    <m/>
    <m/>
    <m/>
    <m/>
  </r>
  <r>
    <s v="102 - US"/>
    <d v="2025-08-15T00:00:00"/>
    <s v="AUGUST"/>
    <n v="2025"/>
    <x v="0"/>
    <s v="Deposited"/>
    <s v="PMT-S151-209557"/>
    <s v=""/>
    <s v="USD"/>
    <n v="-2625"/>
    <n v="-2625"/>
    <n v="2625"/>
    <n v="-2625"/>
    <s v="Green Check Verified"/>
    <s v=""/>
    <s v="ACH CONCENTRATION CREDIT ACH CASH CONCENTRATION GREEN CHECK VERI-MERCURYACH Green Che MercuryACH                                                   MRCR-QVA1TXX X5U"/>
    <m/>
    <m/>
    <m/>
    <m/>
    <m/>
    <m/>
    <m/>
    <m/>
    <m/>
    <m/>
    <m/>
    <m/>
    <m/>
    <m/>
    <m/>
    <m/>
    <m/>
    <m/>
    <m/>
    <m/>
    <m/>
    <m/>
    <m/>
    <m/>
    <m/>
    <m/>
    <m/>
    <m/>
    <m/>
    <m/>
    <m/>
    <m/>
    <m/>
    <m/>
    <m/>
    <m/>
    <m/>
    <m/>
    <m/>
    <m/>
    <m/>
    <m/>
    <m/>
    <m/>
    <m/>
    <m/>
    <m/>
    <m/>
    <m/>
    <m/>
    <m/>
    <m/>
    <m/>
    <m/>
    <m/>
    <m/>
  </r>
  <r>
    <s v="102 - US"/>
    <d v="2023-03-07T00:00:00"/>
    <s v="MARCH"/>
    <n v="2023"/>
    <x v="0"/>
    <s v="Deposited"/>
    <s v="PMT-S151-164531"/>
    <s v=""/>
    <s v="USD"/>
    <n v="-2550"/>
    <n v="-2550"/>
    <n v="2550"/>
    <n v="-250567.82"/>
    <s v="DUMMY CUSTOMER_CASHAPPS 102 - US"/>
    <s v=""/>
    <s v="ACH CONCENTRATION CREDIT ACH CORP TRADE PAYMENT FROM HOPE GAS,INC. HOPE GAS,PAYMENTS 188413095"/>
    <m/>
    <m/>
    <m/>
    <m/>
    <m/>
    <m/>
    <m/>
    <m/>
    <m/>
    <m/>
    <m/>
    <m/>
    <m/>
    <m/>
    <m/>
    <m/>
    <m/>
    <m/>
    <m/>
    <m/>
    <m/>
    <m/>
    <m/>
    <m/>
    <m/>
    <m/>
    <m/>
    <m/>
    <m/>
    <m/>
    <m/>
    <m/>
    <m/>
    <m/>
    <m/>
    <m/>
    <m/>
    <m/>
    <m/>
    <m/>
    <m/>
    <m/>
    <m/>
    <m/>
    <m/>
    <m/>
    <m/>
    <m/>
    <m/>
    <m/>
    <m/>
    <m/>
    <m/>
    <m/>
    <m/>
    <m/>
  </r>
  <r>
    <s v="102 - US"/>
    <d v="2022-06-21T00:00:00"/>
    <s v="JUNE"/>
    <n v="2022"/>
    <x v="0"/>
    <s v="Deposited"/>
    <s v="PMT-S151-149275"/>
    <s v=""/>
    <s v="USD"/>
    <n v="-2425"/>
    <n v="-2425"/>
    <n v="2425"/>
    <n v="-2425"/>
    <s v="Matrix LLC"/>
    <s v=""/>
    <s v="CHECK"/>
    <m/>
    <m/>
    <m/>
    <m/>
    <m/>
    <m/>
    <m/>
    <m/>
    <m/>
    <m/>
    <m/>
    <m/>
    <m/>
    <m/>
    <m/>
    <m/>
    <m/>
    <m/>
    <m/>
    <m/>
    <m/>
    <m/>
    <m/>
    <m/>
    <m/>
    <m/>
    <m/>
    <m/>
    <m/>
    <m/>
    <m/>
    <m/>
    <m/>
    <m/>
    <m/>
    <m/>
    <m/>
    <m/>
    <m/>
    <m/>
    <m/>
    <m/>
    <m/>
    <m/>
    <m/>
    <m/>
    <m/>
    <m/>
    <m/>
    <m/>
    <m/>
    <m/>
    <m/>
    <m/>
    <m/>
    <m/>
  </r>
  <r>
    <s v="102 - US"/>
    <d v="2025-10-03T00:00:00"/>
    <s v="OCTOBER"/>
    <n v="2025"/>
    <x v="0"/>
    <s v="Deposited"/>
    <s v="PMT-S151-211737"/>
    <s v="IN-S151-586645"/>
    <s v="USD"/>
    <n v="-2500"/>
    <n v="-2500"/>
    <n v="2300"/>
    <n v="-2300"/>
    <s v="Thunder Tech"/>
    <s v=""/>
    <s v="ACH CONCENTRATION CREDIT ACH CASH CONCENTRATION THUNDERTECH-9.30.25 THUNDERTE 9.30.25 MELTWATER"/>
    <m/>
    <m/>
    <m/>
    <m/>
    <m/>
    <m/>
    <m/>
    <m/>
    <m/>
    <m/>
    <m/>
    <m/>
    <m/>
    <m/>
    <m/>
    <m/>
    <m/>
    <m/>
    <m/>
    <m/>
    <m/>
    <m/>
    <m/>
    <m/>
    <m/>
    <m/>
    <m/>
    <m/>
    <m/>
    <m/>
    <m/>
    <m/>
    <m/>
    <m/>
    <m/>
    <m/>
    <m/>
    <m/>
    <m/>
    <m/>
    <m/>
    <m/>
    <m/>
    <m/>
    <m/>
    <m/>
    <m/>
    <m/>
    <m/>
    <m/>
    <m/>
    <m/>
    <m/>
    <m/>
    <m/>
    <m/>
  </r>
  <r>
    <s v="102 - US"/>
    <d v="2023-10-10T00:00:00"/>
    <s v="OCTOBER"/>
    <n v="2023"/>
    <x v="0"/>
    <s v="Deposited"/>
    <s v="PMT-S151-176048"/>
    <s v="IN-S151-560145"/>
    <s v="USD"/>
    <n v="-6360.82"/>
    <n v="-6360.82"/>
    <n v="2259.39"/>
    <n v="-2259.39"/>
    <s v="National Sorghum Producers"/>
    <s v=""/>
    <s v="CHECK"/>
    <m/>
    <m/>
    <m/>
    <m/>
    <m/>
    <m/>
    <m/>
    <m/>
    <m/>
    <m/>
    <m/>
    <m/>
    <m/>
    <m/>
    <m/>
    <m/>
    <m/>
    <m/>
    <m/>
    <m/>
    <m/>
    <m/>
    <m/>
    <m/>
    <m/>
    <m/>
    <m/>
    <m/>
    <m/>
    <m/>
    <m/>
    <m/>
    <m/>
    <m/>
    <m/>
    <m/>
    <m/>
    <m/>
    <m/>
    <m/>
    <m/>
    <m/>
    <m/>
    <m/>
    <m/>
    <m/>
    <m/>
    <m/>
    <m/>
    <m/>
    <m/>
    <m/>
    <m/>
    <m/>
    <m/>
    <m/>
  </r>
  <r>
    <s v="102 - US"/>
    <d v="2023-10-03T00:00:00"/>
    <s v="OCTOBER"/>
    <n v="2023"/>
    <x v="0"/>
    <s v="Deposited"/>
    <s v="PMT-S151-175765"/>
    <s v=""/>
    <s v="USD"/>
    <n v="-2177.5100000000002"/>
    <n v="-2177.5100000000002"/>
    <n v="2177.5100000000002"/>
    <n v="-2177.5100000000002"/>
    <s v="Insight Venture Management"/>
    <s v="Jason Welch"/>
    <s v="ACH CONCENTRATION CREDIT ACH CORP TRADE PAYMENT FROM INSIGHT VENTURE INSIGHT V DIRECT-PAY 53852876"/>
    <m/>
    <m/>
    <m/>
    <m/>
    <m/>
    <m/>
    <m/>
    <m/>
    <m/>
    <m/>
    <m/>
    <m/>
    <m/>
    <m/>
    <m/>
    <m/>
    <m/>
    <m/>
    <m/>
    <m/>
    <m/>
    <m/>
    <m/>
    <m/>
    <m/>
    <m/>
    <m/>
    <m/>
    <m/>
    <m/>
    <m/>
    <m/>
    <m/>
    <m/>
    <m/>
    <m/>
    <m/>
    <m/>
    <m/>
    <m/>
    <m/>
    <m/>
    <m/>
    <m/>
    <m/>
    <m/>
    <m/>
    <m/>
    <m/>
    <m/>
    <m/>
    <m/>
    <m/>
    <m/>
    <m/>
    <m/>
  </r>
  <r>
    <s v="102 - US"/>
    <d v="2026-03-17T00:00:00"/>
    <s v="MARCH"/>
    <n v="2026"/>
    <x v="0"/>
    <s v="Deposited"/>
    <s v="PMT-S151-221300"/>
    <s v=""/>
    <s v="USD"/>
    <n v="-2150"/>
    <n v="-2150"/>
    <n v="2150"/>
    <n v="-250567.82"/>
    <s v="DUMMY CUSTOMER_CASHAPPS 102 - US"/>
    <s v=""/>
    <s v="ACH CONCENTRATION CREDIT ACH CASH CONCENTRATION AMERICAN FOREIGN-BILL.COM American  Bill.com                                               015MRNWKHRWP 41O"/>
    <m/>
    <m/>
    <m/>
    <m/>
    <m/>
    <m/>
    <m/>
    <m/>
    <m/>
    <m/>
    <m/>
    <m/>
    <m/>
    <m/>
    <m/>
    <m/>
    <m/>
    <m/>
    <m/>
    <m/>
    <m/>
    <m/>
    <m/>
    <m/>
    <m/>
    <m/>
    <m/>
    <m/>
    <m/>
    <m/>
    <m/>
    <m/>
    <m/>
    <m/>
    <m/>
    <m/>
    <m/>
    <m/>
    <m/>
    <m/>
    <m/>
    <m/>
    <m/>
    <m/>
    <m/>
    <m/>
    <m/>
    <m/>
    <m/>
    <m/>
    <m/>
    <m/>
    <m/>
    <m/>
    <m/>
    <m/>
  </r>
  <r>
    <s v="102 - US"/>
    <d v="2022-11-04T00:00:00"/>
    <s v="NOVEMBER"/>
    <n v="2022"/>
    <x v="0"/>
    <s v="Deposited"/>
    <s v="PMT-S151-157433"/>
    <s v=""/>
    <s v="USD"/>
    <n v="-2085"/>
    <n v="-2085"/>
    <n v="2085"/>
    <n v="-250567.82"/>
    <s v="DUMMY CUSTOMER_CASHAPPS 102 - US"/>
    <s v=""/>
    <s v="ACH CONCENTRATION CREDIT ACH CASH CONCENTRATION UNITED NATIONS-3305888902 UNITED NA 3305888902                                             3305888902"/>
    <m/>
    <m/>
    <m/>
    <m/>
    <m/>
    <m/>
    <m/>
    <m/>
    <m/>
    <m/>
    <m/>
    <m/>
    <m/>
    <m/>
    <m/>
    <m/>
    <m/>
    <m/>
    <m/>
    <m/>
    <m/>
    <m/>
    <m/>
    <m/>
    <m/>
    <m/>
    <m/>
    <m/>
    <m/>
    <m/>
    <m/>
    <m/>
    <m/>
    <m/>
    <m/>
    <m/>
    <m/>
    <m/>
    <m/>
    <m/>
    <m/>
    <m/>
    <m/>
    <m/>
    <m/>
    <m/>
    <m/>
    <m/>
    <m/>
    <m/>
    <m/>
    <m/>
    <m/>
    <m/>
    <m/>
    <m/>
  </r>
  <r>
    <s v="102 - US"/>
    <d v="2022-10-14T00:00:00"/>
    <s v="OCTOBER"/>
    <n v="2022"/>
    <x v="0"/>
    <s v="Deposited"/>
    <s v="PMT-S151-156027"/>
    <s v=""/>
    <s v="USD"/>
    <n v="-2032.49"/>
    <n v="-2032.49"/>
    <n v="2032.49"/>
    <n v="-2032.49"/>
    <s v="Feeding Westchester"/>
    <s v=""/>
    <s v="CHECK"/>
    <m/>
    <m/>
    <m/>
    <m/>
    <m/>
    <m/>
    <m/>
    <m/>
    <m/>
    <m/>
    <m/>
    <m/>
    <m/>
    <m/>
    <m/>
    <m/>
    <m/>
    <m/>
    <m/>
    <m/>
    <m/>
    <m/>
    <m/>
    <m/>
    <m/>
    <m/>
    <m/>
    <m/>
    <m/>
    <m/>
    <m/>
    <m/>
    <m/>
    <m/>
    <m/>
    <m/>
    <m/>
    <m/>
    <m/>
    <m/>
    <m/>
    <m/>
    <m/>
    <m/>
    <m/>
    <m/>
    <m/>
    <m/>
    <m/>
    <m/>
    <m/>
    <m/>
    <m/>
    <m/>
    <m/>
    <m/>
  </r>
  <r>
    <s v="102 - US"/>
    <d v="2023-09-25T00:00:00"/>
    <s v="SEPTEMBER"/>
    <n v="2023"/>
    <x v="0"/>
    <s v="Deposited"/>
    <s v="PMT-S151-175314"/>
    <s v="IN-S151-559407"/>
    <s v="USD"/>
    <n v="-4000"/>
    <n v="-4000"/>
    <n v="2000"/>
    <n v="-2000"/>
    <s v="BioSTL"/>
    <s v=""/>
    <s v="ACH CONCENTRATION CREDIT ACH CASH CONCENTRATION BIOGENFU1 3638-PAYMENTS BIOGENFU1 PAYMENTS Meltwater News"/>
    <m/>
    <m/>
    <m/>
    <m/>
    <m/>
    <m/>
    <m/>
    <m/>
    <m/>
    <m/>
    <m/>
    <m/>
    <m/>
    <m/>
    <m/>
    <m/>
    <m/>
    <m/>
    <m/>
    <m/>
    <m/>
    <m/>
    <m/>
    <m/>
    <m/>
    <m/>
    <m/>
    <m/>
    <m/>
    <m/>
    <m/>
    <m/>
    <m/>
    <m/>
    <m/>
    <m/>
    <m/>
    <m/>
    <m/>
    <m/>
    <m/>
    <m/>
    <m/>
    <m/>
    <m/>
    <m/>
    <m/>
    <m/>
    <m/>
    <m/>
    <m/>
    <m/>
    <m/>
    <m/>
    <m/>
    <m/>
  </r>
  <r>
    <s v="102 - US"/>
    <d v="2024-10-28T00:00:00"/>
    <s v="OCTOBER"/>
    <n v="2024"/>
    <x v="0"/>
    <s v="Deposited"/>
    <s v="PMT-S151-195665"/>
    <s v="IN-S151-574748"/>
    <s v="USD"/>
    <n v="-22000"/>
    <n v="-22000"/>
    <n v="2000"/>
    <n v="-2000"/>
    <s v="Cover Genius Trading Pty Ltd"/>
    <s v=""/>
    <s v="COVER GENIUS HOLDINGS PTY LTD COUPA PAY 821-2622 COVER GENIUS HOL DINGS PTY LTD TMATE /ROC/12397127124613 FX USD 22000.00 AT 0.6756200 200226969/TMS/2024-10-27T21:33:18 GMT/MID/0.661282"/>
    <m/>
    <m/>
    <m/>
    <m/>
    <m/>
    <m/>
    <m/>
    <m/>
    <m/>
    <m/>
    <m/>
    <m/>
    <m/>
    <m/>
    <m/>
    <m/>
    <m/>
    <m/>
    <m/>
    <m/>
    <m/>
    <m/>
    <m/>
    <m/>
    <m/>
    <m/>
    <m/>
    <m/>
    <m/>
    <m/>
    <m/>
    <m/>
    <m/>
    <m/>
    <m/>
    <m/>
    <m/>
    <m/>
    <m/>
    <m/>
    <m/>
    <m/>
    <m/>
    <m/>
    <m/>
    <m/>
    <m/>
    <m/>
    <m/>
    <m/>
    <m/>
    <m/>
    <m/>
    <m/>
    <m/>
    <m/>
  </r>
  <r>
    <s v="102 - US"/>
    <d v="2022-11-07T00:00:00"/>
    <s v="NOVEMBER"/>
    <n v="2022"/>
    <x v="0"/>
    <s v="Deposited"/>
    <s v="PMT-S151-157478"/>
    <s v=""/>
    <s v="USD"/>
    <n v="-1800"/>
    <n v="-1800"/>
    <n v="1800"/>
    <n v="-1800"/>
    <s v="Concord University"/>
    <s v="Jose Castellanos-103"/>
    <s v="IN-S151-544931 got credited CM-S151-13155"/>
    <m/>
    <m/>
    <m/>
    <m/>
    <m/>
    <m/>
    <m/>
    <m/>
    <m/>
    <m/>
    <m/>
    <m/>
    <m/>
    <m/>
    <m/>
    <m/>
    <m/>
    <m/>
    <m/>
    <m/>
    <m/>
    <m/>
    <m/>
    <m/>
    <m/>
    <m/>
    <m/>
    <m/>
    <m/>
    <m/>
    <m/>
    <m/>
    <m/>
    <m/>
    <m/>
    <m/>
    <m/>
    <m/>
    <m/>
    <m/>
    <m/>
    <m/>
    <m/>
    <m/>
    <m/>
    <m/>
    <m/>
    <m/>
    <m/>
    <m/>
    <m/>
    <m/>
    <m/>
    <m/>
    <m/>
    <m/>
  </r>
  <r>
    <s v="102 - US"/>
    <d v="2025-12-12T00:00:00"/>
    <s v="DECEMBER"/>
    <n v="2025"/>
    <x v="0"/>
    <s v="Deposited"/>
    <s v="PMT-S151-215552"/>
    <s v=""/>
    <s v="USD"/>
    <n v="-1750"/>
    <n v="-1750"/>
    <n v="1750"/>
    <n v="-250567.82"/>
    <s v="DUMMY CUSTOMER_CASHAPPS 102 - US"/>
    <s v=""/>
    <s v="ACH CONCENTRATION CREDIT ACH CASH CONCENTRATION ELEVATED CULTIVA-E CULT ELEVATED  E CULT     E CULTIVATION"/>
    <m/>
    <m/>
    <m/>
    <m/>
    <m/>
    <m/>
    <m/>
    <m/>
    <m/>
    <m/>
    <m/>
    <m/>
    <m/>
    <m/>
    <m/>
    <m/>
    <m/>
    <m/>
    <m/>
    <m/>
    <m/>
    <m/>
    <m/>
    <m/>
    <m/>
    <m/>
    <m/>
    <m/>
    <m/>
    <m/>
    <m/>
    <m/>
    <m/>
    <m/>
    <m/>
    <m/>
    <m/>
    <m/>
    <m/>
    <m/>
    <m/>
    <m/>
    <m/>
    <m/>
    <m/>
    <m/>
    <m/>
    <m/>
    <m/>
    <m/>
    <m/>
    <m/>
    <m/>
    <m/>
    <m/>
    <m/>
  </r>
  <r>
    <s v="102 - US"/>
    <d v="2022-10-28T00:00:00"/>
    <s v="OCTOBER"/>
    <n v="2022"/>
    <x v="0"/>
    <s v="Deposited"/>
    <s v="PMT-S151-157014"/>
    <s v=""/>
    <s v="USD"/>
    <n v="-1500"/>
    <n v="-1500"/>
    <n v="1500"/>
    <n v="-250567.82"/>
    <s v="DUMMY CUSTOMER_CASHAPPS 102 - US"/>
    <s v=""/>
    <s v="ACH CONCENTRATION CREDIT ACH CORP TRADE PAYMENT FROM LAWRENCE LIV NAT LAWRENCE  PAYABLES LAWRENCE LIVERM"/>
    <m/>
    <m/>
    <m/>
    <m/>
    <m/>
    <m/>
    <m/>
    <m/>
    <m/>
    <m/>
    <m/>
    <m/>
    <m/>
    <m/>
    <m/>
    <m/>
    <m/>
    <m/>
    <m/>
    <m/>
    <m/>
    <m/>
    <m/>
    <m/>
    <m/>
    <m/>
    <m/>
    <m/>
    <m/>
    <m/>
    <m/>
    <m/>
    <m/>
    <m/>
    <m/>
    <m/>
    <m/>
    <m/>
    <m/>
    <m/>
    <m/>
    <m/>
    <m/>
    <m/>
    <m/>
    <m/>
    <m/>
    <m/>
    <m/>
    <m/>
    <m/>
    <m/>
    <m/>
    <m/>
    <m/>
    <m/>
  </r>
  <r>
    <s v="102 - US"/>
    <d v="2025-10-30T00:00:00"/>
    <s v="OCTOBER"/>
    <n v="2025"/>
    <x v="0"/>
    <s v="Deposited"/>
    <s v="PMT-S151-213059"/>
    <s v=""/>
    <s v="USD"/>
    <n v="-1500"/>
    <n v="-1500"/>
    <n v="1500"/>
    <n v="-1500"/>
    <s v="Echelon Insights"/>
    <s v="Yangzom Vitali-116"/>
    <s v="FOREIGN REMITTANCE CREDIT 33RECD CHIP PNC BANK*ORG:ECHELON INSIGHTS LLC,ALEX ANDRIA VA 22314 3029 US,STE 250*OGB:PNC BANK,N.A.,US/CAMP HILL,17001-0297,PA 500 FIRST AVEN*BNF:MELTWATER NEWS US INC,REDWOOD CITY         CA/US,275 SHO* BBI:/INT/202510884077*STCHIPSEQ:00158840*TIME:0111*YOUR REF:IN-S151-587978*OU R REF:303170378"/>
    <m/>
    <m/>
    <m/>
    <m/>
    <m/>
    <m/>
    <m/>
    <m/>
    <m/>
    <m/>
    <m/>
    <m/>
    <m/>
    <m/>
    <m/>
    <m/>
    <m/>
    <m/>
    <m/>
    <m/>
    <m/>
    <m/>
    <m/>
    <m/>
    <m/>
    <m/>
    <m/>
    <m/>
    <m/>
    <m/>
    <m/>
    <m/>
    <m/>
    <m/>
    <m/>
    <m/>
    <m/>
    <m/>
    <m/>
    <m/>
    <m/>
    <m/>
    <m/>
    <m/>
    <m/>
    <m/>
    <m/>
    <m/>
    <m/>
    <m/>
    <m/>
    <m/>
    <m/>
    <m/>
    <m/>
    <m/>
  </r>
  <r>
    <s v="102 - US"/>
    <d v="2026-01-16T00:00:00"/>
    <s v="JANUARY"/>
    <n v="2026"/>
    <x v="0"/>
    <s v="Deposited"/>
    <s v="PMT-S151-217537"/>
    <s v=""/>
    <s v="USD"/>
    <n v="-1498.72"/>
    <n v="-1498.72"/>
    <n v="1498.72"/>
    <n v="-1498.72"/>
    <s v="Elevate Textiles"/>
    <s v=""/>
    <s v="ACH CONCENTRATION CREDIT ACH CORP TRADE PAYMENT FROM ELEVATE TEXTILES ELEVATE T CORP PMT 488174"/>
    <m/>
    <m/>
    <m/>
    <m/>
    <m/>
    <m/>
    <m/>
    <m/>
    <m/>
    <m/>
    <m/>
    <m/>
    <m/>
    <m/>
    <m/>
    <m/>
    <m/>
    <m/>
    <m/>
    <m/>
    <m/>
    <m/>
    <m/>
    <m/>
    <m/>
    <m/>
    <m/>
    <m/>
    <m/>
    <m/>
    <m/>
    <m/>
    <m/>
    <m/>
    <m/>
    <m/>
    <m/>
    <m/>
    <m/>
    <m/>
    <m/>
    <m/>
    <m/>
    <m/>
    <m/>
    <m/>
    <m/>
    <m/>
    <m/>
    <m/>
    <m/>
    <m/>
    <m/>
    <m/>
    <m/>
    <m/>
  </r>
  <r>
    <s v="102 - US"/>
    <d v="2026-05-01T00:00:00"/>
    <s v="MAY"/>
    <n v="2026"/>
    <x v="0"/>
    <s v="Deposited"/>
    <s v="PMT-S151-223677"/>
    <s v=""/>
    <s v="USD"/>
    <n v="-1450"/>
    <n v="-1450"/>
    <n v="1450"/>
    <n v="-1450"/>
    <s v="Celigo CAM USD"/>
    <s v=""/>
    <s v=""/>
    <m/>
    <m/>
    <m/>
    <m/>
    <m/>
    <m/>
    <m/>
    <m/>
    <m/>
    <m/>
    <m/>
    <m/>
    <m/>
    <m/>
    <m/>
    <m/>
    <m/>
    <m/>
    <m/>
    <m/>
    <m/>
    <m/>
    <m/>
    <m/>
    <m/>
    <m/>
    <m/>
    <m/>
    <m/>
    <m/>
    <m/>
    <m/>
    <m/>
    <m/>
    <m/>
    <m/>
    <m/>
    <m/>
    <m/>
    <m/>
    <m/>
    <m/>
    <m/>
    <m/>
    <m/>
    <m/>
    <m/>
    <m/>
    <m/>
    <m/>
    <m/>
    <m/>
    <m/>
    <m/>
    <m/>
    <m/>
  </r>
  <r>
    <s v="102 - US"/>
    <d v="2024-08-29T00:00:00"/>
    <s v="AUGUST"/>
    <n v="2024"/>
    <x v="0"/>
    <s v="Deposited"/>
    <s v="PMT-S151-192922"/>
    <s v=""/>
    <s v="USD"/>
    <n v="-1379.91"/>
    <n v="-1379.91"/>
    <n v="1379.91"/>
    <n v="-250567.82"/>
    <s v="DUMMY CUSTOMER_CASHAPPS 102 - US"/>
    <s v=""/>
    <s v="ACH CONCENTRATION CREDIT ACH CASH CONCENTRATION DANIEL J EDELMAN-PAYMENTS Daniel J  PAYMENTS                                                      01VEND031547 USD"/>
    <m/>
    <m/>
    <m/>
    <m/>
    <m/>
    <m/>
    <m/>
    <m/>
    <m/>
    <m/>
    <m/>
    <m/>
    <m/>
    <m/>
    <m/>
    <m/>
    <m/>
    <m/>
    <m/>
    <m/>
    <m/>
    <m/>
    <m/>
    <m/>
    <m/>
    <m/>
    <m/>
    <m/>
    <m/>
    <m/>
    <m/>
    <m/>
    <m/>
    <m/>
    <m/>
    <m/>
    <m/>
    <m/>
    <m/>
    <m/>
    <m/>
    <m/>
    <m/>
    <m/>
    <m/>
    <m/>
    <m/>
    <m/>
    <m/>
    <m/>
    <m/>
    <m/>
    <m/>
    <m/>
    <m/>
    <m/>
  </r>
  <r>
    <s v="102 - US"/>
    <d v="2026-02-27T00:00:00"/>
    <s v="FEBRUARY"/>
    <n v="2026"/>
    <x v="0"/>
    <s v="Deposited"/>
    <s v="PMT-S151-220382"/>
    <s v="IN-S151-592980"/>
    <s v="USD"/>
    <n v="-46120.26"/>
    <n v="-46120.26"/>
    <n v="1320.26"/>
    <n v="-1320.26"/>
    <s v="Adobe Inc"/>
    <s v=""/>
    <s v="ACH CONCENTRATION CREDIT ACH CASH CONCENTRATION ADOBE INC.-PAYMENTS Adobe Inc PAYMENTS 5101172354"/>
    <m/>
    <m/>
    <m/>
    <m/>
    <m/>
    <m/>
    <m/>
    <m/>
    <m/>
    <m/>
    <m/>
    <m/>
    <m/>
    <m/>
    <m/>
    <m/>
    <m/>
    <m/>
    <m/>
    <m/>
    <m/>
    <m/>
    <m/>
    <m/>
    <m/>
    <m/>
    <m/>
    <m/>
    <m/>
    <m/>
    <m/>
    <m/>
    <m/>
    <m/>
    <m/>
    <m/>
    <m/>
    <m/>
    <m/>
    <m/>
    <m/>
    <m/>
    <m/>
    <m/>
    <m/>
    <m/>
    <m/>
    <m/>
    <m/>
    <m/>
    <m/>
    <m/>
    <m/>
    <m/>
    <m/>
    <m/>
  </r>
  <r>
    <s v="102 - US"/>
    <d v="2025-10-20T00:00:00"/>
    <s v="OCTOBER"/>
    <n v="2025"/>
    <x v="0"/>
    <s v="Deposited"/>
    <s v="PMT-S151-212382"/>
    <s v=""/>
    <s v="USD"/>
    <n v="-1250"/>
    <n v="-1250"/>
    <n v="1250"/>
    <n v="-1250"/>
    <s v="National Congress of American Indians"/>
    <s v=""/>
    <s v=""/>
    <m/>
    <m/>
    <m/>
    <m/>
    <m/>
    <m/>
    <m/>
    <m/>
    <m/>
    <m/>
    <m/>
    <m/>
    <m/>
    <m/>
    <m/>
    <m/>
    <m/>
    <m/>
    <m/>
    <m/>
    <m/>
    <m/>
    <m/>
    <m/>
    <m/>
    <m/>
    <m/>
    <m/>
    <m/>
    <m/>
    <m/>
    <m/>
    <m/>
    <m/>
    <m/>
    <m/>
    <m/>
    <m/>
    <m/>
    <m/>
    <m/>
    <m/>
    <m/>
    <m/>
    <m/>
    <m/>
    <m/>
    <m/>
    <m/>
    <m/>
    <m/>
    <m/>
    <m/>
    <m/>
    <m/>
    <m/>
  </r>
  <r>
    <s v="102 - US"/>
    <d v="2022-11-28T00:00:00"/>
    <s v="NOVEMBER"/>
    <n v="2022"/>
    <x v="0"/>
    <s v="Deposited"/>
    <s v="PMT-S151-158621"/>
    <s v=""/>
    <s v="USD"/>
    <n v="-1200"/>
    <n v="-1200"/>
    <n v="1200"/>
    <n v="-1200"/>
    <s v="Registrar Corp"/>
    <s v=""/>
    <s v="CHECK"/>
    <m/>
    <m/>
    <m/>
    <m/>
    <m/>
    <m/>
    <m/>
    <m/>
    <m/>
    <m/>
    <m/>
    <m/>
    <m/>
    <m/>
    <m/>
    <m/>
    <m/>
    <m/>
    <m/>
    <m/>
    <m/>
    <m/>
    <m/>
    <m/>
    <m/>
    <m/>
    <m/>
    <m/>
    <m/>
    <m/>
    <m/>
    <m/>
    <m/>
    <m/>
    <m/>
    <m/>
    <m/>
    <m/>
    <m/>
    <m/>
    <m/>
    <m/>
    <m/>
    <m/>
    <m/>
    <m/>
    <m/>
    <m/>
    <m/>
    <m/>
    <m/>
    <m/>
    <m/>
    <m/>
    <m/>
    <m/>
  </r>
  <r>
    <s v="102 - US"/>
    <d v="2023-04-05T00:00:00"/>
    <s v="APRIL"/>
    <n v="2023"/>
    <x v="0"/>
    <s v="Deposited"/>
    <s v="PMT-S151-166131"/>
    <s v="IN-S151-550789"/>
    <s v="USD"/>
    <n v="-4549"/>
    <n v="-4549"/>
    <n v="1000"/>
    <n v="-1000"/>
    <s v="Empower Healthcare Solutions, LLC"/>
    <s v=""/>
    <s v="ACH CONCENTRATION CREDIT ACH CASH CONCENTRATION EMPOWER HEALTH-VENDORPMT EMPOWER H VENDORPMT                                              VEN-00076"/>
    <m/>
    <m/>
    <m/>
    <m/>
    <m/>
    <m/>
    <m/>
    <m/>
    <m/>
    <m/>
    <m/>
    <m/>
    <m/>
    <m/>
    <m/>
    <m/>
    <m/>
    <m/>
    <m/>
    <m/>
    <m/>
    <m/>
    <m/>
    <m/>
    <m/>
    <m/>
    <m/>
    <m/>
    <m/>
    <m/>
    <m/>
    <m/>
    <m/>
    <m/>
    <m/>
    <m/>
    <m/>
    <m/>
    <m/>
    <m/>
    <m/>
    <m/>
    <m/>
    <m/>
    <m/>
    <m/>
    <m/>
    <m/>
    <m/>
    <m/>
    <m/>
    <m/>
    <m/>
    <m/>
    <m/>
    <m/>
  </r>
  <r>
    <s v="102 - US"/>
    <d v="2023-02-21T00:00:00"/>
    <s v="FEBRUARY"/>
    <n v="2023"/>
    <x v="0"/>
    <s v="Deposited"/>
    <s v="PMT-S151-163655"/>
    <s v=""/>
    <s v="USD"/>
    <n v="-970.92"/>
    <n v="-970.92"/>
    <n v="970.92"/>
    <n v="2004.08"/>
    <s v="Spotted MP (Marketing + Public Relations)"/>
    <s v=""/>
    <s v="CHECK"/>
    <m/>
    <m/>
    <m/>
    <m/>
    <m/>
    <m/>
    <m/>
    <m/>
    <m/>
    <m/>
    <m/>
    <m/>
    <m/>
    <m/>
    <m/>
    <m/>
    <m/>
    <m/>
    <m/>
    <m/>
    <m/>
    <m/>
    <m/>
    <m/>
    <m/>
    <m/>
    <m/>
    <m/>
    <m/>
    <m/>
    <m/>
    <m/>
    <m/>
    <m/>
    <m/>
    <m/>
    <m/>
    <m/>
    <m/>
    <m/>
    <m/>
    <m/>
    <m/>
    <m/>
    <m/>
    <m/>
    <m/>
    <m/>
    <m/>
    <m/>
    <m/>
    <m/>
    <m/>
    <m/>
    <m/>
    <m/>
  </r>
  <r>
    <s v="102 - US"/>
    <d v="2023-02-13T00:00:00"/>
    <s v="FEBRUARY"/>
    <n v="2023"/>
    <x v="0"/>
    <s v="Deposited"/>
    <s v="PMT-S151-163322"/>
    <s v=""/>
    <s v="USD"/>
    <n v="-958.69"/>
    <n v="-958.69"/>
    <n v="958.69"/>
    <n v="-958.69"/>
    <s v="Endeavor Real Estate Group"/>
    <s v=""/>
    <s v="CHECK"/>
    <m/>
    <m/>
    <m/>
    <m/>
    <m/>
    <m/>
    <m/>
    <m/>
    <m/>
    <m/>
    <m/>
    <m/>
    <m/>
    <m/>
    <m/>
    <m/>
    <m/>
    <m/>
    <m/>
    <m/>
    <m/>
    <m/>
    <m/>
    <m/>
    <m/>
    <m/>
    <m/>
    <m/>
    <m/>
    <m/>
    <m/>
    <m/>
    <m/>
    <m/>
    <m/>
    <m/>
    <m/>
    <m/>
    <m/>
    <m/>
    <m/>
    <m/>
    <m/>
    <m/>
    <m/>
    <m/>
    <m/>
    <m/>
    <m/>
    <m/>
    <m/>
    <m/>
    <m/>
    <m/>
    <m/>
    <m/>
  </r>
  <r>
    <s v="102 - US"/>
    <d v="2023-03-03T00:00:00"/>
    <s v="MARCH"/>
    <n v="2023"/>
    <x v="0"/>
    <s v="Deposited"/>
    <s v="PMT-S151-164379"/>
    <s v="IN-S151-550647"/>
    <s v="USD"/>
    <n v="-11900"/>
    <n v="-11900"/>
    <n v="900"/>
    <n v="11475"/>
    <s v="The Bridgespan Group"/>
    <s v=""/>
    <s v="INCOMING MONEY TRANSFER 53RECD FED BANK OF AMERICA N.A.*ORG:THE BRIDGESPA N GROUP INC,02116 US MA,BOSTON,535 BOYLSTON*OGB:BANK OF AMERICA N.A.,NEW YORK 100 WEST 33RD STREET*BNF:MELTWATER NEWS US INC,REDWOOD CITY         CA/US,ST E 165*OBI:THE BRIDGESPAN GROUP INVOICE IN -S151-550647*STFEDSEQ:B1Q8981R00313 3*TIME:1508*YOUR REF:2333E05202UL2A81*OUR REF 062610842"/>
    <m/>
    <m/>
    <m/>
    <m/>
    <m/>
    <m/>
    <m/>
    <m/>
    <m/>
    <m/>
    <m/>
    <m/>
    <m/>
    <m/>
    <m/>
    <m/>
    <m/>
    <m/>
    <m/>
    <m/>
    <m/>
    <m/>
    <m/>
    <m/>
    <m/>
    <m/>
    <m/>
    <m/>
    <m/>
    <m/>
    <m/>
    <m/>
    <m/>
    <m/>
    <m/>
    <m/>
    <m/>
    <m/>
    <m/>
    <m/>
    <m/>
    <m/>
    <m/>
    <m/>
    <m/>
    <m/>
    <m/>
    <m/>
    <m/>
    <m/>
    <m/>
    <m/>
    <m/>
    <m/>
    <m/>
    <m/>
  </r>
  <r>
    <s v="102 - US"/>
    <d v="2025-07-10T00:00:00"/>
    <s v="JULY"/>
    <n v="2025"/>
    <x v="0"/>
    <s v="Deposited"/>
    <s v="PMT-S151-207582"/>
    <s v=""/>
    <s v="USD"/>
    <n v="-881.54"/>
    <n v="-881.54"/>
    <n v="881.54"/>
    <n v="-2065"/>
    <s v="Third Round Analytics Capital, LLC"/>
    <s v=""/>
    <s v="INCOMING MONEY TRANSFER 53RECD FED COLUMN NATIONAL ASSOCIATION*ORG:TRAC UNICO RN FUND II,SONOMA,CA,US,557 THIRD STREET EA*BNF:MELTWATER NEWS US INC,REDW OOD CITY         CA/US,275 SHO*OBI:FFC MELTWATER NEWS US INC DBA OWLER 183332 760005 UNICORN FUND II*STFEDSEQ:B1Q8981R003826*TIME:1701*YOUR REF:NONREF*OUR REF:191469883"/>
    <m/>
    <m/>
    <m/>
    <m/>
    <m/>
    <m/>
    <m/>
    <m/>
    <m/>
    <m/>
    <m/>
    <m/>
    <m/>
    <m/>
    <m/>
    <m/>
    <m/>
    <m/>
    <m/>
    <m/>
    <m/>
    <m/>
    <m/>
    <m/>
    <m/>
    <m/>
    <m/>
    <m/>
    <m/>
    <m/>
    <m/>
    <m/>
    <m/>
    <m/>
    <m/>
    <m/>
    <m/>
    <m/>
    <m/>
    <m/>
    <m/>
    <m/>
    <m/>
    <m/>
    <m/>
    <m/>
    <m/>
    <m/>
    <m/>
    <m/>
    <m/>
    <m/>
    <m/>
    <m/>
    <m/>
    <m/>
  </r>
  <r>
    <s v="102 - US"/>
    <d v="2023-02-17T00:00:00"/>
    <s v="FEBRUARY"/>
    <n v="2023"/>
    <x v="0"/>
    <s v="Deposited"/>
    <s v="PMT-S151-163637"/>
    <s v=""/>
    <s v="USD"/>
    <n v="-814.24"/>
    <n v="-814.24"/>
    <n v="814.24"/>
    <n v="-2166.46"/>
    <s v="International Rescue Committee"/>
    <s v="Jason Welch"/>
    <s v="ACH CONCENTRATION CREDIT ACH CASH CONCENTRATION INTLRESC-INTLRESC INTLRESC  INTLRESC                             0 0031625"/>
    <m/>
    <m/>
    <m/>
    <m/>
    <m/>
    <m/>
    <m/>
    <m/>
    <m/>
    <m/>
    <m/>
    <m/>
    <m/>
    <m/>
    <m/>
    <m/>
    <m/>
    <m/>
    <m/>
    <m/>
    <m/>
    <m/>
    <m/>
    <m/>
    <m/>
    <m/>
    <m/>
    <m/>
    <m/>
    <m/>
    <m/>
    <m/>
    <m/>
    <m/>
    <m/>
    <m/>
    <m/>
    <m/>
    <m/>
    <m/>
    <m/>
    <m/>
    <m/>
    <m/>
    <m/>
    <m/>
    <m/>
    <m/>
    <m/>
    <m/>
    <m/>
    <m/>
    <m/>
    <m/>
    <m/>
    <m/>
  </r>
  <r>
    <s v="102 - US"/>
    <d v="2026-02-12T00:00:00"/>
    <s v="FEBRUARY"/>
    <n v="2026"/>
    <x v="0"/>
    <s v="Deposited"/>
    <s v="PMT-S151-219378"/>
    <s v="IN-S151-592338"/>
    <s v="USD"/>
    <n v="-18311.53"/>
    <n v="-18311.53"/>
    <n v="762.97"/>
    <n v="-762.97"/>
    <s v="Fishman"/>
    <s v="Jordan Irvine"/>
    <s v=""/>
    <m/>
    <m/>
    <m/>
    <m/>
    <m/>
    <m/>
    <m/>
    <m/>
    <m/>
    <m/>
    <m/>
    <m/>
    <m/>
    <m/>
    <m/>
    <m/>
    <m/>
    <m/>
    <m/>
    <m/>
    <m/>
    <m/>
    <m/>
    <m/>
    <m/>
    <m/>
    <m/>
    <m/>
    <m/>
    <m/>
    <m/>
    <m/>
    <m/>
    <m/>
    <m/>
    <m/>
    <m/>
    <m/>
    <m/>
    <m/>
    <m/>
    <m/>
    <m/>
    <m/>
    <m/>
    <m/>
    <m/>
    <m/>
    <m/>
    <m/>
    <m/>
    <m/>
    <m/>
    <m/>
    <m/>
    <m/>
  </r>
  <r>
    <s v="102 - US"/>
    <d v="2023-05-19T00:00:00"/>
    <s v="MAY"/>
    <n v="2023"/>
    <x v="0"/>
    <s v="Deposited"/>
    <s v="PMT-S151-168472"/>
    <s v="IN-S151-553966"/>
    <s v="USD"/>
    <n v="-38800"/>
    <n v="-38800"/>
    <n v="725"/>
    <n v="-10420"/>
    <s v="Amarin Pharma, Inc."/>
    <s v="Sarah Shoemaker-MW"/>
    <s v="FOREIGN REMITTANCE CREDIT 33RECD CHIP JPMORGAN CHASE BANK*ORG:AMARIN SWITZERLAN D GMBH,CH/ZUG 6300,BAARERSTRASSE 75*OGB:JPMORGAN CHASE BANK,N.A.,ZUERICH,DRE IKOENIGSTRASSE 21*BNF:MELTWATER NEWS US INC,SAN FRANCISCO        CA/US,225 BU S*OBI:/ROC/649*STCHIPSEQ:0150770*TIME:0208*YOUR REF:SWF OF 23/05/19*OUR REF:1 39399668"/>
    <m/>
    <m/>
    <m/>
    <m/>
    <m/>
    <m/>
    <m/>
    <m/>
    <m/>
    <m/>
    <m/>
    <m/>
    <m/>
    <m/>
    <m/>
    <m/>
    <m/>
    <m/>
    <m/>
    <m/>
    <m/>
    <m/>
    <m/>
    <m/>
    <m/>
    <m/>
    <m/>
    <m/>
    <m/>
    <m/>
    <m/>
    <m/>
    <m/>
    <m/>
    <m/>
    <m/>
    <m/>
    <m/>
    <m/>
    <m/>
    <m/>
    <m/>
    <m/>
    <m/>
    <m/>
    <m/>
    <m/>
    <m/>
    <m/>
    <m/>
    <m/>
    <m/>
    <m/>
    <m/>
    <m/>
    <m/>
  </r>
  <r>
    <s v="102 - US"/>
    <d v="2022-08-19T00:00:00"/>
    <s v="AUGUST"/>
    <n v="2022"/>
    <x v="0"/>
    <s v="Deposited"/>
    <s v="PMT-S151-152778"/>
    <s v=""/>
    <s v="USD"/>
    <n v="-703"/>
    <n v="-703"/>
    <n v="703"/>
    <n v="-703"/>
    <s v="Rappi Latin America"/>
    <s v="Yangzom Vitali-116"/>
    <s v="FOREIGN REMITTANCE CREDIT 33RECD CHIP CITIBANK NA*ORG:RAPPI SAS - USD,CALLE 93 NUMERO 19-58  BOGOTA*OGB:CITIBANK NA,NEW YORK*BNF:MELTWATER NEWS US INC,SAN F RANCISCO        CA/US,STE 100*STCHIPSEQ:0442872*TIME:1420*YOUR REF:NONREF*OUR REF:231572351"/>
    <m/>
    <m/>
    <m/>
    <m/>
    <m/>
    <m/>
    <m/>
    <m/>
    <m/>
    <m/>
    <m/>
    <m/>
    <m/>
    <m/>
    <m/>
    <m/>
    <m/>
    <m/>
    <m/>
    <m/>
    <m/>
    <m/>
    <m/>
    <m/>
    <m/>
    <m/>
    <m/>
    <m/>
    <m/>
    <m/>
    <m/>
    <m/>
    <m/>
    <m/>
    <m/>
    <m/>
    <m/>
    <m/>
    <m/>
    <m/>
    <m/>
    <m/>
    <m/>
    <m/>
    <m/>
    <m/>
    <m/>
    <m/>
    <m/>
    <m/>
    <m/>
    <m/>
    <m/>
    <m/>
    <m/>
    <m/>
  </r>
  <r>
    <s v="102 - US"/>
    <d v="2022-12-27T00:00:00"/>
    <s v="DECEMBER"/>
    <n v="2022"/>
    <x v="0"/>
    <s v="Deposited"/>
    <s v="PMT-S151-160523"/>
    <s v=""/>
    <s v="USD"/>
    <n v="-700"/>
    <n v="-700"/>
    <n v="700"/>
    <n v="-250567.82"/>
    <s v="DUMMY CUSTOMER_CASHAPPS 102 - US"/>
    <s v=""/>
    <s v="ACH CONCENTRATION CREDIT ACH CASH CONCENTRATION ASSOCIATION OF C-RECEIVABLE Associati                            R eceivable                                                       016WJTGPY2HQS J0"/>
    <m/>
    <m/>
    <m/>
    <m/>
    <m/>
    <m/>
    <m/>
    <m/>
    <m/>
    <m/>
    <m/>
    <m/>
    <m/>
    <m/>
    <m/>
    <m/>
    <m/>
    <m/>
    <m/>
    <m/>
    <m/>
    <m/>
    <m/>
    <m/>
    <m/>
    <m/>
    <m/>
    <m/>
    <m/>
    <m/>
    <m/>
    <m/>
    <m/>
    <m/>
    <m/>
    <m/>
    <m/>
    <m/>
    <m/>
    <m/>
    <m/>
    <m/>
    <m/>
    <m/>
    <m/>
    <m/>
    <m/>
    <m/>
    <m/>
    <m/>
    <m/>
    <m/>
    <m/>
    <m/>
    <m/>
    <m/>
  </r>
  <r>
    <s v="102 - US"/>
    <d v="2025-07-10T00:00:00"/>
    <s v="JULY"/>
    <n v="2025"/>
    <x v="0"/>
    <s v="Deposited"/>
    <s v="PMT-S151-207581"/>
    <s v=""/>
    <s v="USD"/>
    <n v="-667.21"/>
    <n v="-667.21"/>
    <n v="667.21"/>
    <n v="-2065"/>
    <s v="Third Round Analytics Capital, LLC"/>
    <s v=""/>
    <s v="INCOMING MONEY TRANSFER 53RECD FED COLUMN NATIONAL ASSOCIATION*ORG:TRAC UNICO RN FUND 1,LP,SONOMA,CA,US,557 THIRD STREET*BNF:MELTWATER NEWS US INC,REDW OOD CITY         CA/US,275 SHO*OBI:FFC MELTWATER NEWS US INC DBA OWLER 183332 760005 UNICORN FUND*STFEDSEQ:B1Q8982R003810*TIME:1701*YOUR REF:NONREF*OUR REF :191469884"/>
    <m/>
    <m/>
    <m/>
    <m/>
    <m/>
    <m/>
    <m/>
    <m/>
    <m/>
    <m/>
    <m/>
    <m/>
    <m/>
    <m/>
    <m/>
    <m/>
    <m/>
    <m/>
    <m/>
    <m/>
    <m/>
    <m/>
    <m/>
    <m/>
    <m/>
    <m/>
    <m/>
    <m/>
    <m/>
    <m/>
    <m/>
    <m/>
    <m/>
    <m/>
    <m/>
    <m/>
    <m/>
    <m/>
    <m/>
    <m/>
    <m/>
    <m/>
    <m/>
    <m/>
    <m/>
    <m/>
    <m/>
    <m/>
    <m/>
    <m/>
    <m/>
    <m/>
    <m/>
    <m/>
    <m/>
    <m/>
  </r>
  <r>
    <s v="102 - US"/>
    <d v="2023-03-08T00:00:00"/>
    <s v="MARCH"/>
    <n v="2023"/>
    <x v="0"/>
    <s v="Deposited"/>
    <s v="PMT-S151-164601"/>
    <s v="IN-S151-547382"/>
    <s v="USD"/>
    <n v="-4860"/>
    <n v="-4860"/>
    <n v="660"/>
    <n v="-660"/>
    <s v="VITRO VIDRIERA MONTERREY"/>
    <s v=""/>
    <s v="FOREIGN REMITTANCE CREDIT 33RECD CHIP BANK OF AMERICA N.A.*ORG:VITRO VIDRIER A MONTE RREY SA D,MEX,64410 MONTERREY,KERAM*OGB:BANCO MERCANTIL DEL NORTE,S. A.,IN,MONTERREY,COL. PRIMA*BNF:MELTWATER NEWS US INC,REDWOOD CITY         CA /US,STE 165*OBI:XXXXXXXXXXXXXXXXXXXXXXXXXXXXXXXXXXX XXXXXXXXXXXXXXXXXXXXXXXXX XXXXXXXXXX XXXXXXXXXXXXXXXXXXXXXXXXX+*STCHIPSEQ:0349018*TIME:1016*YOUR REF:42 64968275301103*OUR REF:067539921"/>
    <m/>
    <m/>
    <m/>
    <m/>
    <m/>
    <m/>
    <m/>
    <m/>
    <m/>
    <m/>
    <m/>
    <m/>
    <m/>
    <m/>
    <m/>
    <m/>
    <m/>
    <m/>
    <m/>
    <m/>
    <m/>
    <m/>
    <m/>
    <m/>
    <m/>
    <m/>
    <m/>
    <m/>
    <m/>
    <m/>
    <m/>
    <m/>
    <m/>
    <m/>
    <m/>
    <m/>
    <m/>
    <m/>
    <m/>
    <m/>
    <m/>
    <m/>
    <m/>
    <m/>
    <m/>
    <m/>
    <m/>
    <m/>
    <m/>
    <m/>
    <m/>
    <m/>
    <m/>
    <m/>
    <m/>
    <m/>
  </r>
  <r>
    <s v="102 - US"/>
    <d v="2024-01-29T00:00:00"/>
    <s v="JANUARY"/>
    <n v="2024"/>
    <x v="0"/>
    <s v="Deposited"/>
    <s v="PMT-S151-182181"/>
    <s v="IN-S151-564725"/>
    <s v="USD"/>
    <n v="-10093.75"/>
    <n v="-10093.75"/>
    <n v="593.75"/>
    <n v="-593.75"/>
    <s v="University of Massachusetts Lowell"/>
    <s v=""/>
    <s v="CHECK"/>
    <m/>
    <m/>
    <m/>
    <m/>
    <m/>
    <m/>
    <m/>
    <m/>
    <m/>
    <m/>
    <m/>
    <m/>
    <m/>
    <m/>
    <m/>
    <m/>
    <m/>
    <m/>
    <m/>
    <m/>
    <m/>
    <m/>
    <m/>
    <m/>
    <m/>
    <m/>
    <m/>
    <m/>
    <m/>
    <m/>
    <m/>
    <m/>
    <m/>
    <m/>
    <m/>
    <m/>
    <m/>
    <m/>
    <m/>
    <m/>
    <m/>
    <m/>
    <m/>
    <m/>
    <m/>
    <m/>
    <m/>
    <m/>
    <m/>
    <m/>
    <m/>
    <m/>
    <m/>
    <m/>
    <m/>
    <m/>
  </r>
  <r>
    <s v="102 - US"/>
    <d v="2025-07-10T00:00:00"/>
    <s v="JULY"/>
    <n v="2025"/>
    <x v="0"/>
    <s v="Deposited"/>
    <s v="PMT-S151-207580"/>
    <s v=""/>
    <s v="USD"/>
    <n v="-516.25"/>
    <n v="-516.25"/>
    <n v="516.25"/>
    <n v="-2065"/>
    <s v="Third Round Analytics Capital, LLC"/>
    <s v=""/>
    <s v="INCOMING MONEY TRANSFER 53RECD FED COLUMN NATIONAL ASSOCIATION*ORG:THIRD ROUN D ANALYTICS CAPITAL,LLC,SONOMA,CA,US,557 3*BNF:MELTWATER NEWS US INC,REDW OOD CITY         CA/US,275 SHO*OBI:FFC MELTWATER NEWS US INC DBA OWLER 183332 760005 TRAC LLC SWEEP ACCOUN T*STFEDSEQ:B1Q8981R003827*TIME:1701*YOUR REF:NON REF*OUR REF:191469885"/>
    <m/>
    <m/>
    <m/>
    <m/>
    <m/>
    <m/>
    <m/>
    <m/>
    <m/>
    <m/>
    <m/>
    <m/>
    <m/>
    <m/>
    <m/>
    <m/>
    <m/>
    <m/>
    <m/>
    <m/>
    <m/>
    <m/>
    <m/>
    <m/>
    <m/>
    <m/>
    <m/>
    <m/>
    <m/>
    <m/>
    <m/>
    <m/>
    <m/>
    <m/>
    <m/>
    <m/>
    <m/>
    <m/>
    <m/>
    <m/>
    <m/>
    <m/>
    <m/>
    <m/>
    <m/>
    <m/>
    <m/>
    <m/>
    <m/>
    <m/>
    <m/>
    <m/>
    <m/>
    <m/>
    <m/>
    <m/>
  </r>
  <r>
    <s v="102 - US"/>
    <d v="2026-01-29T00:00:00"/>
    <s v="JANUARY"/>
    <n v="2026"/>
    <x v="0"/>
    <s v="Deposited"/>
    <s v="PMT-S151-218355"/>
    <s v="IN-S151-588123"/>
    <s v="USD"/>
    <n v="-37552"/>
    <n v="-37552"/>
    <n v="508"/>
    <n v="-508"/>
    <s v="Heartland Institute"/>
    <s v=""/>
    <s v="ACH CONCENTRATION CREDIT ACH CASH CONCENTRATION HEARTLAND INSTIT-PAYMENTS HEARTLAND PAYMENTS                                               MELTWATER"/>
    <m/>
    <m/>
    <m/>
    <m/>
    <m/>
    <m/>
    <m/>
    <m/>
    <m/>
    <m/>
    <m/>
    <m/>
    <m/>
    <m/>
    <m/>
    <m/>
    <m/>
    <m/>
    <m/>
    <m/>
    <m/>
    <m/>
    <m/>
    <m/>
    <m/>
    <m/>
    <m/>
    <m/>
    <m/>
    <m/>
    <m/>
    <m/>
    <m/>
    <m/>
    <m/>
    <m/>
    <m/>
    <m/>
    <m/>
    <m/>
    <m/>
    <m/>
    <m/>
    <m/>
    <m/>
    <m/>
    <m/>
    <m/>
    <m/>
    <m/>
    <m/>
    <m/>
    <m/>
    <m/>
    <m/>
    <m/>
  </r>
  <r>
    <s v="102 - US"/>
    <d v="2024-11-19T00:00:00"/>
    <s v="NOVEMBER"/>
    <n v="2024"/>
    <x v="0"/>
    <s v="Deposited"/>
    <s v="PMT-S151-196620"/>
    <s v=""/>
    <s v="USD"/>
    <n v="-505"/>
    <n v="-505"/>
    <n v="505"/>
    <n v="-505"/>
    <s v="Nez Perce Tribe"/>
    <s v=""/>
    <s v="CHECK"/>
    <m/>
    <m/>
    <m/>
    <m/>
    <m/>
    <m/>
    <m/>
    <m/>
    <m/>
    <m/>
    <m/>
    <m/>
    <m/>
    <m/>
    <m/>
    <m/>
    <m/>
    <m/>
    <m/>
    <m/>
    <m/>
    <m/>
    <m/>
    <m/>
    <m/>
    <m/>
    <m/>
    <m/>
    <m/>
    <m/>
    <m/>
    <m/>
    <m/>
    <m/>
    <m/>
    <m/>
    <m/>
    <m/>
    <m/>
    <m/>
    <m/>
    <m/>
    <m/>
    <m/>
    <m/>
    <m/>
    <m/>
    <m/>
    <m/>
    <m/>
    <m/>
    <m/>
    <m/>
    <m/>
    <m/>
    <m/>
  </r>
  <r>
    <s v="102 - US"/>
    <d v="2022-08-22T00:00:00"/>
    <s v="AUGUST"/>
    <n v="2022"/>
    <x v="0"/>
    <s v="Deposited"/>
    <s v="PMT-S151-152879"/>
    <s v="IN-S151-540721"/>
    <s v="USD"/>
    <n v="-10500"/>
    <n v="-10500"/>
    <n v="500"/>
    <n v="-500"/>
    <s v="Caribbean Ideas"/>
    <s v=""/>
    <s v="FOREIGN REMITTANCE CREDIT 33RECD CHIP JPMORGAN CHASE BANK*ORG:CARIBBEAN IDEAS L IMITED,TRINIDAD AND TOBAGO,ST CLAIR POR*OGB:REPUBLIC BANK LIMITED,PORT OF SPA IN,59 INDEPENDENCE SQUA*BNF:MELTWATER NEWS US INC,SAN FRANCISCO        CA/US STE 100*OBI:INV IN-S151-540721*BBI:/BNF/YR 601 MONTGOMERY ST NO 108 SA //N FR ANCISCO CA 94105 USA BR.*STCHIPSEQ:0502316*TIME:1219*YOUR REF:SWF OF 22/08/22 *OUR REF:234559427"/>
    <m/>
    <m/>
    <m/>
    <m/>
    <m/>
    <m/>
    <m/>
    <m/>
    <m/>
    <m/>
    <m/>
    <m/>
    <m/>
    <m/>
    <m/>
    <m/>
    <m/>
    <m/>
    <m/>
    <m/>
    <m/>
    <m/>
    <m/>
    <m/>
    <m/>
    <m/>
    <m/>
    <m/>
    <m/>
    <m/>
    <m/>
    <m/>
    <m/>
    <m/>
    <m/>
    <m/>
    <m/>
    <m/>
    <m/>
    <m/>
    <m/>
    <m/>
    <m/>
    <m/>
    <m/>
    <m/>
    <m/>
    <m/>
    <m/>
    <m/>
    <m/>
    <m/>
    <m/>
    <m/>
    <m/>
    <m/>
  </r>
  <r>
    <s v="102 - US"/>
    <d v="2023-08-04T00:00:00"/>
    <s v="AUGUST"/>
    <n v="2023"/>
    <x v="0"/>
    <s v="Deposited"/>
    <s v="PMT-S151-172692"/>
    <s v=""/>
    <s v="USD"/>
    <n v="-500"/>
    <n v="-500"/>
    <n v="500"/>
    <n v="-500"/>
    <s v="Planting Hope Brands LLC"/>
    <s v=""/>
    <s v="ACH CONCENTRATION CREDIT ACH CASH CONCENTRATION PLANTING HOPE-CORP PAY PLANTING  CORP PAY                        M ELTWATER"/>
    <m/>
    <m/>
    <m/>
    <m/>
    <m/>
    <m/>
    <m/>
    <m/>
    <m/>
    <m/>
    <m/>
    <m/>
    <m/>
    <m/>
    <m/>
    <m/>
    <m/>
    <m/>
    <m/>
    <m/>
    <m/>
    <m/>
    <m/>
    <m/>
    <m/>
    <m/>
    <m/>
    <m/>
    <m/>
    <m/>
    <m/>
    <m/>
    <m/>
    <m/>
    <m/>
    <m/>
    <m/>
    <m/>
    <m/>
    <m/>
    <m/>
    <m/>
    <m/>
    <m/>
    <m/>
    <m/>
    <m/>
    <m/>
    <m/>
    <m/>
    <m/>
    <m/>
    <m/>
    <m/>
    <m/>
    <m/>
  </r>
  <r>
    <s v="102 - US"/>
    <d v="2023-02-17T00:00:00"/>
    <s v="FEBRUARY"/>
    <n v="2023"/>
    <x v="0"/>
    <s v="Deposited"/>
    <s v="PMT-S151-163634"/>
    <s v=""/>
    <s v="USD"/>
    <n v="-450.74"/>
    <n v="-450.74"/>
    <n v="450.74"/>
    <n v="-2166.46"/>
    <s v="International Rescue Committee"/>
    <s v="Jason Welch"/>
    <s v="ACH CONCENTRATION CREDIT ACH CASH CONCENTRATION INTLRESC-INTLRESC INTLRESC  INTLRESC                             0 0031619"/>
    <m/>
    <m/>
    <m/>
    <m/>
    <m/>
    <m/>
    <m/>
    <m/>
    <m/>
    <m/>
    <m/>
    <m/>
    <m/>
    <m/>
    <m/>
    <m/>
    <m/>
    <m/>
    <m/>
    <m/>
    <m/>
    <m/>
    <m/>
    <m/>
    <m/>
    <m/>
    <m/>
    <m/>
    <m/>
    <m/>
    <m/>
    <m/>
    <m/>
    <m/>
    <m/>
    <m/>
    <m/>
    <m/>
    <m/>
    <m/>
    <m/>
    <m/>
    <m/>
    <m/>
    <m/>
    <m/>
    <m/>
    <m/>
    <m/>
    <m/>
    <m/>
    <m/>
    <m/>
    <m/>
    <m/>
    <m/>
  </r>
  <r>
    <s v="102 - US"/>
    <d v="2023-02-17T00:00:00"/>
    <s v="FEBRUARY"/>
    <n v="2023"/>
    <x v="0"/>
    <s v="Deposited"/>
    <s v="PMT-S151-163635"/>
    <s v=""/>
    <s v="USD"/>
    <n v="-450.74"/>
    <n v="-450.74"/>
    <n v="450.74"/>
    <n v="-2166.46"/>
    <s v="International Rescue Committee"/>
    <s v="Jason Welch"/>
    <s v="ACH CONCENTRATION CREDIT ACH CASH CONCENTRATION INTLRESC-INTLRESC INTLRESC  INTLRESC                             0 0031621"/>
    <m/>
    <m/>
    <m/>
    <m/>
    <m/>
    <m/>
    <m/>
    <m/>
    <m/>
    <m/>
    <m/>
    <m/>
    <m/>
    <m/>
    <m/>
    <m/>
    <m/>
    <m/>
    <m/>
    <m/>
    <m/>
    <m/>
    <m/>
    <m/>
    <m/>
    <m/>
    <m/>
    <m/>
    <m/>
    <m/>
    <m/>
    <m/>
    <m/>
    <m/>
    <m/>
    <m/>
    <m/>
    <m/>
    <m/>
    <m/>
    <m/>
    <m/>
    <m/>
    <m/>
    <m/>
    <m/>
    <m/>
    <m/>
    <m/>
    <m/>
    <m/>
    <m/>
    <m/>
    <m/>
    <m/>
    <m/>
  </r>
  <r>
    <s v="102 - US"/>
    <d v="2023-02-17T00:00:00"/>
    <s v="FEBRUARY"/>
    <n v="2023"/>
    <x v="0"/>
    <s v="Deposited"/>
    <s v="PMT-S151-163636"/>
    <s v=""/>
    <s v="USD"/>
    <n v="-450.74"/>
    <n v="-450.74"/>
    <n v="450.74"/>
    <n v="-2166.46"/>
    <s v="International Rescue Committee"/>
    <s v="Jason Welch"/>
    <s v="ACH CONCENTRATION CREDIT ACH CASH CONCENTRATION INTLRESC-INTLRESC INTLRESC  INTLRESC                             0 0031620"/>
    <m/>
    <m/>
    <m/>
    <m/>
    <m/>
    <m/>
    <m/>
    <m/>
    <m/>
    <m/>
    <m/>
    <m/>
    <m/>
    <m/>
    <m/>
    <m/>
    <m/>
    <m/>
    <m/>
    <m/>
    <m/>
    <m/>
    <m/>
    <m/>
    <m/>
    <m/>
    <m/>
    <m/>
    <m/>
    <m/>
    <m/>
    <m/>
    <m/>
    <m/>
    <m/>
    <m/>
    <m/>
    <m/>
    <m/>
    <m/>
    <m/>
    <m/>
    <m/>
    <m/>
    <m/>
    <m/>
    <m/>
    <m/>
    <m/>
    <m/>
    <m/>
    <m/>
    <m/>
    <m/>
    <m/>
    <m/>
  </r>
  <r>
    <s v="102 - US"/>
    <d v="2023-09-01T00:00:00"/>
    <s v="SEPTEMBER"/>
    <n v="2023"/>
    <x v="0"/>
    <s v="Deposited"/>
    <s v="PMT-S151-174160"/>
    <s v="IN-S151-555332"/>
    <s v="USD"/>
    <n v="-55374.16"/>
    <n v="-55374.16"/>
    <n v="424.16"/>
    <n v="-424.16"/>
    <s v="UT Institution: University of Texas Arlington"/>
    <s v=""/>
    <s v="ACH CONCENTRATION CREDIT ACH CORP TRADE PAYMENT FROM UT ARLINGTON UT ARLING PAYMENTS AP0001610738"/>
    <m/>
    <m/>
    <m/>
    <m/>
    <m/>
    <m/>
    <m/>
    <m/>
    <m/>
    <m/>
    <m/>
    <m/>
    <m/>
    <m/>
    <m/>
    <m/>
    <m/>
    <m/>
    <m/>
    <m/>
    <m/>
    <m/>
    <m/>
    <m/>
    <m/>
    <m/>
    <m/>
    <m/>
    <m/>
    <m/>
    <m/>
    <m/>
    <m/>
    <m/>
    <m/>
    <m/>
    <m/>
    <m/>
    <m/>
    <m/>
    <m/>
    <m/>
    <m/>
    <m/>
    <m/>
    <m/>
    <m/>
    <m/>
    <m/>
    <m/>
    <m/>
    <m/>
    <m/>
    <m/>
    <m/>
    <m/>
  </r>
  <r>
    <s v="102 - US"/>
    <d v="2022-09-02T00:00:00"/>
    <s v="SEPTEMBER"/>
    <n v="2022"/>
    <x v="0"/>
    <s v="Deposited"/>
    <s v="PMT-S151-153579"/>
    <s v="IN-S151-538297"/>
    <s v="USD"/>
    <n v="-17166.41"/>
    <n v="-17166.41"/>
    <n v="416.41"/>
    <n v="-416.41"/>
    <s v="Wisconsin Department of Natural Resources"/>
    <s v="Stephanie Thore"/>
    <s v="CHECK"/>
    <m/>
    <m/>
    <m/>
    <m/>
    <m/>
    <m/>
    <m/>
    <m/>
    <m/>
    <m/>
    <m/>
    <m/>
    <m/>
    <m/>
    <m/>
    <m/>
    <m/>
    <m/>
    <m/>
    <m/>
    <m/>
    <m/>
    <m/>
    <m/>
    <m/>
    <m/>
    <m/>
    <m/>
    <m/>
    <m/>
    <m/>
    <m/>
    <m/>
    <m/>
    <m/>
    <m/>
    <m/>
    <m/>
    <m/>
    <m/>
    <m/>
    <m/>
    <m/>
    <m/>
    <m/>
    <m/>
    <m/>
    <m/>
    <m/>
    <m/>
    <m/>
    <m/>
    <m/>
    <m/>
    <m/>
    <m/>
  </r>
  <r>
    <s v="102 - US"/>
    <d v="2026-01-13T00:00:00"/>
    <s v="JANUARY"/>
    <n v="2026"/>
    <x v="0"/>
    <s v="Deposited"/>
    <s v="PMT-S151-217189"/>
    <s v="IN-S151-589418"/>
    <s v="USD"/>
    <n v="-5578.13"/>
    <n v="-5578.13"/>
    <n v="412.5"/>
    <n v="9672.75"/>
    <s v="Houston Community College (Winvale)"/>
    <s v="Emily Archer"/>
    <s v="PMT-S151-210889 to be applied to invoice IN-S151-589418"/>
    <m/>
    <m/>
    <m/>
    <m/>
    <m/>
    <m/>
    <m/>
    <m/>
    <m/>
    <m/>
    <m/>
    <m/>
    <m/>
    <m/>
    <m/>
    <m/>
    <m/>
    <m/>
    <m/>
    <m/>
    <m/>
    <m/>
    <m/>
    <m/>
    <m/>
    <m/>
    <m/>
    <m/>
    <m/>
    <m/>
    <m/>
    <m/>
    <m/>
    <m/>
    <m/>
    <m/>
    <m/>
    <m/>
    <m/>
    <m/>
    <m/>
    <m/>
    <m/>
    <m/>
    <m/>
    <m/>
    <m/>
    <m/>
    <m/>
    <m/>
    <m/>
    <m/>
    <m/>
    <m/>
    <m/>
    <m/>
  </r>
  <r>
    <s v="102 - US"/>
    <d v="2025-07-18T00:00:00"/>
    <s v="JULY"/>
    <n v="2025"/>
    <x v="0"/>
    <s v="Deposited"/>
    <s v="PMT-S151-207996"/>
    <s v=""/>
    <s v="USD"/>
    <n v="-405.47"/>
    <n v="-405.47"/>
    <n v="405.47"/>
    <n v="-250567.82"/>
    <s v="DUMMY CUSTOMER_CASHAPPS 102 - US"/>
    <s v=""/>
    <s v="ACH CONCENTRATION CREDIT ACH CASH CONCENTRATION ENVIOLOL-PAYMENTS ENVIOLOL  PAYMENTS                             0 000010597"/>
    <m/>
    <m/>
    <m/>
    <m/>
    <m/>
    <m/>
    <m/>
    <m/>
    <m/>
    <m/>
    <m/>
    <m/>
    <m/>
    <m/>
    <m/>
    <m/>
    <m/>
    <m/>
    <m/>
    <m/>
    <m/>
    <m/>
    <m/>
    <m/>
    <m/>
    <m/>
    <m/>
    <m/>
    <m/>
    <m/>
    <m/>
    <m/>
    <m/>
    <m/>
    <m/>
    <m/>
    <m/>
    <m/>
    <m/>
    <m/>
    <m/>
    <m/>
    <m/>
    <m/>
    <m/>
    <m/>
    <m/>
    <m/>
    <m/>
    <m/>
    <m/>
    <m/>
    <m/>
    <m/>
    <m/>
    <m/>
  </r>
  <r>
    <s v="102 - US"/>
    <d v="2022-12-09T00:00:00"/>
    <s v="DECEMBER"/>
    <n v="2022"/>
    <x v="0"/>
    <s v="Deposited"/>
    <s v="PMT-S151-159398"/>
    <s v=""/>
    <s v="USD"/>
    <n v="-345"/>
    <n v="-345"/>
    <n v="345"/>
    <n v="-345"/>
    <s v="Spring Hill College"/>
    <s v=""/>
    <s v="ACH CONCENTRATION CREDIT ACH CASH CONCENTRATION SHC A/P-AP DEPOSIT SHC A/P   AP DEPOSIT 405252"/>
    <m/>
    <m/>
    <m/>
    <m/>
    <m/>
    <m/>
    <m/>
    <m/>
    <m/>
    <m/>
    <m/>
    <m/>
    <m/>
    <m/>
    <m/>
    <m/>
    <m/>
    <m/>
    <m/>
    <m/>
    <m/>
    <m/>
    <m/>
    <m/>
    <m/>
    <m/>
    <m/>
    <m/>
    <m/>
    <m/>
    <m/>
    <m/>
    <m/>
    <m/>
    <m/>
    <m/>
    <m/>
    <m/>
    <m/>
    <m/>
    <m/>
    <m/>
    <m/>
    <m/>
    <m/>
    <m/>
    <m/>
    <m/>
    <m/>
    <m/>
    <m/>
    <m/>
    <m/>
    <m/>
    <m/>
    <m/>
  </r>
  <r>
    <s v="102 - US"/>
    <d v="2025-07-18T00:00:00"/>
    <s v="JULY"/>
    <n v="2025"/>
    <x v="0"/>
    <s v="Deposited"/>
    <s v="PMT-S151-207995"/>
    <s v=""/>
    <s v="USD"/>
    <n v="-312.81"/>
    <n v="-312.81"/>
    <n v="312.81"/>
    <n v="-250567.82"/>
    <s v="DUMMY CUSTOMER_CASHAPPS 102 - US"/>
    <s v=""/>
    <s v="ACH CONCENTRATION CREDIT ACH CASH CONCENTRATION ENVIOLOL-PAYMENTS ENVIOLOL  PAYMENTS                             0 000027273"/>
    <m/>
    <m/>
    <m/>
    <m/>
    <m/>
    <m/>
    <m/>
    <m/>
    <m/>
    <m/>
    <m/>
    <m/>
    <m/>
    <m/>
    <m/>
    <m/>
    <m/>
    <m/>
    <m/>
    <m/>
    <m/>
    <m/>
    <m/>
    <m/>
    <m/>
    <m/>
    <m/>
    <m/>
    <m/>
    <m/>
    <m/>
    <m/>
    <m/>
    <m/>
    <m/>
    <m/>
    <m/>
    <m/>
    <m/>
    <m/>
    <m/>
    <m/>
    <m/>
    <m/>
    <m/>
    <m/>
    <m/>
    <m/>
    <m/>
    <m/>
    <m/>
    <m/>
    <m/>
    <m/>
    <m/>
    <m/>
  </r>
  <r>
    <s v="102 - US"/>
    <d v="2025-03-21T00:00:00"/>
    <s v="MARCH"/>
    <n v="2025"/>
    <x v="0"/>
    <s v="Deposited"/>
    <s v="PMT-S151-203040"/>
    <s v="IN-S151-580304"/>
    <s v="USD"/>
    <n v="-7800"/>
    <n v="-7800"/>
    <n v="281"/>
    <n v="-281"/>
    <s v="MGA Entertainment Inc"/>
    <s v="Jose Castellanos-103"/>
    <s v="ACH CONCENTRATION CREDIT ACH CORP TRADE PAYMENT FROM MGA ENTERTAINMEN MGA ENTER 1001000548 10010005481"/>
    <m/>
    <m/>
    <m/>
    <m/>
    <m/>
    <m/>
    <m/>
    <m/>
    <m/>
    <m/>
    <m/>
    <m/>
    <m/>
    <m/>
    <m/>
    <m/>
    <m/>
    <m/>
    <m/>
    <m/>
    <m/>
    <m/>
    <m/>
    <m/>
    <m/>
    <m/>
    <m/>
    <m/>
    <m/>
    <m/>
    <m/>
    <m/>
    <m/>
    <m/>
    <m/>
    <m/>
    <m/>
    <m/>
    <m/>
    <m/>
    <m/>
    <m/>
    <m/>
    <m/>
    <m/>
    <m/>
    <m/>
    <m/>
    <m/>
    <m/>
    <m/>
    <m/>
    <m/>
    <m/>
    <m/>
    <m/>
  </r>
  <r>
    <s v="102 - US"/>
    <d v="2023-08-16T00:00:00"/>
    <s v="AUGUST"/>
    <n v="2023"/>
    <x v="0"/>
    <s v="Deposited"/>
    <s v="PMT-S151-173331"/>
    <s v=""/>
    <s v="USD"/>
    <n v="-280"/>
    <n v="-280"/>
    <n v="280"/>
    <n v="-280"/>
    <s v="Soliant Health"/>
    <s v="Stephanie Thore"/>
    <s v="ACH CREDIT ACH DEPOSIT FROM SOLIANT HEALTH,-PAYMENTJNL                                       S OLIANT H PAYMENTJNL                                             V00001448"/>
    <m/>
    <m/>
    <m/>
    <m/>
    <m/>
    <m/>
    <m/>
    <m/>
    <m/>
    <m/>
    <m/>
    <m/>
    <m/>
    <m/>
    <m/>
    <m/>
    <m/>
    <m/>
    <m/>
    <m/>
    <m/>
    <m/>
    <m/>
    <m/>
    <m/>
    <m/>
    <m/>
    <m/>
    <m/>
    <m/>
    <m/>
    <m/>
    <m/>
    <m/>
    <m/>
    <m/>
    <m/>
    <m/>
    <m/>
    <m/>
    <m/>
    <m/>
    <m/>
    <m/>
    <m/>
    <m/>
    <m/>
    <m/>
    <m/>
    <m/>
    <m/>
    <m/>
    <m/>
    <m/>
    <m/>
    <m/>
  </r>
  <r>
    <s v="102 - US"/>
    <d v="2022-06-13T00:00:00"/>
    <s v="JUNE"/>
    <n v="2022"/>
    <x v="0"/>
    <s v="Deposited"/>
    <s v="PMT-S151-149001"/>
    <s v=""/>
    <s v="USD"/>
    <n v="-275.37"/>
    <n v="-275.37"/>
    <n v="275.37"/>
    <n v="-275.37"/>
    <s v="OSI Group"/>
    <s v=""/>
    <s v="ACH CONCENTRATION CREDIT ACH CORP TRADE PAYMENT FROM OSI"/>
    <m/>
    <m/>
    <m/>
    <m/>
    <m/>
    <m/>
    <m/>
    <m/>
    <m/>
    <m/>
    <m/>
    <m/>
    <m/>
    <m/>
    <m/>
    <m/>
    <m/>
    <m/>
    <m/>
    <m/>
    <m/>
    <m/>
    <m/>
    <m/>
    <m/>
    <m/>
    <m/>
    <m/>
    <m/>
    <m/>
    <m/>
    <m/>
    <m/>
    <m/>
    <m/>
    <m/>
    <m/>
    <m/>
    <m/>
    <m/>
    <m/>
    <m/>
    <m/>
    <m/>
    <m/>
    <m/>
    <m/>
    <m/>
    <m/>
    <m/>
    <m/>
    <m/>
    <m/>
    <m/>
    <m/>
    <m/>
  </r>
  <r>
    <s v="102 - US"/>
    <d v="2025-06-13T00:00:00"/>
    <s v="JUNE"/>
    <n v="2025"/>
    <x v="0"/>
    <s v="Deposited"/>
    <s v="PMT-S151-206477"/>
    <s v="IN-S151-582892"/>
    <s v="USD"/>
    <n v="-29850"/>
    <n v="-29850"/>
    <n v="270"/>
    <n v="-270"/>
    <s v="GTI Energy"/>
    <s v=""/>
    <s v="ACH CONCENTRATION CREDIT ACH CORP TRADE PAYMENT FROM GTI ENERGY GTI ENERG EFT        23137"/>
    <m/>
    <m/>
    <m/>
    <m/>
    <m/>
    <m/>
    <m/>
    <m/>
    <m/>
    <m/>
    <m/>
    <m/>
    <m/>
    <m/>
    <m/>
    <m/>
    <m/>
    <m/>
    <m/>
    <m/>
    <m/>
    <m/>
    <m/>
    <m/>
    <m/>
    <m/>
    <m/>
    <m/>
    <m/>
    <m/>
    <m/>
    <m/>
    <m/>
    <m/>
    <m/>
    <m/>
    <m/>
    <m/>
    <m/>
    <m/>
    <m/>
    <m/>
    <m/>
    <m/>
    <m/>
    <m/>
    <m/>
    <m/>
    <m/>
    <m/>
    <m/>
    <m/>
    <m/>
    <m/>
    <m/>
    <m/>
  </r>
  <r>
    <s v="102 - US"/>
    <d v="2025-12-23T00:00:00"/>
    <s v="DECEMBER"/>
    <n v="2025"/>
    <x v="0"/>
    <s v="Deposited"/>
    <s v="PMT-S151-216085"/>
    <s v="IN-S151-589821"/>
    <s v="USD"/>
    <n v="-16740"/>
    <n v="-16740"/>
    <n v="270"/>
    <n v="-270"/>
    <s v="University of Michigan at Dearborn"/>
    <s v="Jordan Irvine"/>
    <s v=""/>
    <m/>
    <m/>
    <m/>
    <m/>
    <m/>
    <m/>
    <m/>
    <m/>
    <m/>
    <m/>
    <m/>
    <m/>
    <m/>
    <m/>
    <m/>
    <m/>
    <m/>
    <m/>
    <m/>
    <m/>
    <m/>
    <m/>
    <m/>
    <m/>
    <m/>
    <m/>
    <m/>
    <m/>
    <m/>
    <m/>
    <m/>
    <m/>
    <m/>
    <m/>
    <m/>
    <m/>
    <m/>
    <m/>
    <m/>
    <m/>
    <m/>
    <m/>
    <m/>
    <m/>
    <m/>
    <m/>
    <m/>
    <m/>
    <m/>
    <m/>
    <m/>
    <m/>
    <m/>
    <m/>
    <m/>
    <m/>
  </r>
  <r>
    <s v="102 - US"/>
    <d v="2023-11-10T00:00:00"/>
    <s v="NOVEMBER"/>
    <n v="2023"/>
    <x v="0"/>
    <s v="Deposited"/>
    <s v="PMT-S151-177825"/>
    <s v="IN-S151-560186"/>
    <s v="USD"/>
    <n v="-2500"/>
    <n v="-2500"/>
    <n v="250"/>
    <n v="-250"/>
    <s v="Jackson Hole Chamber of Commerce"/>
    <s v="Jose Castellanos"/>
    <s v="CHECK"/>
    <m/>
    <m/>
    <m/>
    <m/>
    <m/>
    <m/>
    <m/>
    <m/>
    <m/>
    <m/>
    <m/>
    <m/>
    <m/>
    <m/>
    <m/>
    <m/>
    <m/>
    <m/>
    <m/>
    <m/>
    <m/>
    <m/>
    <m/>
    <m/>
    <m/>
    <m/>
    <m/>
    <m/>
    <m/>
    <m/>
    <m/>
    <m/>
    <m/>
    <m/>
    <m/>
    <m/>
    <m/>
    <m/>
    <m/>
    <m/>
    <m/>
    <m/>
    <m/>
    <m/>
    <m/>
    <m/>
    <m/>
    <m/>
    <m/>
    <m/>
    <m/>
    <m/>
    <m/>
    <m/>
    <m/>
    <m/>
  </r>
  <r>
    <s v="102 - US"/>
    <d v="2025-09-11T00:00:00"/>
    <s v="SEPTEMBER"/>
    <n v="2025"/>
    <x v="0"/>
    <s v="Deposited"/>
    <s v="PMT-S151-210673"/>
    <s v="IN-S151-585386"/>
    <s v="USD"/>
    <n v="-7500"/>
    <n v="-7500"/>
    <n v="250"/>
    <n v="-250"/>
    <s v="First Baptist Church Atlanta"/>
    <s v=""/>
    <s v="ACH CREDIT ACH DEPOSIT FROM FIRST BAPTIST CH-AUTOPAYMNT FIRST BAP AUTOPAYMNT 9097"/>
    <m/>
    <m/>
    <m/>
    <m/>
    <m/>
    <m/>
    <m/>
    <m/>
    <m/>
    <m/>
    <m/>
    <m/>
    <m/>
    <m/>
    <m/>
    <m/>
    <m/>
    <m/>
    <m/>
    <m/>
    <m/>
    <m/>
    <m/>
    <m/>
    <m/>
    <m/>
    <m/>
    <m/>
    <m/>
    <m/>
    <m/>
    <m/>
    <m/>
    <m/>
    <m/>
    <m/>
    <m/>
    <m/>
    <m/>
    <m/>
    <m/>
    <m/>
    <m/>
    <m/>
    <m/>
    <m/>
    <m/>
    <m/>
    <m/>
    <m/>
    <m/>
    <m/>
    <m/>
    <m/>
    <m/>
    <m/>
  </r>
  <r>
    <s v="102 - US"/>
    <d v="2023-06-28T00:00:00"/>
    <s v="JUNE"/>
    <n v="2023"/>
    <x v="0"/>
    <s v="Deposited"/>
    <s v="PMT-S151-170418"/>
    <s v=""/>
    <s v="USD"/>
    <n v="-235.95"/>
    <n v="-235.95"/>
    <n v="235.95"/>
    <n v="-235.95"/>
    <s v="Edina Public Schools"/>
    <s v=""/>
    <s v="CHECK"/>
    <m/>
    <m/>
    <m/>
    <m/>
    <m/>
    <m/>
    <m/>
    <m/>
    <m/>
    <m/>
    <m/>
    <m/>
    <m/>
    <m/>
    <m/>
    <m/>
    <m/>
    <m/>
    <m/>
    <m/>
    <m/>
    <m/>
    <m/>
    <m/>
    <m/>
    <m/>
    <m/>
    <m/>
    <m/>
    <m/>
    <m/>
    <m/>
    <m/>
    <m/>
    <m/>
    <m/>
    <m/>
    <m/>
    <m/>
    <m/>
    <m/>
    <m/>
    <m/>
    <m/>
    <m/>
    <m/>
    <m/>
    <m/>
    <m/>
    <m/>
    <m/>
    <m/>
    <m/>
    <m/>
    <m/>
    <m/>
  </r>
  <r>
    <s v="102 - US"/>
    <d v="2022-05-27T00:00:00"/>
    <s v="MAY"/>
    <n v="2022"/>
    <x v="0"/>
    <s v="Deposited"/>
    <s v="PMT-S151-148226"/>
    <s v="IN-S151-534485"/>
    <s v="USD"/>
    <n v="-3000"/>
    <n v="-3000"/>
    <n v="233"/>
    <n v="-233"/>
    <s v="Oakland County Board of Commissioners"/>
    <s v=""/>
    <s v="ACH CONCENTRATION CREDIT ACH CORP TRADE PAYMENT FROM OAKLAND COUNTY OAKLAND C SUPPLRPMTS 220527MELTWATER"/>
    <m/>
    <m/>
    <m/>
    <m/>
    <m/>
    <m/>
    <m/>
    <m/>
    <m/>
    <m/>
    <m/>
    <m/>
    <m/>
    <m/>
    <m/>
    <m/>
    <m/>
    <m/>
    <m/>
    <m/>
    <m/>
    <m/>
    <m/>
    <m/>
    <m/>
    <m/>
    <m/>
    <m/>
    <m/>
    <m/>
    <m/>
    <m/>
    <m/>
    <m/>
    <m/>
    <m/>
    <m/>
    <m/>
    <m/>
    <m/>
    <m/>
    <m/>
    <m/>
    <m/>
    <m/>
    <m/>
    <m/>
    <m/>
    <m/>
    <m/>
    <m/>
    <m/>
    <m/>
    <m/>
    <m/>
    <m/>
  </r>
  <r>
    <s v="102 - US"/>
    <d v="2022-09-23T00:00:00"/>
    <s v="SEPTEMBER"/>
    <n v="2022"/>
    <x v="0"/>
    <s v="Deposited"/>
    <s v="PMT-S151-154746"/>
    <s v="IN-S151-544003"/>
    <s v="USD"/>
    <n v="-3895.5"/>
    <n v="-3895.5"/>
    <n v="220.5"/>
    <n v="-220.5"/>
    <s v="Oil Change International"/>
    <s v=""/>
    <s v="ACH CONCENTRATION CREDIT ACH CASH CONCENTRATION OIL CHANGE INTER-BILL.COM Oil Chang Bill.com                                                   025QWMWVXHB0 T54"/>
    <m/>
    <m/>
    <m/>
    <m/>
    <m/>
    <m/>
    <m/>
    <m/>
    <m/>
    <m/>
    <m/>
    <m/>
    <m/>
    <m/>
    <m/>
    <m/>
    <m/>
    <m/>
    <m/>
    <m/>
    <m/>
    <m/>
    <m/>
    <m/>
    <m/>
    <m/>
    <m/>
    <m/>
    <m/>
    <m/>
    <m/>
    <m/>
    <m/>
    <m/>
    <m/>
    <m/>
    <m/>
    <m/>
    <m/>
    <m/>
    <m/>
    <m/>
    <m/>
    <m/>
    <m/>
    <m/>
    <m/>
    <m/>
    <m/>
    <m/>
    <m/>
    <m/>
    <m/>
    <m/>
    <m/>
    <m/>
  </r>
  <r>
    <s v="102 - US"/>
    <d v="2025-01-22T00:00:00"/>
    <s v="JANUARY"/>
    <n v="2025"/>
    <x v="0"/>
    <s v="Deposited"/>
    <s v="PMT-S151-199359"/>
    <s v="IN-S151-577332"/>
    <s v="USD"/>
    <n v="-3309"/>
    <n v="-3309"/>
    <n v="219"/>
    <n v="-219"/>
    <s v="Emerald Communities"/>
    <s v=""/>
    <s v=""/>
    <m/>
    <m/>
    <m/>
    <m/>
    <m/>
    <m/>
    <m/>
    <m/>
    <m/>
    <m/>
    <m/>
    <m/>
    <m/>
    <m/>
    <m/>
    <m/>
    <m/>
    <m/>
    <m/>
    <m/>
    <m/>
    <m/>
    <m/>
    <m/>
    <m/>
    <m/>
    <m/>
    <m/>
    <m/>
    <m/>
    <m/>
    <m/>
    <m/>
    <m/>
    <m/>
    <m/>
    <m/>
    <m/>
    <m/>
    <m/>
    <m/>
    <m/>
    <m/>
    <m/>
    <m/>
    <m/>
    <m/>
    <m/>
    <m/>
    <m/>
    <m/>
    <m/>
    <m/>
    <m/>
    <m/>
    <m/>
  </r>
  <r>
    <s v="102 - US"/>
    <d v="2022-08-12T00:00:00"/>
    <s v="AUGUST"/>
    <n v="2022"/>
    <x v="0"/>
    <s v="Deposited"/>
    <s v="PMT-S151-152381"/>
    <s v="IN-S151-545014"/>
    <s v="USD"/>
    <n v="-1000"/>
    <n v="-1000"/>
    <n v="200"/>
    <n v="-200"/>
    <s v="Varallo Public Relations"/>
    <s v=""/>
    <s v="CHECK"/>
    <m/>
    <m/>
    <m/>
    <m/>
    <m/>
    <m/>
    <m/>
    <m/>
    <m/>
    <m/>
    <m/>
    <m/>
    <m/>
    <m/>
    <m/>
    <m/>
    <m/>
    <m/>
    <m/>
    <m/>
    <m/>
    <m/>
    <m/>
    <m/>
    <m/>
    <m/>
    <m/>
    <m/>
    <m/>
    <m/>
    <m/>
    <m/>
    <m/>
    <m/>
    <m/>
    <m/>
    <m/>
    <m/>
    <m/>
    <m/>
    <m/>
    <m/>
    <m/>
    <m/>
    <m/>
    <m/>
    <m/>
    <m/>
    <m/>
    <m/>
    <m/>
    <m/>
    <m/>
    <m/>
    <m/>
    <m/>
  </r>
  <r>
    <s v="102 - US"/>
    <d v="2024-05-31T00:00:00"/>
    <s v="MAY"/>
    <n v="2024"/>
    <x v="0"/>
    <s v="Deposited"/>
    <s v="PMT-S151-188652"/>
    <s v="IN-S151-567734"/>
    <s v="USD"/>
    <n v="-2167.5"/>
    <n v="-2167.5"/>
    <n v="200"/>
    <n v="-200"/>
    <s v="GoldsmithPR"/>
    <s v=""/>
    <s v="ACH CREDIT ACH DEPOSIT FROM E GOLDSMITH-SENDER E GOLDSMI SENDER 722173348"/>
    <m/>
    <m/>
    <m/>
    <m/>
    <m/>
    <m/>
    <m/>
    <m/>
    <m/>
    <m/>
    <m/>
    <m/>
    <m/>
    <m/>
    <m/>
    <m/>
    <m/>
    <m/>
    <m/>
    <m/>
    <m/>
    <m/>
    <m/>
    <m/>
    <m/>
    <m/>
    <m/>
    <m/>
    <m/>
    <m/>
    <m/>
    <m/>
    <m/>
    <m/>
    <m/>
    <m/>
    <m/>
    <m/>
    <m/>
    <m/>
    <m/>
    <m/>
    <m/>
    <m/>
    <m/>
    <m/>
    <m/>
    <m/>
    <m/>
    <m/>
    <m/>
    <m/>
    <m/>
    <m/>
    <m/>
    <m/>
  </r>
  <r>
    <s v="102 - US"/>
    <d v="2024-12-24T00:00:00"/>
    <s v="DECEMBER"/>
    <n v="2024"/>
    <x v="0"/>
    <s v="Deposited"/>
    <s v="PMT-S151-197803"/>
    <s v=""/>
    <s v="USD"/>
    <n v="-183.34"/>
    <n v="-183.34"/>
    <n v="183.34"/>
    <n v="-183.34"/>
    <s v="Charter One"/>
    <s v=""/>
    <s v=""/>
    <m/>
    <m/>
    <m/>
    <m/>
    <m/>
    <m/>
    <m/>
    <m/>
    <m/>
    <m/>
    <m/>
    <m/>
    <m/>
    <m/>
    <m/>
    <m/>
    <m/>
    <m/>
    <m/>
    <m/>
    <m/>
    <m/>
    <m/>
    <m/>
    <m/>
    <m/>
    <m/>
    <m/>
    <m/>
    <m/>
    <m/>
    <m/>
    <m/>
    <m/>
    <m/>
    <m/>
    <m/>
    <m/>
    <m/>
    <m/>
    <m/>
    <m/>
    <m/>
    <m/>
    <m/>
    <m/>
    <m/>
    <m/>
    <m/>
    <m/>
    <m/>
    <m/>
    <m/>
    <m/>
    <m/>
    <m/>
  </r>
  <r>
    <s v="102 - US"/>
    <d v="2022-06-10T00:00:00"/>
    <s v="JUNE"/>
    <n v="2022"/>
    <x v="0"/>
    <s v="Deposited"/>
    <s v="PMT-S151-148831"/>
    <s v="IN-S151-539307"/>
    <s v="USD"/>
    <n v="-3206.5"/>
    <n v="-3206.5"/>
    <n v="181.5"/>
    <n v="3549.5"/>
    <s v="National Network to End Domestic Violence"/>
    <s v="Jose Castellanos-103"/>
    <s v="Stripe"/>
    <m/>
    <m/>
    <m/>
    <m/>
    <m/>
    <m/>
    <m/>
    <m/>
    <m/>
    <m/>
    <m/>
    <m/>
    <m/>
    <m/>
    <m/>
    <m/>
    <m/>
    <m/>
    <m/>
    <m/>
    <m/>
    <m/>
    <m/>
    <m/>
    <m/>
    <m/>
    <m/>
    <m/>
    <m/>
    <m/>
    <m/>
    <m/>
    <m/>
    <m/>
    <m/>
    <m/>
    <m/>
    <m/>
    <m/>
    <m/>
    <m/>
    <m/>
    <m/>
    <m/>
    <m/>
    <m/>
    <m/>
    <m/>
    <m/>
    <m/>
    <m/>
    <m/>
    <m/>
    <m/>
    <m/>
    <m/>
  </r>
  <r>
    <s v="102 - US"/>
    <d v="2022-11-09T00:00:00"/>
    <s v="NOVEMBER"/>
    <n v="2022"/>
    <x v="0"/>
    <s v="Deposited"/>
    <s v="PMT-S151-157615"/>
    <s v="IN-S151-542381"/>
    <s v="USD"/>
    <n v="-31293.39"/>
    <n v="-31293.39"/>
    <n v="177.39"/>
    <n v="-177.39"/>
    <s v="University at Buffalo, State University of New York"/>
    <s v=""/>
    <s v="CHECK"/>
    <m/>
    <m/>
    <m/>
    <m/>
    <m/>
    <m/>
    <m/>
    <m/>
    <m/>
    <m/>
    <m/>
    <m/>
    <m/>
    <m/>
    <m/>
    <m/>
    <m/>
    <m/>
    <m/>
    <m/>
    <m/>
    <m/>
    <m/>
    <m/>
    <m/>
    <m/>
    <m/>
    <m/>
    <m/>
    <m/>
    <m/>
    <m/>
    <m/>
    <m/>
    <m/>
    <m/>
    <m/>
    <m/>
    <m/>
    <m/>
    <m/>
    <m/>
    <m/>
    <m/>
    <m/>
    <m/>
    <m/>
    <m/>
    <m/>
    <m/>
    <m/>
    <m/>
    <m/>
    <m/>
    <m/>
    <m/>
  </r>
  <r>
    <s v="102 - US"/>
    <d v="2025-05-28T00:00:00"/>
    <s v="MAY"/>
    <n v="2025"/>
    <x v="0"/>
    <s v="Deposited"/>
    <s v="PMT-S151-205860"/>
    <s v=""/>
    <s v="USD"/>
    <n v="-109.77"/>
    <n v="-109.77"/>
    <n v="109.77"/>
    <n v="-250567.82"/>
    <s v="DUMMY CUSTOMER_CASHAPPS 102 - US"/>
    <s v=""/>
    <s v="ACH CONCENTRATION CREDIT ACH CASH CONCENTRATION SMI1 TREAS 310-  MISC PAY SMI1 TREA   MISC                       P AY 208289528330200"/>
    <m/>
    <m/>
    <m/>
    <m/>
    <m/>
    <m/>
    <m/>
    <m/>
    <m/>
    <m/>
    <m/>
    <m/>
    <m/>
    <m/>
    <m/>
    <m/>
    <m/>
    <m/>
    <m/>
    <m/>
    <m/>
    <m/>
    <m/>
    <m/>
    <m/>
    <m/>
    <m/>
    <m/>
    <m/>
    <m/>
    <m/>
    <m/>
    <m/>
    <m/>
    <m/>
    <m/>
    <m/>
    <m/>
    <m/>
    <m/>
    <m/>
    <m/>
    <m/>
    <m/>
    <m/>
    <m/>
    <m/>
    <m/>
    <m/>
    <m/>
    <m/>
    <m/>
    <m/>
    <m/>
    <m/>
    <m/>
  </r>
  <r>
    <s v="102 - US"/>
    <d v="2022-09-01T00:00:00"/>
    <s v="SEPTEMBER"/>
    <n v="2022"/>
    <x v="0"/>
    <s v="Deposited"/>
    <s v="PMT-S151-153565"/>
    <s v="IN-S151-541218"/>
    <s v="USD"/>
    <n v="-5543.76"/>
    <n v="-5543.76"/>
    <n v="100"/>
    <n v="-100"/>
    <s v="Richard Attias &amp; Associates"/>
    <s v=""/>
    <s v="INCOMING MONEY TRANSFER 53RECD FED INTERAUDI BANK*ORG:RICHARD ATTIAS + ASSOC IATES LLC,GREENWICH,CT 06830     *BNF:MELTWATER NEWS US INC,SAN FRANCISCO CA/US,STE 100*OBI:INV. IN-S151-541218 / ANNUAL SUBSCR IPTION*BBI:OUR PS0 010435850 MELTWATER INV. IN-S151-541218 / ANNUAL SUBSCR IPTION/ALL FEES PAID BY SENDER*STFEDSEQ:B1Q8981R001698*TIME:0940*YOUR REF:NONREF*OUR REF:244518923"/>
    <m/>
    <m/>
    <m/>
    <m/>
    <m/>
    <m/>
    <m/>
    <m/>
    <m/>
    <m/>
    <m/>
    <m/>
    <m/>
    <m/>
    <m/>
    <m/>
    <m/>
    <m/>
    <m/>
    <m/>
    <m/>
    <m/>
    <m/>
    <m/>
    <m/>
    <m/>
    <m/>
    <m/>
    <m/>
    <m/>
    <m/>
    <m/>
    <m/>
    <m/>
    <m/>
    <m/>
    <m/>
    <m/>
    <m/>
    <m/>
    <m/>
    <m/>
    <m/>
    <m/>
    <m/>
    <m/>
    <m/>
    <m/>
    <m/>
    <m/>
    <m/>
    <m/>
    <m/>
    <m/>
    <m/>
    <m/>
  </r>
  <r>
    <s v="102 - US"/>
    <d v="2023-02-16T00:00:00"/>
    <s v="FEBRUARY"/>
    <n v="2023"/>
    <x v="0"/>
    <s v="Deposited"/>
    <s v="PMT-S151-163515"/>
    <s v="IN-S151-540913"/>
    <s v="USD"/>
    <n v="-570.61"/>
    <n v="-570.61"/>
    <n v="67.61"/>
    <n v="-67.61"/>
    <s v="SIGNIFY MEXICO SA DE CV"/>
    <s v=""/>
    <s v="FOREIGN REMITTANCE CREDIT 33RECD CHIP CITIBANK NA*ORG:SIGNIFY ARGENTINA SA,NICO LAS DE VEDIA 3892*OGB:CITIBANK N.A.,SILVER SPRING,12401 PROSPERITY DRIVE*BNF: MELTWATER NEWS US INC,SAN FRANCISCO CA/US,STE 100*STCHIPSEQ:0473929*TI ME:1430*YOUR R (more...)"/>
    <m/>
    <m/>
    <m/>
    <m/>
    <m/>
    <m/>
    <m/>
    <m/>
    <m/>
    <m/>
    <m/>
    <m/>
    <m/>
    <m/>
    <m/>
    <m/>
    <m/>
    <m/>
    <m/>
    <m/>
    <m/>
    <m/>
    <m/>
    <m/>
    <m/>
    <m/>
    <m/>
    <m/>
    <m/>
    <m/>
    <m/>
    <m/>
    <m/>
    <m/>
    <m/>
    <m/>
    <m/>
    <m/>
    <m/>
    <m/>
    <m/>
    <m/>
    <m/>
    <m/>
    <m/>
    <m/>
    <m/>
    <m/>
    <m/>
    <m/>
    <m/>
    <m/>
    <m/>
    <m/>
    <m/>
    <m/>
  </r>
  <r>
    <s v="102 - US"/>
    <d v="2026-04-01T00:00:00"/>
    <s v="APRIL"/>
    <n v="2026"/>
    <x v="0"/>
    <s v="Deposited"/>
    <s v="PMT-S151-222271"/>
    <s v="IN-S151-589307"/>
    <s v="USD"/>
    <n v="-18986"/>
    <n v="-18986"/>
    <n v="10"/>
    <n v="-10"/>
    <s v="The Stronach Group"/>
    <s v=""/>
    <s v="ACH CONCENTRATION CREDIT ACH CASH CONCENTRATION 1/ST LLC-PAYMENTJNL 1/ST LLC  PAYMENTJNL MELTW-CORP"/>
    <m/>
    <m/>
    <m/>
    <m/>
    <m/>
    <m/>
    <m/>
    <m/>
    <m/>
    <m/>
    <m/>
    <m/>
    <m/>
    <m/>
    <m/>
    <m/>
    <m/>
    <m/>
    <m/>
    <m/>
    <m/>
    <m/>
    <m/>
    <m/>
    <m/>
    <m/>
    <m/>
    <m/>
    <m/>
    <m/>
    <m/>
    <m/>
    <m/>
    <m/>
    <m/>
    <m/>
    <m/>
    <m/>
    <m/>
    <m/>
    <m/>
    <m/>
    <m/>
    <m/>
    <m/>
    <m/>
    <m/>
    <m/>
    <m/>
    <m/>
    <m/>
    <m/>
    <m/>
    <m/>
    <m/>
    <m/>
  </r>
  <r>
    <s v="102 - US"/>
    <d v="2026-05-01T00:00:00"/>
    <s v="MAY"/>
    <n v="2026"/>
    <x v="0"/>
    <s v="Deposited"/>
    <s v="PMT-S151-223723"/>
    <s v=""/>
    <s v="USD"/>
    <n v="-0.01"/>
    <n v="-0.01"/>
    <n v="0.01"/>
    <n v="-250567.82"/>
    <s v="DUMMY CUSTOMER_CASHAPPS 102 - US"/>
    <s v=""/>
    <s v="ACH CONCENTRATION CREDIT ACH CASH CONCENTRATION ATLANTIC COAST C-ACCTVERIFY Atlantic                             ACCTV ERIFY                                                       026UKBYPU1XBJZA"/>
    <m/>
    <m/>
    <m/>
    <m/>
    <m/>
    <m/>
    <m/>
    <m/>
    <m/>
    <m/>
    <m/>
    <m/>
    <m/>
    <m/>
    <m/>
    <m/>
    <m/>
    <m/>
    <m/>
    <m/>
    <m/>
    <m/>
    <m/>
    <m/>
    <m/>
    <m/>
    <m/>
    <m/>
    <m/>
    <m/>
    <m/>
    <m/>
    <m/>
    <m/>
    <m/>
    <m/>
    <m/>
    <m/>
    <m/>
    <m/>
    <m/>
    <m/>
    <m/>
    <m/>
    <m/>
    <m/>
    <m/>
    <m/>
    <m/>
    <m/>
    <m/>
    <m/>
    <m/>
    <m/>
    <m/>
    <m/>
  </r>
  <r>
    <s v="10C (106) - Sysomos US"/>
    <d v="2020-01-27T00:00:00"/>
    <s v="JANUARY"/>
    <n v="2020"/>
    <x v="1"/>
    <s v="Deposited"/>
    <s v="PMT-S130B-1757"/>
    <s v=""/>
    <s v="USD"/>
    <n v="-130323.38"/>
    <n v="-130323.38"/>
    <n v="130323.38"/>
    <n v="-164619.01"/>
    <s v="Shiseido Americas Corporation"/>
    <s v="Marta Boytcheva"/>
    <s v="Duplicate payment"/>
    <m/>
    <m/>
    <m/>
    <m/>
    <m/>
    <m/>
    <m/>
    <m/>
    <m/>
    <m/>
    <m/>
    <m/>
    <m/>
    <m/>
    <m/>
    <m/>
    <m/>
    <m/>
    <m/>
    <m/>
    <m/>
    <m/>
    <m/>
    <m/>
    <m/>
    <m/>
    <m/>
    <m/>
    <m/>
    <m/>
    <m/>
    <m/>
    <m/>
    <m/>
    <m/>
    <m/>
    <m/>
    <m/>
    <m/>
    <m/>
    <m/>
    <m/>
    <m/>
    <m/>
    <m/>
    <m/>
    <m/>
    <m/>
    <m/>
    <m/>
    <m/>
    <m/>
    <m/>
    <m/>
    <m/>
    <m/>
  </r>
  <r>
    <s v="10C (106) - Sysomos US"/>
    <d v="2019-08-12T00:00:00"/>
    <s v="AUGUST"/>
    <n v="2019"/>
    <x v="1"/>
    <s v="Deposited"/>
    <s v="PMT-S130B-1121"/>
    <s v="IN-S130B-1804"/>
    <s v="USD"/>
    <n v="-164619.01"/>
    <n v="-164619.01"/>
    <n v="34295.629999999997"/>
    <n v="-164619.01"/>
    <s v="Shiseido Americas Corporation"/>
    <s v="Marta Boytcheva"/>
    <s v="WFB LB 08/12/19"/>
    <m/>
    <m/>
    <m/>
    <m/>
    <m/>
    <m/>
    <m/>
    <m/>
    <m/>
    <m/>
    <m/>
    <m/>
    <m/>
    <m/>
    <m/>
    <m/>
    <m/>
    <m/>
    <m/>
    <m/>
    <m/>
    <m/>
    <m/>
    <m/>
    <m/>
    <m/>
    <m/>
    <m/>
    <m/>
    <m/>
    <m/>
    <m/>
    <m/>
    <m/>
    <m/>
    <m/>
    <m/>
    <m/>
    <m/>
    <m/>
    <m/>
    <m/>
    <m/>
    <m/>
    <m/>
    <m/>
    <m/>
    <m/>
    <m/>
    <m/>
    <m/>
    <m/>
    <m/>
    <m/>
    <m/>
    <m/>
  </r>
  <r>
    <s v="10C (106) - Sysomos US"/>
    <d v="2019-11-08T00:00:00"/>
    <s v="NOVEMBER"/>
    <n v="2019"/>
    <x v="1"/>
    <s v="Deposited"/>
    <s v="PMT-S130B-1558"/>
    <s v=""/>
    <s v="USD"/>
    <n v="-6666.68"/>
    <n v="-6666.68"/>
    <n v="6666.68"/>
    <n v="-6666.68"/>
    <s v="DWA Media"/>
    <s v="Yangzom Vitali-116"/>
    <s v="WFB Wire 11/8/19"/>
    <m/>
    <m/>
    <m/>
    <m/>
    <m/>
    <m/>
    <m/>
    <m/>
    <m/>
    <m/>
    <m/>
    <m/>
    <m/>
    <m/>
    <m/>
    <m/>
    <m/>
    <m/>
    <m/>
    <m/>
    <m/>
    <m/>
    <m/>
    <m/>
    <m/>
    <m/>
    <m/>
    <m/>
    <m/>
    <m/>
    <m/>
    <m/>
    <m/>
    <m/>
    <m/>
    <m/>
    <m/>
    <m/>
    <m/>
    <m/>
    <m/>
    <m/>
    <m/>
    <m/>
    <m/>
    <m/>
    <m/>
    <m/>
    <m/>
    <m/>
    <m/>
    <m/>
    <m/>
    <m/>
    <m/>
    <m/>
  </r>
  <r>
    <s v="10C (106) - Sysomos US"/>
    <d v="2019-08-16T00:00:00"/>
    <s v="AUGUST"/>
    <n v="2019"/>
    <x v="1"/>
    <s v="Deposited"/>
    <s v="PMT-S130B-1237"/>
    <s v=""/>
    <s v="USD"/>
    <n v="-5000"/>
    <n v="-5000"/>
    <n v="5000"/>
    <n v="-13919.5"/>
    <s v="DUMMY CUSTOMER_CASHAPPS 106 - Sysomos US Inc"/>
    <s v=""/>
    <s v="WFB wire 081619 - Unknown customer: LOREL2US PAYMENTS 190816 20017191352019 \NTE*ZZZ*1906130000560\DTM*003*20180531\SE*25*0003036750795 20017191352019 R00000091003832142394"/>
    <m/>
    <m/>
    <m/>
    <m/>
    <m/>
    <m/>
    <m/>
    <m/>
    <m/>
    <m/>
    <m/>
    <m/>
    <m/>
    <m/>
    <m/>
    <m/>
    <m/>
    <m/>
    <m/>
    <m/>
    <m/>
    <m/>
    <m/>
    <m/>
    <m/>
    <m/>
    <m/>
    <m/>
    <m/>
    <m/>
    <m/>
    <m/>
    <m/>
    <m/>
    <m/>
    <m/>
    <m/>
    <m/>
    <m/>
    <m/>
    <m/>
    <m/>
    <m/>
    <m/>
    <m/>
    <m/>
    <m/>
    <m/>
    <m/>
    <m/>
    <m/>
    <m/>
    <m/>
    <m/>
    <m/>
    <m/>
  </r>
  <r>
    <s v="10C (106) - Sysomos US"/>
    <d v="2019-06-13T00:00:00"/>
    <s v="JUNE"/>
    <n v="2019"/>
    <x v="1"/>
    <s v="Deposited"/>
    <s v="PMT-S130B-0804"/>
    <s v="IN-S130B-0059"/>
    <s v="USD"/>
    <n v="-42992.57"/>
    <n v="-42992.57"/>
    <n v="4512.04"/>
    <n v="-5594.86"/>
    <s v="Intel Corporation"/>
    <s v="Marta Boytcheva"/>
    <s v="WFB wire 06/13/19 - overpaid their two invoices"/>
    <m/>
    <m/>
    <m/>
    <m/>
    <m/>
    <m/>
    <m/>
    <m/>
    <m/>
    <m/>
    <m/>
    <m/>
    <m/>
    <m/>
    <m/>
    <m/>
    <m/>
    <m/>
    <m/>
    <m/>
    <m/>
    <m/>
    <m/>
    <m/>
    <m/>
    <m/>
    <m/>
    <m/>
    <m/>
    <m/>
    <m/>
    <m/>
    <m/>
    <m/>
    <m/>
    <m/>
    <m/>
    <m/>
    <m/>
    <m/>
    <m/>
    <m/>
    <m/>
    <m/>
    <m/>
    <m/>
    <m/>
    <m/>
    <m/>
    <m/>
    <m/>
    <m/>
    <m/>
    <m/>
    <m/>
    <m/>
  </r>
  <r>
    <s v="10C (106) - Sysomos US"/>
    <d v="2019-07-01T00:00:00"/>
    <s v="JULY"/>
    <n v="2019"/>
    <x v="1"/>
    <s v="Deposited"/>
    <s v="PMT-S130B-0894"/>
    <s v="IN-S130B-0298"/>
    <s v="USD"/>
    <n v="-8591.86"/>
    <n v="-8591.86"/>
    <n v="4009.53"/>
    <n v="-4009.53"/>
    <s v="New Avon"/>
    <s v="Marta Boytcheva"/>
    <s v="WFB wire 07/01/19 - customer overpaid by 4009.53 - sent inquiry to collection team."/>
    <m/>
    <m/>
    <m/>
    <m/>
    <m/>
    <m/>
    <m/>
    <m/>
    <m/>
    <m/>
    <m/>
    <m/>
    <m/>
    <m/>
    <m/>
    <m/>
    <m/>
    <m/>
    <m/>
    <m/>
    <m/>
    <m/>
    <m/>
    <m/>
    <m/>
    <m/>
    <m/>
    <m/>
    <m/>
    <m/>
    <m/>
    <m/>
    <m/>
    <m/>
    <m/>
    <m/>
    <m/>
    <m/>
    <m/>
    <m/>
    <m/>
    <m/>
    <m/>
    <m/>
    <m/>
    <m/>
    <m/>
    <m/>
    <m/>
    <m/>
    <m/>
    <m/>
    <m/>
    <m/>
    <m/>
    <m/>
  </r>
  <r>
    <s v="10C (106) - Sysomos US"/>
    <d v="2020-01-31T00:00:00"/>
    <s v="JANUARY"/>
    <n v="2020"/>
    <x v="1"/>
    <s v="Deposited"/>
    <s v="PMT-S130B-1773"/>
    <s v=""/>
    <s v="USD"/>
    <n v="-3897.59"/>
    <n v="-3897.59"/>
    <n v="3897.59"/>
    <n v="-13919.5"/>
    <s v="DUMMY CUSTOMER_CASHAPPS 106 - Sysomos US Inc"/>
    <s v=""/>
    <s v="DEPOSIT MADE IN A BRANCH/STORE"/>
    <m/>
    <m/>
    <m/>
    <m/>
    <m/>
    <m/>
    <m/>
    <m/>
    <m/>
    <m/>
    <m/>
    <m/>
    <m/>
    <m/>
    <m/>
    <m/>
    <m/>
    <m/>
    <m/>
    <m/>
    <m/>
    <m/>
    <m/>
    <m/>
    <m/>
    <m/>
    <m/>
    <m/>
    <m/>
    <m/>
    <m/>
    <m/>
    <m/>
    <m/>
    <m/>
    <m/>
    <m/>
    <m/>
    <m/>
    <m/>
    <m/>
    <m/>
    <m/>
    <m/>
    <m/>
    <m/>
    <m/>
    <m/>
    <m/>
    <m/>
    <m/>
    <m/>
    <m/>
    <m/>
    <m/>
    <m/>
  </r>
  <r>
    <s v="10C (106) - Sysomos US"/>
    <d v="2019-02-20T00:00:00"/>
    <s v="FEBRUARY"/>
    <n v="2019"/>
    <x v="1"/>
    <s v="Deposited"/>
    <s v="PMT-S130B-0257"/>
    <s v=""/>
    <s v="USD"/>
    <n v="-3140.77"/>
    <n v="-3140.77"/>
    <n v="3140.77"/>
    <n v="-3140.77"/>
    <s v="McGarryBowen"/>
    <s v="Jennifer Bourne"/>
    <s v="This seems to be an duplicate payment for INV00048830. This inv was paid 1/15/19 PMT-S130B-0094"/>
    <m/>
    <m/>
    <m/>
    <m/>
    <m/>
    <m/>
    <m/>
    <m/>
    <m/>
    <m/>
    <m/>
    <m/>
    <m/>
    <m/>
    <m/>
    <m/>
    <m/>
    <m/>
    <m/>
    <m/>
    <m/>
    <m/>
    <m/>
    <m/>
    <m/>
    <m/>
    <m/>
    <m/>
    <m/>
    <m/>
    <m/>
    <m/>
    <m/>
    <m/>
    <m/>
    <m/>
    <m/>
    <m/>
    <m/>
    <m/>
    <m/>
    <m/>
    <m/>
    <m/>
    <m/>
    <m/>
    <m/>
    <m/>
    <m/>
    <m/>
    <m/>
    <m/>
    <m/>
    <m/>
    <m/>
    <m/>
  </r>
  <r>
    <s v="10C (106) - Sysomos US"/>
    <d v="2019-10-22T00:00:00"/>
    <s v="OCTOBER"/>
    <n v="2019"/>
    <x v="1"/>
    <s v="Deposited"/>
    <s v="PMT-S130B-1488"/>
    <s v=""/>
    <s v="USD"/>
    <n v="-2600.96"/>
    <n v="-2600.96"/>
    <n v="2600.96"/>
    <n v="-2600.96"/>
    <s v="The Tombras Group"/>
    <s v="Yangzom Vitali-116"/>
    <s v="WFB LB 10/22/19"/>
    <m/>
    <m/>
    <m/>
    <m/>
    <m/>
    <m/>
    <m/>
    <m/>
    <m/>
    <m/>
    <m/>
    <m/>
    <m/>
    <m/>
    <m/>
    <m/>
    <m/>
    <m/>
    <m/>
    <m/>
    <m/>
    <m/>
    <m/>
    <m/>
    <m/>
    <m/>
    <m/>
    <m/>
    <m/>
    <m/>
    <m/>
    <m/>
    <m/>
    <m/>
    <m/>
    <m/>
    <m/>
    <m/>
    <m/>
    <m/>
    <m/>
    <m/>
    <m/>
    <m/>
    <m/>
    <m/>
    <m/>
    <m/>
    <m/>
    <m/>
    <m/>
    <m/>
    <m/>
    <m/>
    <m/>
    <m/>
  </r>
  <r>
    <s v="10C (106) - Sysomos US"/>
    <d v="2019-07-03T00:00:00"/>
    <s v="JULY"/>
    <n v="2019"/>
    <x v="1"/>
    <s v="Deposited"/>
    <s v="PMT-S130B-0895"/>
    <s v=""/>
    <s v="USD"/>
    <n v="-2476.91"/>
    <n v="-2476.91"/>
    <n v="2476.91"/>
    <n v="-2476.91"/>
    <s v="Lincoln Technical Institute, inc"/>
    <s v="Marta Boytcheva"/>
    <s v="WFB LB 07/03/19 - This invoice was paid 6/26/19 - there is still one past due invoice due, IN-S130B-0986 $2,562.47 - Marta will inquire with customer how to apply payment"/>
    <m/>
    <m/>
    <m/>
    <m/>
    <m/>
    <m/>
    <m/>
    <m/>
    <m/>
    <m/>
    <m/>
    <m/>
    <m/>
    <m/>
    <m/>
    <m/>
    <m/>
    <m/>
    <m/>
    <m/>
    <m/>
    <m/>
    <m/>
    <m/>
    <m/>
    <m/>
    <m/>
    <m/>
    <m/>
    <m/>
    <m/>
    <m/>
    <m/>
    <m/>
    <m/>
    <m/>
    <m/>
    <m/>
    <m/>
    <m/>
    <m/>
    <m/>
    <m/>
    <m/>
    <m/>
    <m/>
    <m/>
    <m/>
    <m/>
    <m/>
    <m/>
    <m/>
    <m/>
    <m/>
    <m/>
    <m/>
  </r>
  <r>
    <s v="10C (106) - Sysomos US"/>
    <d v="2019-07-29T00:00:00"/>
    <s v="JULY"/>
    <n v="2019"/>
    <x v="1"/>
    <s v="Deposited"/>
    <s v="PMT-S130B-1029"/>
    <s v=""/>
    <s v="USD"/>
    <n v="-2375"/>
    <n v="-2375"/>
    <n v="2375"/>
    <n v="-2375"/>
    <s v="Novetta, Inc"/>
    <s v="Yangzom Vitali-116"/>
    <s v="WFB LB 07/29/19"/>
    <m/>
    <m/>
    <m/>
    <m/>
    <m/>
    <m/>
    <m/>
    <m/>
    <m/>
    <m/>
    <m/>
    <m/>
    <m/>
    <m/>
    <m/>
    <m/>
    <m/>
    <m/>
    <m/>
    <m/>
    <m/>
    <m/>
    <m/>
    <m/>
    <m/>
    <m/>
    <m/>
    <m/>
    <m/>
    <m/>
    <m/>
    <m/>
    <m/>
    <m/>
    <m/>
    <m/>
    <m/>
    <m/>
    <m/>
    <m/>
    <m/>
    <m/>
    <m/>
    <m/>
    <m/>
    <m/>
    <m/>
    <m/>
    <m/>
    <m/>
    <m/>
    <m/>
    <m/>
    <m/>
    <m/>
    <m/>
  </r>
  <r>
    <s v="10C (106) - Sysomos US"/>
    <d v="2019-06-26T00:00:00"/>
    <s v="JUNE"/>
    <n v="2019"/>
    <x v="1"/>
    <s v="Deposited"/>
    <s v="PMT-S130B-0870"/>
    <s v=""/>
    <s v="USD"/>
    <n v="-2331.25"/>
    <n v="-2331.25"/>
    <n v="2331.25"/>
    <n v="-13919.5"/>
    <s v="DUMMY CUSTOMER_CASHAPPS 106 - Sysomos US Inc"/>
    <s v=""/>
    <s v="W.S. BADCOCK AP AP PAYMENT 190625 XXXXX2882 SYSOMOS US INC 9930786502 121042882 R00000091003850852512 - This customer has a couple cus' accts. waiting for remit info"/>
    <m/>
    <m/>
    <m/>
    <m/>
    <m/>
    <m/>
    <m/>
    <m/>
    <m/>
    <m/>
    <m/>
    <m/>
    <m/>
    <m/>
    <m/>
    <m/>
    <m/>
    <m/>
    <m/>
    <m/>
    <m/>
    <m/>
    <m/>
    <m/>
    <m/>
    <m/>
    <m/>
    <m/>
    <m/>
    <m/>
    <m/>
    <m/>
    <m/>
    <m/>
    <m/>
    <m/>
    <m/>
    <m/>
    <m/>
    <m/>
    <m/>
    <m/>
    <m/>
    <m/>
    <m/>
    <m/>
    <m/>
    <m/>
    <m/>
    <m/>
    <m/>
    <m/>
    <m/>
    <m/>
    <m/>
    <m/>
  </r>
  <r>
    <s v="10C (106) - Sysomos US"/>
    <d v="2019-03-29T00:00:00"/>
    <s v="MARCH"/>
    <n v="2019"/>
    <x v="1"/>
    <s v="Deposited"/>
    <s v="PMT-S130B-0487"/>
    <s v="IN-S130B-1447"/>
    <s v="USD"/>
    <n v="-2600.3000000000002"/>
    <n v="-2600.3000000000002"/>
    <n v="2228.81"/>
    <n v="-2228.81"/>
    <s v="Convince &amp; Convert LLC"/>
    <s v="Yangzom Vitali-116"/>
    <s v="WFB wire 3/29/19 - IN-S130B-1447 &amp; 1448 - There's no invoice for 1448 yet - leaving 2,228.81 unapplied"/>
    <m/>
    <m/>
    <m/>
    <m/>
    <m/>
    <m/>
    <m/>
    <m/>
    <m/>
    <m/>
    <m/>
    <m/>
    <m/>
    <m/>
    <m/>
    <m/>
    <m/>
    <m/>
    <m/>
    <m/>
    <m/>
    <m/>
    <m/>
    <m/>
    <m/>
    <m/>
    <m/>
    <m/>
    <m/>
    <m/>
    <m/>
    <m/>
    <m/>
    <m/>
    <m/>
    <m/>
    <m/>
    <m/>
    <m/>
    <m/>
    <m/>
    <m/>
    <m/>
    <m/>
    <m/>
    <m/>
    <m/>
    <m/>
    <m/>
    <m/>
    <m/>
    <m/>
    <m/>
    <m/>
    <m/>
    <m/>
  </r>
  <r>
    <s v="10C (106) - Sysomos US"/>
    <d v="2019-09-11T00:00:00"/>
    <s v="SEPTEMBER"/>
    <n v="2019"/>
    <x v="1"/>
    <s v="Deposited"/>
    <s v="PMT-S130B-1382"/>
    <s v=""/>
    <s v="USD"/>
    <n v="-2224.3200000000002"/>
    <n v="-2224.3200000000002"/>
    <n v="2224.3200000000002"/>
    <n v="-13919.5"/>
    <s v="DUMMY CUSTOMER_CASHAPPS 106 - Sysomos US Inc"/>
    <s v=""/>
    <s v="WFB Wire 9/11/19 - Pending remit info from collections team"/>
    <m/>
    <m/>
    <m/>
    <m/>
    <m/>
    <m/>
    <m/>
    <m/>
    <m/>
    <m/>
    <m/>
    <m/>
    <m/>
    <m/>
    <m/>
    <m/>
    <m/>
    <m/>
    <m/>
    <m/>
    <m/>
    <m/>
    <m/>
    <m/>
    <m/>
    <m/>
    <m/>
    <m/>
    <m/>
    <m/>
    <m/>
    <m/>
    <m/>
    <m/>
    <m/>
    <m/>
    <m/>
    <m/>
    <m/>
    <m/>
    <m/>
    <m/>
    <m/>
    <m/>
    <m/>
    <m/>
    <m/>
    <m/>
    <m/>
    <m/>
    <m/>
    <m/>
    <m/>
    <m/>
    <m/>
    <m/>
  </r>
  <r>
    <s v="10C (106) - Sysomos US"/>
    <d v="2019-02-04T00:00:00"/>
    <s v="FEBRUARY"/>
    <n v="2019"/>
    <x v="1"/>
    <s v="Deposited"/>
    <s v="PMT-S130B-0212"/>
    <s v="IN-S130B-0358"/>
    <s v="USD"/>
    <n v="-29165"/>
    <n v="-29165"/>
    <n v="1450.3"/>
    <n v="-1450.3"/>
    <s v="Jo Malone Limited"/>
    <s v="Yangzom Vitali-116"/>
    <s v="INV45339 is partially credited (service credit) but paid in full. Leaving balance open on the account."/>
    <m/>
    <m/>
    <m/>
    <m/>
    <m/>
    <m/>
    <m/>
    <m/>
    <m/>
    <m/>
    <m/>
    <m/>
    <m/>
    <m/>
    <m/>
    <m/>
    <m/>
    <m/>
    <m/>
    <m/>
    <m/>
    <m/>
    <m/>
    <m/>
    <m/>
    <m/>
    <m/>
    <m/>
    <m/>
    <m/>
    <m/>
    <m/>
    <m/>
    <m/>
    <m/>
    <m/>
    <m/>
    <m/>
    <m/>
    <m/>
    <m/>
    <m/>
    <m/>
    <m/>
    <m/>
    <m/>
    <m/>
    <m/>
    <m/>
    <m/>
    <m/>
    <m/>
    <m/>
    <m/>
    <m/>
    <m/>
  </r>
  <r>
    <s v="10C (106) - Sysomos US"/>
    <d v="2019-04-05T00:00:00"/>
    <s v="APRIL"/>
    <n v="2019"/>
    <x v="1"/>
    <s v="Deposited"/>
    <s v="PMT-S130B-0524"/>
    <s v="IN-S130B-0593"/>
    <s v="USD"/>
    <n v="-4095.71"/>
    <n v="-4095.71"/>
    <n v="1082.82"/>
    <n v="-5594.86"/>
    <s v="Intel Corporation"/>
    <s v="Marta Boytcheva"/>
    <s v="WFB Wire 04/04/19 - For: INV00046466 per remit - the remit shows the invoice to have an original amt of $4125.00.  with bank fee, overpayment of invoice by $1,082.82"/>
    <m/>
    <m/>
    <m/>
    <m/>
    <m/>
    <m/>
    <m/>
    <m/>
    <m/>
    <m/>
    <m/>
    <m/>
    <m/>
    <m/>
    <m/>
    <m/>
    <m/>
    <m/>
    <m/>
    <m/>
    <m/>
    <m/>
    <m/>
    <m/>
    <m/>
    <m/>
    <m/>
    <m/>
    <m/>
    <m/>
    <m/>
    <m/>
    <m/>
    <m/>
    <m/>
    <m/>
    <m/>
    <m/>
    <m/>
    <m/>
    <m/>
    <m/>
    <m/>
    <m/>
    <m/>
    <m/>
    <m/>
    <m/>
    <m/>
    <m/>
    <m/>
    <m/>
    <m/>
    <m/>
    <m/>
    <m/>
  </r>
  <r>
    <s v="10C (106) - Sysomos US"/>
    <d v="2019-03-05T00:00:00"/>
    <s v="MARCH"/>
    <n v="2019"/>
    <x v="1"/>
    <s v="Deposited"/>
    <s v="PMT-S130B-0515"/>
    <s v="IN-S130B-0369"/>
    <s v="USD"/>
    <n v="-7772.76"/>
    <n v="-7772.76"/>
    <n v="888.68"/>
    <n v="-888.68"/>
    <s v="La Mer"/>
    <s v="Marta Boytcheva"/>
    <s v=""/>
    <m/>
    <m/>
    <m/>
    <m/>
    <m/>
    <m/>
    <m/>
    <m/>
    <m/>
    <m/>
    <m/>
    <m/>
    <m/>
    <m/>
    <m/>
    <m/>
    <m/>
    <m/>
    <m/>
    <m/>
    <m/>
    <m/>
    <m/>
    <m/>
    <m/>
    <m/>
    <m/>
    <m/>
    <m/>
    <m/>
    <m/>
    <m/>
    <m/>
    <m/>
    <m/>
    <m/>
    <m/>
    <m/>
    <m/>
    <m/>
    <m/>
    <m/>
    <m/>
    <m/>
    <m/>
    <m/>
    <m/>
    <m/>
    <m/>
    <m/>
    <m/>
    <m/>
    <m/>
    <m/>
    <m/>
    <m/>
  </r>
  <r>
    <s v="10C (106) - Sysomos US"/>
    <d v="2019-05-31T00:00:00"/>
    <s v="MAY"/>
    <n v="2019"/>
    <x v="1"/>
    <s v="Deposited"/>
    <s v="PMT-S130B-0754"/>
    <s v=""/>
    <s v="USD"/>
    <n v="-466.34"/>
    <n v="-466.34"/>
    <n v="466.34"/>
    <n v="-13919.5"/>
    <s v="DUMMY CUSTOMER_CASHAPPS 106 - Sysomos US Inc"/>
    <s v=""/>
    <s v="SA-S151-EN-1423215 Onesource Virtual is a 102-US customer but wired payment into WFB: OneSource Virtua 0000108452 190530 MNY-0005114478 Meltwater Group 9367888501 MNY-0005114478 R00000091004431085254"/>
    <m/>
    <m/>
    <m/>
    <m/>
    <m/>
    <m/>
    <m/>
    <m/>
    <m/>
    <m/>
    <m/>
    <m/>
    <m/>
    <m/>
    <m/>
    <m/>
    <m/>
    <m/>
    <m/>
    <m/>
    <m/>
    <m/>
    <m/>
    <m/>
    <m/>
    <m/>
    <m/>
    <m/>
    <m/>
    <m/>
    <m/>
    <m/>
    <m/>
    <m/>
    <m/>
    <m/>
    <m/>
    <m/>
    <m/>
    <m/>
    <m/>
    <m/>
    <m/>
    <m/>
    <m/>
    <m/>
    <m/>
    <m/>
    <m/>
    <m/>
    <m/>
    <m/>
    <m/>
    <m/>
    <m/>
    <m/>
  </r>
  <r>
    <s v="10C (106) - Sysomos US"/>
    <d v="2019-12-30T00:00:00"/>
    <s v="DECEMBER"/>
    <n v="2019"/>
    <x v="1"/>
    <s v="Deposited"/>
    <s v="PMT-S130B-1683"/>
    <s v="IN-S130B-2644"/>
    <s v="USD"/>
    <n v="-26841.42"/>
    <n v="-26841.42"/>
    <n v="433.06"/>
    <n v="-433.06"/>
    <s v="Mary Kay Inc."/>
    <s v="Marta Boytcheva"/>
    <s v="WFB LB 12/30/19"/>
    <m/>
    <m/>
    <m/>
    <m/>
    <m/>
    <m/>
    <m/>
    <m/>
    <m/>
    <m/>
    <m/>
    <m/>
    <m/>
    <m/>
    <m/>
    <m/>
    <m/>
    <m/>
    <m/>
    <m/>
    <m/>
    <m/>
    <m/>
    <m/>
    <m/>
    <m/>
    <m/>
    <m/>
    <m/>
    <m/>
    <m/>
    <m/>
    <m/>
    <m/>
    <m/>
    <m/>
    <m/>
    <m/>
    <m/>
    <m/>
    <m/>
    <m/>
    <m/>
    <m/>
    <m/>
    <m/>
    <m/>
    <m/>
    <m/>
    <m/>
    <m/>
    <m/>
    <m/>
    <m/>
    <m/>
    <m/>
  </r>
  <r>
    <s v="10C (106) - Sysomos US"/>
    <d v="2019-01-23T00:00:00"/>
    <s v="JANUARY"/>
    <n v="2019"/>
    <x v="1"/>
    <s v="Deposited"/>
    <s v="PMT-S130B-0131"/>
    <s v="IN-S130B-0132"/>
    <s v="USD"/>
    <n v="-3120.52"/>
    <n v="-3120.52"/>
    <n v="237.4"/>
    <n v="-237.4"/>
    <s v="Apple, Inc."/>
    <s v="Marta Boytcheva"/>
    <s v="No remit-left open on Account"/>
    <m/>
    <m/>
    <m/>
    <m/>
    <m/>
    <m/>
    <m/>
    <m/>
    <m/>
    <m/>
    <m/>
    <m/>
    <m/>
    <m/>
    <m/>
    <m/>
    <m/>
    <m/>
    <m/>
    <m/>
    <m/>
    <m/>
    <m/>
    <m/>
    <m/>
    <m/>
    <m/>
    <m/>
    <m/>
    <m/>
    <m/>
    <m/>
    <m/>
    <m/>
    <m/>
    <m/>
    <m/>
    <m/>
    <m/>
    <m/>
    <m/>
    <m/>
    <m/>
    <m/>
    <m/>
    <m/>
    <m/>
    <m/>
    <m/>
    <m/>
    <m/>
    <m/>
    <m/>
    <m/>
    <m/>
    <m/>
  </r>
  <r>
    <s v="10C (106) - Sysomos US"/>
    <d v="2019-10-01T00:00:00"/>
    <s v="OCTOBER"/>
    <n v="2019"/>
    <x v="1"/>
    <s v="Deposited"/>
    <s v="PMT-S130B-1394"/>
    <s v="IN-S130B-0108"/>
    <s v="USD"/>
    <n v="-7931.25"/>
    <n v="-7931.25"/>
    <n v="88.14"/>
    <n v="-88.14"/>
    <s v="Sterling Jewelers, Inc. (US)"/>
    <s v="Yangzom Vitali-116"/>
    <s v="WFB LB 10/1/19"/>
    <m/>
    <m/>
    <m/>
    <m/>
    <m/>
    <m/>
    <m/>
    <m/>
    <m/>
    <m/>
    <m/>
    <m/>
    <m/>
    <m/>
    <m/>
    <m/>
    <m/>
    <m/>
    <m/>
    <m/>
    <m/>
    <m/>
    <m/>
    <m/>
    <m/>
    <m/>
    <m/>
    <m/>
    <m/>
    <m/>
    <m/>
    <m/>
    <m/>
    <m/>
    <m/>
    <m/>
    <m/>
    <m/>
    <m/>
    <m/>
    <m/>
    <m/>
    <m/>
    <m/>
    <m/>
    <m/>
    <m/>
    <m/>
    <m/>
    <m/>
    <m/>
    <m/>
    <m/>
    <m/>
    <m/>
    <m/>
  </r>
  <r>
    <s v="10C (106) - Sysomos US"/>
    <d v="2020-02-26T00:00:00"/>
    <s v="FEBRUARY"/>
    <n v="2020"/>
    <x v="1"/>
    <s v="Deposited"/>
    <s v="PMT-S130B-1835"/>
    <s v="IN-S130B-2635"/>
    <s v="USD"/>
    <n v="-85560"/>
    <n v="-85560"/>
    <n v="20"/>
    <n v="-20"/>
    <s v="Mondelez Deutschland Services"/>
    <s v="Marta Boytcheva"/>
    <s v="WFB Wire 2/26/20"/>
    <m/>
    <m/>
    <m/>
    <m/>
    <m/>
    <m/>
    <m/>
    <m/>
    <m/>
    <m/>
    <m/>
    <m/>
    <m/>
    <m/>
    <m/>
    <m/>
    <m/>
    <m/>
    <m/>
    <m/>
    <m/>
    <m/>
    <m/>
    <m/>
    <m/>
    <m/>
    <m/>
    <m/>
    <m/>
    <m/>
    <m/>
    <m/>
    <m/>
    <m/>
    <m/>
    <m/>
    <m/>
    <m/>
    <m/>
    <m/>
    <m/>
    <m/>
    <m/>
    <m/>
    <m/>
    <m/>
    <m/>
    <m/>
    <m/>
    <m/>
    <m/>
    <m/>
    <m/>
    <m/>
    <m/>
    <m/>
  </r>
  <r>
    <s v="10C (106) - Sysomos US"/>
    <d v="2020-01-21T00:00:00"/>
    <s v="JANUARY"/>
    <n v="2020"/>
    <x v="1"/>
    <s v="Deposited"/>
    <s v="PMT-S130B-1741"/>
    <s v="IN-S130B-2726"/>
    <s v="USD"/>
    <n v="-1168.5"/>
    <n v="-1168.5"/>
    <n v="0.16"/>
    <n v="-0.16"/>
    <s v="RevHealth LLC"/>
    <s v="Marta Boytcheva"/>
    <s v="WFB LB 1/21/20"/>
    <m/>
    <m/>
    <m/>
    <m/>
    <m/>
    <m/>
    <m/>
    <m/>
    <m/>
    <m/>
    <m/>
    <m/>
    <m/>
    <m/>
    <m/>
    <m/>
    <m/>
    <m/>
    <m/>
    <m/>
    <m/>
    <m/>
    <m/>
    <m/>
    <m/>
    <m/>
    <m/>
    <m/>
    <m/>
    <m/>
    <m/>
    <m/>
    <m/>
    <m/>
    <m/>
    <m/>
    <m/>
    <m/>
    <m/>
    <m/>
    <m/>
    <m/>
    <m/>
    <m/>
    <m/>
    <m/>
    <m/>
    <m/>
    <m/>
    <m/>
    <m/>
    <m/>
    <m/>
    <m/>
    <m/>
    <m/>
  </r>
  <r>
    <s v="10C (106) - Sysomos US"/>
    <d v="2019-09-23T00:00:00"/>
    <s v="SEPTEMBER"/>
    <n v="2019"/>
    <x v="1"/>
    <s v="Deposited"/>
    <s v="PMT-S130B-1349"/>
    <s v="IN-S130B-2341"/>
    <s v="USD"/>
    <n v="-1144.3499999999999"/>
    <n v="-1144.3499999999999"/>
    <n v="0.03"/>
    <n v="-0.03"/>
    <s v="BlaineTurner Advertising"/>
    <s v="Yangzom Vitali-116"/>
    <s v="WFB LB 09/23/19"/>
    <m/>
    <m/>
    <m/>
    <m/>
    <m/>
    <m/>
    <m/>
    <m/>
    <m/>
    <m/>
    <m/>
    <m/>
    <m/>
    <m/>
    <m/>
    <m/>
    <m/>
    <m/>
    <m/>
    <m/>
    <m/>
    <m/>
    <m/>
    <m/>
    <m/>
    <m/>
    <m/>
    <m/>
    <m/>
    <m/>
    <m/>
    <m/>
    <m/>
    <m/>
    <m/>
    <m/>
    <m/>
    <m/>
    <m/>
    <m/>
    <m/>
    <m/>
    <m/>
    <m/>
    <m/>
    <m/>
    <m/>
    <m/>
    <m/>
    <m/>
    <m/>
    <m/>
    <m/>
    <m/>
    <m/>
    <m/>
  </r>
  <r>
    <s v="111 - Canada"/>
    <d v="2026-04-28T00:00:00"/>
    <s v="APRIL"/>
    <n v="2026"/>
    <x v="0"/>
    <s v="Deposited"/>
    <s v="PMT-S130-48216"/>
    <s v=""/>
    <s v="CAD"/>
    <n v="-67808.679999999993"/>
    <n v="-49625.781999999999"/>
    <n v="49625.781999999999"/>
    <n v="-91511.6"/>
    <s v="DUMMY CUSTOMER_CASHAPPS 111 - Canada"/>
    <s v=""/>
    <s v="ACH: THE CURRENCY CL  THE CURRENCY CLOUD LIMITED RE:Meltwater News Canada Inc"/>
    <m/>
    <m/>
    <m/>
    <m/>
    <m/>
    <m/>
    <m/>
    <m/>
    <m/>
    <m/>
    <m/>
    <m/>
    <m/>
    <m/>
    <m/>
    <m/>
    <m/>
    <m/>
    <m/>
    <m/>
    <m/>
    <m/>
    <m/>
    <m/>
    <m/>
    <m/>
    <m/>
    <m/>
    <m/>
    <m/>
    <m/>
    <m/>
    <m/>
    <m/>
    <m/>
    <m/>
    <m/>
    <m/>
    <m/>
    <m/>
    <m/>
    <m/>
    <m/>
    <m/>
    <m/>
    <m/>
    <m/>
    <m/>
    <m/>
    <m/>
    <m/>
    <m/>
    <m/>
    <m/>
    <m/>
    <m/>
  </r>
  <r>
    <s v="111 - Canada"/>
    <d v="2022-12-19T00:00:00"/>
    <s v="DECEMBER"/>
    <n v="2022"/>
    <x v="0"/>
    <s v="Deposited"/>
    <s v="PMT-S130-38086"/>
    <s v=""/>
    <s v="CAD"/>
    <n v="-29267"/>
    <n v="-21419.054"/>
    <n v="21419.054"/>
    <n v="-91511.6"/>
    <s v="DUMMY CUSTOMER_CASHAPPS 111 - Canada"/>
    <s v=""/>
    <s v="CAMBRIDGE MERC MSP EF0160001001957000000163"/>
    <m/>
    <m/>
    <m/>
    <m/>
    <m/>
    <m/>
    <m/>
    <m/>
    <m/>
    <m/>
    <m/>
    <m/>
    <m/>
    <m/>
    <m/>
    <m/>
    <m/>
    <m/>
    <m/>
    <m/>
    <m/>
    <m/>
    <m/>
    <m/>
    <m/>
    <m/>
    <m/>
    <m/>
    <m/>
    <m/>
    <m/>
    <m/>
    <m/>
    <m/>
    <m/>
    <m/>
    <m/>
    <m/>
    <m/>
    <m/>
    <m/>
    <m/>
    <m/>
    <m/>
    <m/>
    <m/>
    <m/>
    <m/>
    <m/>
    <m/>
    <m/>
    <m/>
    <m/>
    <m/>
    <m/>
    <m/>
  </r>
  <r>
    <s v="111 - Canada"/>
    <d v="2024-10-01T00:00:00"/>
    <s v="OCTOBER"/>
    <n v="2024"/>
    <x v="0"/>
    <s v="Deposited"/>
    <s v="PMT-S130-44262"/>
    <s v=""/>
    <s v="CAD"/>
    <n v="-13625.94"/>
    <n v="-9972.1440000000002"/>
    <n v="9972.1440000000002"/>
    <n v="-91511.6"/>
    <s v="DUMMY CUSTOMER_CASHAPPS 111 - Canada"/>
    <s v=""/>
    <s v="RBC payment - FUNDS TRANSFER CR TT CREDIT ALLIA"/>
    <m/>
    <m/>
    <m/>
    <m/>
    <m/>
    <m/>
    <m/>
    <m/>
    <m/>
    <m/>
    <m/>
    <m/>
    <m/>
    <m/>
    <m/>
    <m/>
    <m/>
    <m/>
    <m/>
    <m/>
    <m/>
    <m/>
    <m/>
    <m/>
    <m/>
    <m/>
    <m/>
    <m/>
    <m/>
    <m/>
    <m/>
    <m/>
    <m/>
    <m/>
    <m/>
    <m/>
    <m/>
    <m/>
    <m/>
    <m/>
    <m/>
    <m/>
    <m/>
    <m/>
    <m/>
    <m/>
    <m/>
    <m/>
    <m/>
    <m/>
    <m/>
    <m/>
    <m/>
    <m/>
    <m/>
    <m/>
  </r>
  <r>
    <s v="111 - Canada"/>
    <d v="2023-09-15T00:00:00"/>
    <s v="SEPTEMBER"/>
    <n v="2023"/>
    <x v="0"/>
    <s v="Deposited"/>
    <s v="PMT-S130-40790"/>
    <s v=""/>
    <s v="CAD"/>
    <n v="-13581.43"/>
    <n v="-9939.57"/>
    <n v="9939.57"/>
    <n v="-9939.57"/>
    <s v="Réseau de Transport de Longueuil (RTL Longueuil )"/>
    <s v=""/>
    <s v="RTL MSP EF0160006100824168476747"/>
    <m/>
    <m/>
    <m/>
    <m/>
    <m/>
    <m/>
    <m/>
    <m/>
    <m/>
    <m/>
    <m/>
    <m/>
    <m/>
    <m/>
    <m/>
    <m/>
    <m/>
    <m/>
    <m/>
    <m/>
    <m/>
    <m/>
    <m/>
    <m/>
    <m/>
    <m/>
    <m/>
    <m/>
    <m/>
    <m/>
    <m/>
    <m/>
    <m/>
    <m/>
    <m/>
    <m/>
    <m/>
    <m/>
    <m/>
    <m/>
    <m/>
    <m/>
    <m/>
    <m/>
    <m/>
    <m/>
    <m/>
    <m/>
    <m/>
    <m/>
    <m/>
    <m/>
    <m/>
    <m/>
    <m/>
    <m/>
  </r>
  <r>
    <s v="111 - Canada"/>
    <d v="2022-10-20T00:00:00"/>
    <s v="OCTOBER"/>
    <n v="2022"/>
    <x v="0"/>
    <s v="Deposited"/>
    <s v="PMT-S130-37439"/>
    <s v=""/>
    <s v="CAD"/>
    <n v="-10774.31"/>
    <n v="-7885.1790000000001"/>
    <n v="7885.1790000000001"/>
    <n v="-7885.1790000000001"/>
    <s v="Telus Health"/>
    <s v=""/>
    <s v="012588888708AQT MSP EF0160001001679000001402-IN-S130-441322 got credited &amp; paid"/>
    <m/>
    <m/>
    <m/>
    <m/>
    <m/>
    <m/>
    <m/>
    <m/>
    <m/>
    <m/>
    <m/>
    <m/>
    <m/>
    <m/>
    <m/>
    <m/>
    <m/>
    <m/>
    <m/>
    <m/>
    <m/>
    <m/>
    <m/>
    <m/>
    <m/>
    <m/>
    <m/>
    <m/>
    <m/>
    <m/>
    <m/>
    <m/>
    <m/>
    <m/>
    <m/>
    <m/>
    <m/>
    <m/>
    <m/>
    <m/>
    <m/>
    <m/>
    <m/>
    <m/>
    <m/>
    <m/>
    <m/>
    <m/>
    <m/>
    <m/>
    <m/>
    <m/>
    <m/>
    <m/>
    <m/>
    <m/>
  </r>
  <r>
    <s v="111 - Canada"/>
    <d v="2022-05-02T00:00:00"/>
    <s v="MAY"/>
    <n v="2022"/>
    <x v="0"/>
    <s v="Deposited"/>
    <s v="PMT-S130-35709"/>
    <s v=""/>
    <s v="CAD"/>
    <n v="-10735"/>
    <n v="-7856.41"/>
    <n v="7856.41"/>
    <n v="-7856.41"/>
    <s v="Tilray"/>
    <s v=""/>
    <s v="lockbox"/>
    <m/>
    <m/>
    <m/>
    <m/>
    <m/>
    <m/>
    <m/>
    <m/>
    <m/>
    <m/>
    <m/>
    <m/>
    <m/>
    <m/>
    <m/>
    <m/>
    <m/>
    <m/>
    <m/>
    <m/>
    <m/>
    <m/>
    <m/>
    <m/>
    <m/>
    <m/>
    <m/>
    <m/>
    <m/>
    <m/>
    <m/>
    <m/>
    <m/>
    <m/>
    <m/>
    <m/>
    <m/>
    <m/>
    <m/>
    <m/>
    <m/>
    <m/>
    <m/>
    <m/>
    <m/>
    <m/>
    <m/>
    <m/>
    <m/>
    <m/>
    <m/>
    <m/>
    <m/>
    <m/>
    <m/>
    <m/>
  </r>
  <r>
    <s v="111 - Canada"/>
    <d v="2024-06-03T00:00:00"/>
    <s v="JUNE"/>
    <n v="2024"/>
    <x v="0"/>
    <s v="Deposited"/>
    <s v="PMT-S130-43381"/>
    <s v=""/>
    <s v="CAD"/>
    <n v="-10636.09"/>
    <n v="-7784.0219999999999"/>
    <n v="7784.0219999999999"/>
    <n v="-91511.6"/>
    <s v="DUMMY CUSTOMER_CASHAPPS 111 - Canada"/>
    <s v=""/>
    <s v="RBC payment - 4/8/24 FUNDS TRANSFER CR TT BIRD TREASUR"/>
    <m/>
    <m/>
    <m/>
    <m/>
    <m/>
    <m/>
    <m/>
    <m/>
    <m/>
    <m/>
    <m/>
    <m/>
    <m/>
    <m/>
    <m/>
    <m/>
    <m/>
    <m/>
    <m/>
    <m/>
    <m/>
    <m/>
    <m/>
    <m/>
    <m/>
    <m/>
    <m/>
    <m/>
    <m/>
    <m/>
    <m/>
    <m/>
    <m/>
    <m/>
    <m/>
    <m/>
    <m/>
    <m/>
    <m/>
    <m/>
    <m/>
    <m/>
    <m/>
    <m/>
    <m/>
    <m/>
    <m/>
    <m/>
    <m/>
    <m/>
    <m/>
    <m/>
    <m/>
    <m/>
    <m/>
    <m/>
  </r>
  <r>
    <s v="111 - Canada"/>
    <d v="2026-03-05T00:00:00"/>
    <s v="MARCH"/>
    <n v="2026"/>
    <x v="0"/>
    <s v="Deposited"/>
    <s v="PMT-S130-47858"/>
    <s v="IN-S130-455520"/>
    <s v="CAD"/>
    <n v="-100341.4"/>
    <n v="-73434.854000000007"/>
    <n v="7456.0659999999998"/>
    <n v="-7456.0659999999998"/>
    <s v="Lululemon Athletica Canada Inc"/>
    <s v="Jordan Irvine"/>
    <s v="LULULEMON ATHLETICA CANADA INC."/>
    <m/>
    <m/>
    <m/>
    <m/>
    <m/>
    <m/>
    <m/>
    <m/>
    <m/>
    <m/>
    <m/>
    <m/>
    <m/>
    <m/>
    <m/>
    <m/>
    <m/>
    <m/>
    <m/>
    <m/>
    <m/>
    <m/>
    <m/>
    <m/>
    <m/>
    <m/>
    <m/>
    <m/>
    <m/>
    <m/>
    <m/>
    <m/>
    <m/>
    <m/>
    <m/>
    <m/>
    <m/>
    <m/>
    <m/>
    <m/>
    <m/>
    <m/>
    <m/>
    <m/>
    <m/>
    <m/>
    <m/>
    <m/>
    <m/>
    <m/>
    <m/>
    <m/>
    <m/>
    <m/>
    <m/>
    <m/>
  </r>
  <r>
    <s v="111 - Canada"/>
    <d v="2022-11-30T00:00:00"/>
    <s v="NOVEMBER"/>
    <n v="2022"/>
    <x v="0"/>
    <s v="Deposited"/>
    <s v="PMT-S130-37873"/>
    <s v="IN-S130-444455"/>
    <s v="CAD"/>
    <n v="-9802.75"/>
    <n v="-7174.143"/>
    <n v="6698.6229999999996"/>
    <n v="-6698.6229999999996"/>
    <s v="Astrazeneca Canada Inc"/>
    <s v="Frida Emri"/>
    <s v="ASTRAZENECA CAN MSP EF0160003008615316917328"/>
    <m/>
    <m/>
    <m/>
    <m/>
    <m/>
    <m/>
    <m/>
    <m/>
    <m/>
    <m/>
    <m/>
    <m/>
    <m/>
    <m/>
    <m/>
    <m/>
    <m/>
    <m/>
    <m/>
    <m/>
    <m/>
    <m/>
    <m/>
    <m/>
    <m/>
    <m/>
    <m/>
    <m/>
    <m/>
    <m/>
    <m/>
    <m/>
    <m/>
    <m/>
    <m/>
    <m/>
    <m/>
    <m/>
    <m/>
    <m/>
    <m/>
    <m/>
    <m/>
    <m/>
    <m/>
    <m/>
    <m/>
    <m/>
    <m/>
    <m/>
    <m/>
    <m/>
    <m/>
    <m/>
    <m/>
    <m/>
  </r>
  <r>
    <s v="111 - Canada"/>
    <d v="2023-07-27T00:00:00"/>
    <s v="JULY"/>
    <n v="2023"/>
    <x v="0"/>
    <s v="Deposited"/>
    <s v="PMT-S130-40348"/>
    <s v=""/>
    <s v="CAD"/>
    <n v="-8638.56"/>
    <n v="-6322.13"/>
    <n v="6322.13"/>
    <n v="-6322.13"/>
    <s v="DP World"/>
    <s v="Frida Emri"/>
    <s v="DP World (Canad INS EF0160002208761829087989"/>
    <m/>
    <m/>
    <m/>
    <m/>
    <m/>
    <m/>
    <m/>
    <m/>
    <m/>
    <m/>
    <m/>
    <m/>
    <m/>
    <m/>
    <m/>
    <m/>
    <m/>
    <m/>
    <m/>
    <m/>
    <m/>
    <m/>
    <m/>
    <m/>
    <m/>
    <m/>
    <m/>
    <m/>
    <m/>
    <m/>
    <m/>
    <m/>
    <m/>
    <m/>
    <m/>
    <m/>
    <m/>
    <m/>
    <m/>
    <m/>
    <m/>
    <m/>
    <m/>
    <m/>
    <m/>
    <m/>
    <m/>
    <m/>
    <m/>
    <m/>
    <m/>
    <m/>
    <m/>
    <m/>
    <m/>
    <m/>
  </r>
  <r>
    <s v="111 - Canada"/>
    <d v="2025-11-26T00:00:00"/>
    <s v="NOVEMBER"/>
    <n v="2025"/>
    <x v="0"/>
    <s v="Not Deposited"/>
    <s v="PMT-S130-47072"/>
    <s v=""/>
    <s v="CAD"/>
    <n v="-5750"/>
    <n v="-4208.1379999999999"/>
    <n v="4208.1379999999999"/>
    <n v="-4208.1379999999999"/>
    <s v="Maple Leafs Sports &amp; Entertainment - MLSE"/>
    <s v="Jordan Irvine"/>
    <s v="Account Payable Pmt MLS LTD"/>
    <m/>
    <m/>
    <m/>
    <m/>
    <m/>
    <m/>
    <m/>
    <m/>
    <m/>
    <m/>
    <m/>
    <m/>
    <m/>
    <m/>
    <m/>
    <m/>
    <m/>
    <m/>
    <m/>
    <m/>
    <m/>
    <m/>
    <m/>
    <m/>
    <m/>
    <m/>
    <m/>
    <m/>
    <m/>
    <m/>
    <m/>
    <m/>
    <m/>
    <m/>
    <m/>
    <m/>
    <m/>
    <m/>
    <m/>
    <m/>
    <m/>
    <m/>
    <m/>
    <m/>
    <m/>
    <m/>
    <m/>
    <m/>
    <m/>
    <m/>
    <m/>
    <m/>
    <m/>
    <m/>
    <m/>
    <m/>
  </r>
  <r>
    <s v="111 - Canada"/>
    <d v="2022-12-05T00:00:00"/>
    <s v="DECEMBER"/>
    <n v="2022"/>
    <x v="0"/>
    <s v="Deposited"/>
    <s v="PMT-S130-37935"/>
    <s v="PMT-S130-37935"/>
    <s v="CAD"/>
    <n v="-3955"/>
    <n v="-2894.4670000000001"/>
    <n v="2894.4670000000001"/>
    <n v="-2894.4670000000001"/>
    <s v="Celiac Canada"/>
    <s v=""/>
    <s v="THE CANADIAN CE AP EF0160002208134539496580"/>
    <m/>
    <m/>
    <m/>
    <m/>
    <m/>
    <m/>
    <m/>
    <m/>
    <m/>
    <m/>
    <m/>
    <m/>
    <m/>
    <m/>
    <m/>
    <m/>
    <m/>
    <m/>
    <m/>
    <m/>
    <m/>
    <m/>
    <m/>
    <m/>
    <m/>
    <m/>
    <m/>
    <m/>
    <m/>
    <m/>
    <m/>
    <m/>
    <m/>
    <m/>
    <m/>
    <m/>
    <m/>
    <m/>
    <m/>
    <m/>
    <m/>
    <m/>
    <m/>
    <m/>
    <m/>
    <m/>
    <m/>
    <m/>
    <m/>
    <m/>
    <m/>
    <m/>
    <m/>
    <m/>
    <m/>
    <m/>
  </r>
  <r>
    <s v="111 - Canada"/>
    <d v="2026-04-08T00:00:00"/>
    <s v="APRIL"/>
    <n v="2026"/>
    <x v="0"/>
    <s v="Deposited"/>
    <s v="PMT-S130-48077"/>
    <s v="IN-S130-455935"/>
    <s v="CAD"/>
    <n v="-13701.25"/>
    <n v="-10027.26"/>
    <n v="2104.6909999999998"/>
    <n v="-2104.6909999999998"/>
    <s v="Weber Shandwick"/>
    <s v="Frida Emri"/>
    <s v="ACH: Weber Shandwick  WEBER SHANDWICK CAN RE:MELTWATER NEWS CANADA INC"/>
    <m/>
    <m/>
    <m/>
    <m/>
    <m/>
    <m/>
    <m/>
    <m/>
    <m/>
    <m/>
    <m/>
    <m/>
    <m/>
    <m/>
    <m/>
    <m/>
    <m/>
    <m/>
    <m/>
    <m/>
    <m/>
    <m/>
    <m/>
    <m/>
    <m/>
    <m/>
    <m/>
    <m/>
    <m/>
    <m/>
    <m/>
    <m/>
    <m/>
    <m/>
    <m/>
    <m/>
    <m/>
    <m/>
    <m/>
    <m/>
    <m/>
    <m/>
    <m/>
    <m/>
    <m/>
    <m/>
    <m/>
    <m/>
    <m/>
    <m/>
    <m/>
    <m/>
    <m/>
    <m/>
    <m/>
    <m/>
  </r>
  <r>
    <s v="111 - Canada"/>
    <d v="2023-01-06T00:00:00"/>
    <s v="JANUARY"/>
    <n v="2023"/>
    <x v="0"/>
    <s v="Deposited"/>
    <s v="PMT-S130-38266"/>
    <s v=""/>
    <s v="CAD"/>
    <n v="-2475.21"/>
    <n v="-1811.482"/>
    <n v="1811.482"/>
    <n v="26877.038"/>
    <s v="City of Richmond"/>
    <s v="Frida Emri"/>
    <s v="CITYOFRICHMOND AP EF0160002208335637701949"/>
    <m/>
    <m/>
    <m/>
    <m/>
    <m/>
    <m/>
    <m/>
    <m/>
    <m/>
    <m/>
    <m/>
    <m/>
    <m/>
    <m/>
    <m/>
    <m/>
    <m/>
    <m/>
    <m/>
    <m/>
    <m/>
    <m/>
    <m/>
    <m/>
    <m/>
    <m/>
    <m/>
    <m/>
    <m/>
    <m/>
    <m/>
    <m/>
    <m/>
    <m/>
    <m/>
    <m/>
    <m/>
    <m/>
    <m/>
    <m/>
    <m/>
    <m/>
    <m/>
    <m/>
    <m/>
    <m/>
    <m/>
    <m/>
    <m/>
    <m/>
    <m/>
    <m/>
    <m/>
    <m/>
    <m/>
    <m/>
  </r>
  <r>
    <s v="111 - Canada"/>
    <d v="2025-12-04T00:00:00"/>
    <s v="DECEMBER"/>
    <n v="2025"/>
    <x v="0"/>
    <s v="Deposited"/>
    <s v="PMT-S130-47145"/>
    <s v="IN-S130-454756"/>
    <s v="CAD"/>
    <n v="-8335.69"/>
    <n v="-6100.4750000000004"/>
    <n v="1682.8889999999999"/>
    <n v="-1682.8889999999999"/>
    <s v="ABB Electrification Inc."/>
    <s v=""/>
    <s v="ACH: ABB Inc  ABB INC RE:MELTWATER NEWS CANADA INC"/>
    <m/>
    <m/>
    <m/>
    <m/>
    <m/>
    <m/>
    <m/>
    <m/>
    <m/>
    <m/>
    <m/>
    <m/>
    <m/>
    <m/>
    <m/>
    <m/>
    <m/>
    <m/>
    <m/>
    <m/>
    <m/>
    <m/>
    <m/>
    <m/>
    <m/>
    <m/>
    <m/>
    <m/>
    <m/>
    <m/>
    <m/>
    <m/>
    <m/>
    <m/>
    <m/>
    <m/>
    <m/>
    <m/>
    <m/>
    <m/>
    <m/>
    <m/>
    <m/>
    <m/>
    <m/>
    <m/>
    <m/>
    <m/>
    <m/>
    <m/>
    <m/>
    <m/>
    <m/>
    <m/>
    <m/>
    <m/>
  </r>
  <r>
    <s v="111 - Canada"/>
    <d v="2022-04-08T00:00:00"/>
    <s v="APRIL"/>
    <n v="2022"/>
    <x v="0"/>
    <s v="Deposited"/>
    <s v="PMT-S130-35445"/>
    <s v="IN-S130-442685"/>
    <s v="CAD"/>
    <n v="-29893.5"/>
    <n v="-21877.558000000001"/>
    <n v="1472.5260000000001"/>
    <n v="-1472.5260000000001"/>
    <s v="CISSS de la Montérégie Est"/>
    <s v=""/>
    <s v="CISSSME MSP EF0160006108299867361615"/>
    <m/>
    <m/>
    <m/>
    <m/>
    <m/>
    <m/>
    <m/>
    <m/>
    <m/>
    <m/>
    <m/>
    <m/>
    <m/>
    <m/>
    <m/>
    <m/>
    <m/>
    <m/>
    <m/>
    <m/>
    <m/>
    <m/>
    <m/>
    <m/>
    <m/>
    <m/>
    <m/>
    <m/>
    <m/>
    <m/>
    <m/>
    <m/>
    <m/>
    <m/>
    <m/>
    <m/>
    <m/>
    <m/>
    <m/>
    <m/>
    <m/>
    <m/>
    <m/>
    <m/>
    <m/>
    <m/>
    <m/>
    <m/>
    <m/>
    <m/>
    <m/>
    <m/>
    <m/>
    <m/>
    <m/>
    <m/>
  </r>
  <r>
    <s v="111 - Canada"/>
    <d v="2026-03-19T00:00:00"/>
    <s v="MARCH"/>
    <n v="2026"/>
    <x v="0"/>
    <s v="Deposited"/>
    <s v="PMT-S130-47941"/>
    <s v=""/>
    <s v="CAD"/>
    <n v="-1582"/>
    <n v="-1157.787"/>
    <n v="1157.787"/>
    <n v="-1157.787"/>
    <s v="Salt Experiential Commerce, Inc"/>
    <s v=""/>
    <s v="Salt Experienti"/>
    <m/>
    <m/>
    <m/>
    <m/>
    <m/>
    <m/>
    <m/>
    <m/>
    <m/>
    <m/>
    <m/>
    <m/>
    <m/>
    <m/>
    <m/>
    <m/>
    <m/>
    <m/>
    <m/>
    <m/>
    <m/>
    <m/>
    <m/>
    <m/>
    <m/>
    <m/>
    <m/>
    <m/>
    <m/>
    <m/>
    <m/>
    <m/>
    <m/>
    <m/>
    <m/>
    <m/>
    <m/>
    <m/>
    <m/>
    <m/>
    <m/>
    <m/>
    <m/>
    <m/>
    <m/>
    <m/>
    <m/>
    <m/>
    <m/>
    <m/>
    <m/>
    <m/>
    <m/>
    <m/>
    <m/>
    <m/>
  </r>
  <r>
    <s v="111 - Canada"/>
    <d v="2022-12-20T00:00:00"/>
    <s v="DECEMBER"/>
    <n v="2022"/>
    <x v="0"/>
    <s v="Deposited"/>
    <s v="PMT-S130-38101"/>
    <s v=""/>
    <s v="CAD"/>
    <n v="-1271.25"/>
    <n v="-930.36400000000003"/>
    <n v="930.36400000000003"/>
    <n v="-930.36400000000003"/>
    <s v="Ottawa Jazz Festival"/>
    <s v="Jordan Irvine"/>
    <s v="Ottawa Jazz Fes MSP EF0160003008657314025383"/>
    <m/>
    <m/>
    <m/>
    <m/>
    <m/>
    <m/>
    <m/>
    <m/>
    <m/>
    <m/>
    <m/>
    <m/>
    <m/>
    <m/>
    <m/>
    <m/>
    <m/>
    <m/>
    <m/>
    <m/>
    <m/>
    <m/>
    <m/>
    <m/>
    <m/>
    <m/>
    <m/>
    <m/>
    <m/>
    <m/>
    <m/>
    <m/>
    <m/>
    <m/>
    <m/>
    <m/>
    <m/>
    <m/>
    <m/>
    <m/>
    <m/>
    <m/>
    <m/>
    <m/>
    <m/>
    <m/>
    <m/>
    <m/>
    <m/>
    <m/>
    <m/>
    <m/>
    <m/>
    <m/>
    <m/>
    <m/>
  </r>
  <r>
    <s v="111 - Canada"/>
    <d v="2024-06-03T00:00:00"/>
    <s v="JUNE"/>
    <n v="2024"/>
    <x v="0"/>
    <s v="Deposited"/>
    <s v="PMT-S130-43382"/>
    <s v=""/>
    <s v="CAD"/>
    <n v="-1112.08"/>
    <n v="-813.87599999999998"/>
    <n v="813.87599999999998"/>
    <n v="-91511.6"/>
    <s v="DUMMY CUSTOMER_CASHAPPS 111 - Canada"/>
    <s v=""/>
    <s v="RBC payment -4/8/24 FUNDS TRANSFER CR TT FORM ATHLETI"/>
    <m/>
    <m/>
    <m/>
    <m/>
    <m/>
    <m/>
    <m/>
    <m/>
    <m/>
    <m/>
    <m/>
    <m/>
    <m/>
    <m/>
    <m/>
    <m/>
    <m/>
    <m/>
    <m/>
    <m/>
    <m/>
    <m/>
    <m/>
    <m/>
    <m/>
    <m/>
    <m/>
    <m/>
    <m/>
    <m/>
    <m/>
    <m/>
    <m/>
    <m/>
    <m/>
    <m/>
    <m/>
    <m/>
    <m/>
    <m/>
    <m/>
    <m/>
    <m/>
    <m/>
    <m/>
    <m/>
    <m/>
    <m/>
    <m/>
    <m/>
    <m/>
    <m/>
    <m/>
    <m/>
    <m/>
    <m/>
  </r>
  <r>
    <s v="111 - Canada"/>
    <d v="2025-05-28T00:00:00"/>
    <s v="MAY"/>
    <n v="2025"/>
    <x v="0"/>
    <s v="Deposited"/>
    <s v="PMT-S130-45900"/>
    <s v=""/>
    <s v="CAD"/>
    <n v="-923"/>
    <n v="-675.49800000000005"/>
    <n v="675.49800000000005"/>
    <n v="-91511.6"/>
    <s v="DUMMY CUSTOMER_CASHAPPS 111 - Canada"/>
    <s v=""/>
    <s v="Funds transfer credit TT PHEENIX USH"/>
    <m/>
    <m/>
    <m/>
    <m/>
    <m/>
    <m/>
    <m/>
    <m/>
    <m/>
    <m/>
    <m/>
    <m/>
    <m/>
    <m/>
    <m/>
    <m/>
    <m/>
    <m/>
    <m/>
    <m/>
    <m/>
    <m/>
    <m/>
    <m/>
    <m/>
    <m/>
    <m/>
    <m/>
    <m/>
    <m/>
    <m/>
    <m/>
    <m/>
    <m/>
    <m/>
    <m/>
    <m/>
    <m/>
    <m/>
    <m/>
    <m/>
    <m/>
    <m/>
    <m/>
    <m/>
    <m/>
    <m/>
    <m/>
    <m/>
    <m/>
    <m/>
    <m/>
    <m/>
    <m/>
    <m/>
    <m/>
  </r>
  <r>
    <s v="111 - Canada"/>
    <d v="2025-11-20T00:00:00"/>
    <s v="NOVEMBER"/>
    <n v="2025"/>
    <x v="0"/>
    <s v="Deposited"/>
    <s v="PMT-S130-47032"/>
    <s v=""/>
    <s v="CAD"/>
    <n v="-768.4"/>
    <n v="-562.35400000000004"/>
    <n v="562.35400000000004"/>
    <n v="-562.35400000000004"/>
    <s v="Skyjack"/>
    <s v=""/>
    <s v="Lockbox"/>
    <m/>
    <m/>
    <m/>
    <m/>
    <m/>
    <m/>
    <m/>
    <m/>
    <m/>
    <m/>
    <m/>
    <m/>
    <m/>
    <m/>
    <m/>
    <m/>
    <m/>
    <m/>
    <m/>
    <m/>
    <m/>
    <m/>
    <m/>
    <m/>
    <m/>
    <m/>
    <m/>
    <m/>
    <m/>
    <m/>
    <m/>
    <m/>
    <m/>
    <m/>
    <m/>
    <m/>
    <m/>
    <m/>
    <m/>
    <m/>
    <m/>
    <m/>
    <m/>
    <m/>
    <m/>
    <m/>
    <m/>
    <m/>
    <m/>
    <m/>
    <m/>
    <m/>
    <m/>
    <m/>
    <m/>
    <m/>
  </r>
  <r>
    <s v="111 - Canada"/>
    <d v="2023-10-19T00:00:00"/>
    <s v="OCTOBER"/>
    <n v="2023"/>
    <x v="0"/>
    <s v="Deposited"/>
    <s v="PMT-S130-41110"/>
    <s v=""/>
    <s v="CAD"/>
    <n v="-600"/>
    <n v="-439.11"/>
    <n v="439.11"/>
    <n v="-439.11"/>
    <s v="QSL"/>
    <s v=""/>
    <s v="CAQ MSP EF0160006100981189087805"/>
    <m/>
    <m/>
    <m/>
    <m/>
    <m/>
    <m/>
    <m/>
    <m/>
    <m/>
    <m/>
    <m/>
    <m/>
    <m/>
    <m/>
    <m/>
    <m/>
    <m/>
    <m/>
    <m/>
    <m/>
    <m/>
    <m/>
    <m/>
    <m/>
    <m/>
    <m/>
    <m/>
    <m/>
    <m/>
    <m/>
    <m/>
    <m/>
    <m/>
    <m/>
    <m/>
    <m/>
    <m/>
    <m/>
    <m/>
    <m/>
    <m/>
    <m/>
    <m/>
    <m/>
    <m/>
    <m/>
    <m/>
    <m/>
    <m/>
    <m/>
    <m/>
    <m/>
    <m/>
    <m/>
    <m/>
    <m/>
  </r>
  <r>
    <s v="111 - Canada"/>
    <d v="2024-12-04T00:00:00"/>
    <s v="DECEMBER"/>
    <n v="2024"/>
    <x v="0"/>
    <s v="Deposited"/>
    <s v="PMT-S130-44580"/>
    <s v="IN-S130-452247"/>
    <s v="CAD"/>
    <n v="-1895.04"/>
    <n v="-1386.885"/>
    <n v="403.279"/>
    <n v="-403.279"/>
    <s v="The Mark Anthony Group of Companies"/>
    <s v=""/>
    <s v="ACH CONCENTRATION CREDIT ACH CASH CONCENTRATION MARK ANTHONY GRO-AP PAYMENT MARK ANTH AP PAYMENT 00078186"/>
    <m/>
    <m/>
    <m/>
    <m/>
    <m/>
    <m/>
    <m/>
    <m/>
    <m/>
    <m/>
    <m/>
    <m/>
    <m/>
    <m/>
    <m/>
    <m/>
    <m/>
    <m/>
    <m/>
    <m/>
    <m/>
    <m/>
    <m/>
    <m/>
    <m/>
    <m/>
    <m/>
    <m/>
    <m/>
    <m/>
    <m/>
    <m/>
    <m/>
    <m/>
    <m/>
    <m/>
    <m/>
    <m/>
    <m/>
    <m/>
    <m/>
    <m/>
    <m/>
    <m/>
    <m/>
    <m/>
    <m/>
    <m/>
    <m/>
    <m/>
    <m/>
    <m/>
    <m/>
    <m/>
    <m/>
    <m/>
  </r>
  <r>
    <s v="111 - Canada"/>
    <d v="2023-03-31T00:00:00"/>
    <s v="MARCH"/>
    <n v="2023"/>
    <x v="0"/>
    <s v="Deposited"/>
    <s v="PMT-S130-39183"/>
    <s v="IN-S130-446514"/>
    <s v="CAD"/>
    <n v="-1035.82"/>
    <n v="-758.06500000000005"/>
    <n v="379.03199999999998"/>
    <n v="-379.03199999999998"/>
    <s v="Parachute"/>
    <s v="Frida Emri"/>
    <s v="PARACHUTE LEADE BPY EF0160004208924881147576"/>
    <m/>
    <m/>
    <m/>
    <m/>
    <m/>
    <m/>
    <m/>
    <m/>
    <m/>
    <m/>
    <m/>
    <m/>
    <m/>
    <m/>
    <m/>
    <m/>
    <m/>
    <m/>
    <m/>
    <m/>
    <m/>
    <m/>
    <m/>
    <m/>
    <m/>
    <m/>
    <m/>
    <m/>
    <m/>
    <m/>
    <m/>
    <m/>
    <m/>
    <m/>
    <m/>
    <m/>
    <m/>
    <m/>
    <m/>
    <m/>
    <m/>
    <m/>
    <m/>
    <m/>
    <m/>
    <m/>
    <m/>
    <m/>
    <m/>
    <m/>
    <m/>
    <m/>
    <m/>
    <m/>
    <m/>
    <m/>
  </r>
  <r>
    <s v="111 - Canada"/>
    <d v="2026-04-01T00:00:00"/>
    <s v="APRIL"/>
    <n v="2026"/>
    <x v="0"/>
    <s v="Deposited"/>
    <s v="PMT-S130-48041"/>
    <s v="IN-S130-456017"/>
    <s v="CAD"/>
    <n v="-6934.09"/>
    <n v="-5074.7139999999999"/>
    <n v="220.631"/>
    <n v="-220.631"/>
    <s v="Wellington Altus Private Wealth"/>
    <s v=""/>
    <s v="ACH: WELLINGTONALTUS  WELLINGTONALTUSPRIVATEWEALTH RE:MELTWATER NEWS CANADA INC"/>
    <m/>
    <m/>
    <m/>
    <m/>
    <m/>
    <m/>
    <m/>
    <m/>
    <m/>
    <m/>
    <m/>
    <m/>
    <m/>
    <m/>
    <m/>
    <m/>
    <m/>
    <m/>
    <m/>
    <m/>
    <m/>
    <m/>
    <m/>
    <m/>
    <m/>
    <m/>
    <m/>
    <m/>
    <m/>
    <m/>
    <m/>
    <m/>
    <m/>
    <m/>
    <m/>
    <m/>
    <m/>
    <m/>
    <m/>
    <m/>
    <m/>
    <m/>
    <m/>
    <m/>
    <m/>
    <m/>
    <m/>
    <m/>
    <m/>
    <m/>
    <m/>
    <m/>
    <m/>
    <m/>
    <m/>
    <m/>
  </r>
  <r>
    <s v="111 - Canada"/>
    <d v="2023-05-19T00:00:00"/>
    <s v="MAY"/>
    <n v="2023"/>
    <x v="0"/>
    <s v="Deposited"/>
    <s v="PMT-S130-39733"/>
    <s v=""/>
    <s v="CAD"/>
    <n v="-297.10000000000002"/>
    <n v="-217.43299999999999"/>
    <n v="217.43299999999999"/>
    <n v="-91511.6"/>
    <s v="DUMMY CUSTOMER_CASHAPPS 111 - Canada"/>
    <s v=""/>
    <s v="CANADA FED EF0160177002542776000011"/>
    <m/>
    <m/>
    <m/>
    <m/>
    <m/>
    <m/>
    <m/>
    <m/>
    <m/>
    <m/>
    <m/>
    <m/>
    <m/>
    <m/>
    <m/>
    <m/>
    <m/>
    <m/>
    <m/>
    <m/>
    <m/>
    <m/>
    <m/>
    <m/>
    <m/>
    <m/>
    <m/>
    <m/>
    <m/>
    <m/>
    <m/>
    <m/>
    <m/>
    <m/>
    <m/>
    <m/>
    <m/>
    <m/>
    <m/>
    <m/>
    <m/>
    <m/>
    <m/>
    <m/>
    <m/>
    <m/>
    <m/>
    <m/>
    <m/>
    <m/>
    <m/>
    <m/>
    <m/>
    <m/>
    <m/>
    <m/>
  </r>
  <r>
    <s v="111 - Canada"/>
    <d v="2023-02-08T00:00:00"/>
    <s v="FEBRUARY"/>
    <n v="2023"/>
    <x v="0"/>
    <s v="Deposited"/>
    <s v="PMT-S130-38661"/>
    <s v=""/>
    <s v="CAD"/>
    <n v="-259.38"/>
    <n v="-189.827"/>
    <n v="189.827"/>
    <n v="-91511.6"/>
    <s v="DUMMY CUSTOMER_CASHAPPS 111 - Canada"/>
    <s v=""/>
    <s v="CANADA FED EF0160177002328776000061"/>
    <m/>
    <m/>
    <m/>
    <m/>
    <m/>
    <m/>
    <m/>
    <m/>
    <m/>
    <m/>
    <m/>
    <m/>
    <m/>
    <m/>
    <m/>
    <m/>
    <m/>
    <m/>
    <m/>
    <m/>
    <m/>
    <m/>
    <m/>
    <m/>
    <m/>
    <m/>
    <m/>
    <m/>
    <m/>
    <m/>
    <m/>
    <m/>
    <m/>
    <m/>
    <m/>
    <m/>
    <m/>
    <m/>
    <m/>
    <m/>
    <m/>
    <m/>
    <m/>
    <m/>
    <m/>
    <m/>
    <m/>
    <m/>
    <m/>
    <m/>
    <m/>
    <m/>
    <m/>
    <m/>
    <m/>
    <m/>
  </r>
  <r>
    <s v="111 - Canada"/>
    <d v="2022-04-29T00:00:00"/>
    <s v="APRIL"/>
    <n v="2022"/>
    <x v="0"/>
    <s v="Deposited"/>
    <s v="PMT-S130-35659"/>
    <s v=""/>
    <s v="CAD"/>
    <n v="-196.43"/>
    <n v="-143.75700000000001"/>
    <n v="143.75700000000001"/>
    <n v="-91511.6"/>
    <s v="DUMMY CUSTOMER_CASHAPPS 111 - Canada"/>
    <s v=""/>
    <s v="CANADA FED EF0160177001747776000127"/>
    <m/>
    <m/>
    <m/>
    <m/>
    <m/>
    <m/>
    <m/>
    <m/>
    <m/>
    <m/>
    <m/>
    <m/>
    <m/>
    <m/>
    <m/>
    <m/>
    <m/>
    <m/>
    <m/>
    <m/>
    <m/>
    <m/>
    <m/>
    <m/>
    <m/>
    <m/>
    <m/>
    <m/>
    <m/>
    <m/>
    <m/>
    <m/>
    <m/>
    <m/>
    <m/>
    <m/>
    <m/>
    <m/>
    <m/>
    <m/>
    <m/>
    <m/>
    <m/>
    <m/>
    <m/>
    <m/>
    <m/>
    <m/>
    <m/>
    <m/>
    <m/>
    <m/>
    <m/>
    <m/>
    <m/>
    <m/>
  </r>
  <r>
    <s v="111 - Canada"/>
    <d v="2024-07-25T00:00:00"/>
    <s v="JULY"/>
    <n v="2024"/>
    <x v="0"/>
    <s v="Deposited"/>
    <s v="PMT-S130-43590"/>
    <s v=""/>
    <s v="CAD"/>
    <n v="-179.21"/>
    <n v="-131.155"/>
    <n v="131.155"/>
    <n v="-91511.6"/>
    <s v="DUMMY CUSTOMER_CASHAPPS 111 - Canada"/>
    <s v=""/>
    <s v="CANADA FED EF0160177003433776000024"/>
    <m/>
    <m/>
    <m/>
    <m/>
    <m/>
    <m/>
    <m/>
    <m/>
    <m/>
    <m/>
    <m/>
    <m/>
    <m/>
    <m/>
    <m/>
    <m/>
    <m/>
    <m/>
    <m/>
    <m/>
    <m/>
    <m/>
    <m/>
    <m/>
    <m/>
    <m/>
    <m/>
    <m/>
    <m/>
    <m/>
    <m/>
    <m/>
    <m/>
    <m/>
    <m/>
    <m/>
    <m/>
    <m/>
    <m/>
    <m/>
    <m/>
    <m/>
    <m/>
    <m/>
    <m/>
    <m/>
    <m/>
    <m/>
    <m/>
    <m/>
    <m/>
    <m/>
    <m/>
    <m/>
    <m/>
    <m/>
  </r>
  <r>
    <s v="111 - Canada"/>
    <d v="2023-01-31T00:00:00"/>
    <s v="JANUARY"/>
    <n v="2023"/>
    <x v="0"/>
    <s v="Deposited"/>
    <s v="PMT-S130-38566"/>
    <s v="IN-S130-445527"/>
    <s v="CAD"/>
    <n v="-1300.01"/>
    <n v="-951.41200000000003"/>
    <n v="124.41500000000001"/>
    <n v="-124.41500000000001"/>
    <s v="Jason Plotz"/>
    <s v="Frida Emri"/>
    <s v="lockbox"/>
    <m/>
    <m/>
    <m/>
    <m/>
    <m/>
    <m/>
    <m/>
    <m/>
    <m/>
    <m/>
    <m/>
    <m/>
    <m/>
    <m/>
    <m/>
    <m/>
    <m/>
    <m/>
    <m/>
    <m/>
    <m/>
    <m/>
    <m/>
    <m/>
    <m/>
    <m/>
    <m/>
    <m/>
    <m/>
    <m/>
    <m/>
    <m/>
    <m/>
    <m/>
    <m/>
    <m/>
    <m/>
    <m/>
    <m/>
    <m/>
    <m/>
    <m/>
    <m/>
    <m/>
    <m/>
    <m/>
    <m/>
    <m/>
    <m/>
    <m/>
    <m/>
    <m/>
    <m/>
    <m/>
    <m/>
    <m/>
  </r>
  <r>
    <s v="111 - Canada"/>
    <d v="2024-05-21T00:00:00"/>
    <s v="MAY"/>
    <n v="2024"/>
    <x v="0"/>
    <s v="Deposited"/>
    <s v="PMT-S130-43062"/>
    <s v=""/>
    <s v="CAD"/>
    <n v="-157.33000000000001"/>
    <n v="-115.142"/>
    <n v="115.142"/>
    <n v="-91511.6"/>
    <s v="DUMMY CUSTOMER_CASHAPPS 111 - Canada"/>
    <s v=""/>
    <s v="CANADA FED EF0160177003295776000009"/>
    <m/>
    <m/>
    <m/>
    <m/>
    <m/>
    <m/>
    <m/>
    <m/>
    <m/>
    <m/>
    <m/>
    <m/>
    <m/>
    <m/>
    <m/>
    <m/>
    <m/>
    <m/>
    <m/>
    <m/>
    <m/>
    <m/>
    <m/>
    <m/>
    <m/>
    <m/>
    <m/>
    <m/>
    <m/>
    <m/>
    <m/>
    <m/>
    <m/>
    <m/>
    <m/>
    <m/>
    <m/>
    <m/>
    <m/>
    <m/>
    <m/>
    <m/>
    <m/>
    <m/>
    <m/>
    <m/>
    <m/>
    <m/>
    <m/>
    <m/>
    <m/>
    <m/>
    <m/>
    <m/>
    <m/>
    <m/>
  </r>
  <r>
    <s v="111 - Canada"/>
    <d v="2025-12-09T00:00:00"/>
    <s v="DECEMBER"/>
    <n v="2025"/>
    <x v="0"/>
    <s v="Deposited"/>
    <s v="PMT-S130-47176"/>
    <s v=""/>
    <s v="CAD"/>
    <n v="-145.09"/>
    <n v="-106.184"/>
    <n v="106.184"/>
    <n v="-91511.6"/>
    <s v="DUMMY CUSTOMER_CASHAPPS 111 - Canada"/>
    <s v=""/>
    <s v="ACH: CANADA  CANADA RE:MELTWATER NEWS CANADA INC"/>
    <m/>
    <m/>
    <m/>
    <m/>
    <m/>
    <m/>
    <m/>
    <m/>
    <m/>
    <m/>
    <m/>
    <m/>
    <m/>
    <m/>
    <m/>
    <m/>
    <m/>
    <m/>
    <m/>
    <m/>
    <m/>
    <m/>
    <m/>
    <m/>
    <m/>
    <m/>
    <m/>
    <m/>
    <m/>
    <m/>
    <m/>
    <m/>
    <m/>
    <m/>
    <m/>
    <m/>
    <m/>
    <m/>
    <m/>
    <m/>
    <m/>
    <m/>
    <m/>
    <m/>
    <m/>
    <m/>
    <m/>
    <m/>
    <m/>
    <m/>
    <m/>
    <m/>
    <m/>
    <m/>
    <m/>
    <m/>
  </r>
  <r>
    <s v="111 - Canada"/>
    <d v="2025-06-20T00:00:00"/>
    <s v="JUNE"/>
    <n v="2025"/>
    <x v="0"/>
    <s v="Deposited"/>
    <s v="PMT-S130-46077"/>
    <s v=""/>
    <s v="CAD"/>
    <n v="-133.22999999999999"/>
    <n v="-97.504000000000005"/>
    <n v="97.504000000000005"/>
    <n v="-91511.6"/>
    <s v="DUMMY CUSTOMER_CASHAPPS 111 - Canada"/>
    <s v=""/>
    <s v="ACH: CANADA  CANADA RE:MELTWATER NEWS CANADA INC"/>
    <m/>
    <m/>
    <m/>
    <m/>
    <m/>
    <m/>
    <m/>
    <m/>
    <m/>
    <m/>
    <m/>
    <m/>
    <m/>
    <m/>
    <m/>
    <m/>
    <m/>
    <m/>
    <m/>
    <m/>
    <m/>
    <m/>
    <m/>
    <m/>
    <m/>
    <m/>
    <m/>
    <m/>
    <m/>
    <m/>
    <m/>
    <m/>
    <m/>
    <m/>
    <m/>
    <m/>
    <m/>
    <m/>
    <m/>
    <m/>
    <m/>
    <m/>
    <m/>
    <m/>
    <m/>
    <m/>
    <m/>
    <m/>
    <m/>
    <m/>
    <m/>
    <m/>
    <m/>
    <m/>
    <m/>
    <m/>
  </r>
  <r>
    <s v="111 - Canada"/>
    <d v="2025-05-16T00:00:00"/>
    <s v="MAY"/>
    <n v="2025"/>
    <x v="0"/>
    <s v="Deposited"/>
    <s v="PMT-S130-45833"/>
    <s v=""/>
    <s v="CAD"/>
    <n v="-109.91"/>
    <n v="-80.438000000000002"/>
    <n v="80.438000000000002"/>
    <n v="-91511.6"/>
    <s v="DUMMY CUSTOMER_CASHAPPS 111 - Canada"/>
    <s v=""/>
    <s v="Federal Payment Canada"/>
    <m/>
    <m/>
    <m/>
    <m/>
    <m/>
    <m/>
    <m/>
    <m/>
    <m/>
    <m/>
    <m/>
    <m/>
    <m/>
    <m/>
    <m/>
    <m/>
    <m/>
    <m/>
    <m/>
    <m/>
    <m/>
    <m/>
    <m/>
    <m/>
    <m/>
    <m/>
    <m/>
    <m/>
    <m/>
    <m/>
    <m/>
    <m/>
    <m/>
    <m/>
    <m/>
    <m/>
    <m/>
    <m/>
    <m/>
    <m/>
    <m/>
    <m/>
    <m/>
    <m/>
    <m/>
    <m/>
    <m/>
    <m/>
    <m/>
    <m/>
    <m/>
    <m/>
    <m/>
    <m/>
    <m/>
    <m/>
  </r>
  <r>
    <s v="111 - Canada"/>
    <d v="2023-10-30T00:00:00"/>
    <s v="OCTOBER"/>
    <n v="2023"/>
    <x v="0"/>
    <s v="Deposited"/>
    <s v="PMT-S130-41190"/>
    <s v=""/>
    <s v="CAD"/>
    <n v="-104.5"/>
    <n v="-76.477999999999994"/>
    <n v="76.477999999999994"/>
    <n v="-91511.6"/>
    <s v="DUMMY CUSTOMER_CASHAPPS 111 - Canada"/>
    <s v=""/>
    <s v="CANADA FED EF0160177002876776000045"/>
    <m/>
    <m/>
    <m/>
    <m/>
    <m/>
    <m/>
    <m/>
    <m/>
    <m/>
    <m/>
    <m/>
    <m/>
    <m/>
    <m/>
    <m/>
    <m/>
    <m/>
    <m/>
    <m/>
    <m/>
    <m/>
    <m/>
    <m/>
    <m/>
    <m/>
    <m/>
    <m/>
    <m/>
    <m/>
    <m/>
    <m/>
    <m/>
    <m/>
    <m/>
    <m/>
    <m/>
    <m/>
    <m/>
    <m/>
    <m/>
    <m/>
    <m/>
    <m/>
    <m/>
    <m/>
    <m/>
    <m/>
    <m/>
    <m/>
    <m/>
    <m/>
    <m/>
    <m/>
    <m/>
    <m/>
    <m/>
  </r>
  <r>
    <s v="111 - Canada"/>
    <d v="2025-07-03T00:00:00"/>
    <s v="JULY"/>
    <n v="2025"/>
    <x v="0"/>
    <s v="Deposited"/>
    <s v="PMT-S130-46137"/>
    <s v=""/>
    <s v="CAD"/>
    <n v="-71.8"/>
    <n v="-52.546999999999997"/>
    <n v="52.546999999999997"/>
    <n v="-91511.6"/>
    <s v="DUMMY CUSTOMER_CASHAPPS 111 - Canada"/>
    <s v=""/>
    <s v="ACH: CANADA  CANADA RE:MELTWATER NEWS CANADA INC"/>
    <m/>
    <m/>
    <m/>
    <m/>
    <m/>
    <m/>
    <m/>
    <m/>
    <m/>
    <m/>
    <m/>
    <m/>
    <m/>
    <m/>
    <m/>
    <m/>
    <m/>
    <m/>
    <m/>
    <m/>
    <m/>
    <m/>
    <m/>
    <m/>
    <m/>
    <m/>
    <m/>
    <m/>
    <m/>
    <m/>
    <m/>
    <m/>
    <m/>
    <m/>
    <m/>
    <m/>
    <m/>
    <m/>
    <m/>
    <m/>
    <m/>
    <m/>
    <m/>
    <m/>
    <m/>
    <m/>
    <m/>
    <m/>
    <m/>
    <m/>
    <m/>
    <m/>
    <m/>
    <m/>
    <m/>
    <m/>
  </r>
  <r>
    <s v="111 - Canada"/>
    <d v="2025-12-17T00:00:00"/>
    <s v="DECEMBER"/>
    <n v="2025"/>
    <x v="0"/>
    <s v="Deposited"/>
    <s v="PMT-S130-47248"/>
    <s v=""/>
    <s v="CAD"/>
    <n v="-14.7"/>
    <n v="-10.757999999999999"/>
    <n v="10.757999999999999"/>
    <n v="-91511.6"/>
    <s v="DUMMY CUSTOMER_CASHAPPS 111 - Canada"/>
    <s v=""/>
    <s v="ACH: CANADA  CANADA RE:Meltwater News Canada Inc"/>
    <m/>
    <m/>
    <m/>
    <m/>
    <m/>
    <m/>
    <m/>
    <m/>
    <m/>
    <m/>
    <m/>
    <m/>
    <m/>
    <m/>
    <m/>
    <m/>
    <m/>
    <m/>
    <m/>
    <m/>
    <m/>
    <m/>
    <m/>
    <m/>
    <m/>
    <m/>
    <m/>
    <m/>
    <m/>
    <m/>
    <m/>
    <m/>
    <m/>
    <m/>
    <m/>
    <m/>
    <m/>
    <m/>
    <m/>
    <m/>
    <m/>
    <m/>
    <m/>
    <m/>
    <m/>
    <m/>
    <m/>
    <m/>
    <m/>
    <m/>
    <m/>
    <m/>
    <m/>
    <m/>
    <m/>
    <m/>
  </r>
  <r>
    <s v="11C (116) - Meltwater News Canada 2"/>
    <d v="2019-04-01T00:00:00"/>
    <s v="APRIL"/>
    <n v="2019"/>
    <x v="1"/>
    <s v="Deposited"/>
    <s v="PMT-S130C-0298"/>
    <s v="5317"/>
    <s v="CAD"/>
    <n v="-6900"/>
    <n v="-5256.9440000000004"/>
    <n v="5256.9440000000004"/>
    <n v="-5256.9440000000004"/>
    <s v="EON REALITY INC"/>
    <s v=""/>
    <s v="HSBC CAD wire 04/01/19 - For: customer references INV00046691 which is an old invoice 9/14/18."/>
    <m/>
    <m/>
    <m/>
    <m/>
    <m/>
    <m/>
    <m/>
    <m/>
    <m/>
    <m/>
    <m/>
    <m/>
    <m/>
    <m/>
    <m/>
    <m/>
    <m/>
    <m/>
    <m/>
    <m/>
    <m/>
    <m/>
    <m/>
    <m/>
    <m/>
    <m/>
    <m/>
    <m/>
    <m/>
    <m/>
    <m/>
    <m/>
    <m/>
    <m/>
    <m/>
    <m/>
    <m/>
    <m/>
    <m/>
    <m/>
    <m/>
    <m/>
    <m/>
    <m/>
    <m/>
    <m/>
    <m/>
    <m/>
    <m/>
    <m/>
    <m/>
    <m/>
    <m/>
    <m/>
    <m/>
    <m/>
  </r>
  <r>
    <s v="11C (116) - Meltwater News Canada 2"/>
    <d v="2019-09-20T00:00:00"/>
    <s v="SEPTEMBER"/>
    <n v="2019"/>
    <x v="1"/>
    <s v="Deposited"/>
    <s v="PMT-S130C-0769"/>
    <s v="IN-S130C-0669"/>
    <s v="CAD"/>
    <n v="-40383.4"/>
    <n v="-30767.143"/>
    <n v="5127.8450000000003"/>
    <n v="-5127.8450000000003"/>
    <s v="Maple Leaf Sports &amp; Entertainment Ltd."/>
    <s v="Marta Boytcheva"/>
    <s v="HSBC CAD 9/20/19 - Customer overpaid an adjusted invoice. Marta said to leave over payment unapplied"/>
    <m/>
    <m/>
    <m/>
    <m/>
    <m/>
    <m/>
    <m/>
    <m/>
    <m/>
    <m/>
    <m/>
    <m/>
    <m/>
    <m/>
    <m/>
    <m/>
    <m/>
    <m/>
    <m/>
    <m/>
    <m/>
    <m/>
    <m/>
    <m/>
    <m/>
    <m/>
    <m/>
    <m/>
    <m/>
    <m/>
    <m/>
    <m/>
    <m/>
    <m/>
    <m/>
    <m/>
    <m/>
    <m/>
    <m/>
    <m/>
    <m/>
    <m/>
    <m/>
    <m/>
    <m/>
    <m/>
    <m/>
    <m/>
    <m/>
    <m/>
    <m/>
    <m/>
    <m/>
    <m/>
    <m/>
    <m/>
  </r>
  <r>
    <s v="11C (116) - Meltwater News Canada 2"/>
    <d v="2019-01-28T00:00:00"/>
    <s v="JANUARY"/>
    <n v="2019"/>
    <x v="1"/>
    <s v="Deposited"/>
    <s v="PMT-S130C-0069"/>
    <s v="IN-S130C-0059"/>
    <s v="CAD"/>
    <n v="-4348.75"/>
    <n v="-3313.2080000000001"/>
    <n v="2981.8910000000001"/>
    <n v="-2981.8910000000001"/>
    <s v="VIA Rail"/>
    <s v="Marta Boytcheva"/>
    <s v=""/>
    <m/>
    <m/>
    <m/>
    <m/>
    <m/>
    <m/>
    <m/>
    <m/>
    <m/>
    <m/>
    <m/>
    <m/>
    <m/>
    <m/>
    <m/>
    <m/>
    <m/>
    <m/>
    <m/>
    <m/>
    <m/>
    <m/>
    <m/>
    <m/>
    <m/>
    <m/>
    <m/>
    <m/>
    <m/>
    <m/>
    <m/>
    <m/>
    <m/>
    <m/>
    <m/>
    <m/>
    <m/>
    <m/>
    <m/>
    <m/>
    <m/>
    <m/>
    <m/>
    <m/>
    <m/>
    <m/>
    <m/>
    <m/>
    <m/>
    <m/>
    <m/>
    <m/>
    <m/>
    <m/>
    <m/>
    <m/>
  </r>
  <r>
    <s v="11C (116) - Meltwater News Canada 2"/>
    <d v="2019-04-05T00:00:00"/>
    <s v="APRIL"/>
    <n v="2019"/>
    <x v="1"/>
    <s v="Deposited"/>
    <s v="PMT-S130C-0315"/>
    <s v=""/>
    <s v="USD"/>
    <n v="-2450.0100000000002"/>
    <n v="-2493.3150000000001"/>
    <n v="2493.3150000000001"/>
    <n v="-2493.3150000000001"/>
    <s v="Blockstrain Technology Corp"/>
    <s v="Marta Boytcheva"/>
    <s v="HSBC USD wire 04/05/19 - no remit found, unapplied until invoice is confirmed."/>
    <m/>
    <m/>
    <m/>
    <m/>
    <m/>
    <m/>
    <m/>
    <m/>
    <m/>
    <m/>
    <m/>
    <m/>
    <m/>
    <m/>
    <m/>
    <m/>
    <m/>
    <m/>
    <m/>
    <m/>
    <m/>
    <m/>
    <m/>
    <m/>
    <m/>
    <m/>
    <m/>
    <m/>
    <m/>
    <m/>
    <m/>
    <m/>
    <m/>
    <m/>
    <m/>
    <m/>
    <m/>
    <m/>
    <m/>
    <m/>
    <m/>
    <m/>
    <m/>
    <m/>
    <m/>
    <m/>
    <m/>
    <m/>
    <m/>
    <m/>
    <m/>
    <m/>
    <m/>
    <m/>
    <m/>
    <m/>
  </r>
  <r>
    <s v="11C (116) - Meltwater News Canada 2"/>
    <d v="2019-04-16T00:00:00"/>
    <s v="APRIL"/>
    <n v="2019"/>
    <x v="1"/>
    <s v="Deposited"/>
    <s v="PMT-S130C-0353"/>
    <s v=""/>
    <s v="GBP"/>
    <n v="-1770.83"/>
    <n v="-2363.9870000000001"/>
    <n v="2363.9870000000001"/>
    <n v="-2363.9870000000001"/>
    <s v="Semanticum"/>
    <s v="Yangzom Vitali-116"/>
    <s v="Bill Tech"/>
    <m/>
    <m/>
    <m/>
    <m/>
    <m/>
    <m/>
    <m/>
    <m/>
    <m/>
    <m/>
    <m/>
    <m/>
    <m/>
    <m/>
    <m/>
    <m/>
    <m/>
    <m/>
    <m/>
    <m/>
    <m/>
    <m/>
    <m/>
    <m/>
    <m/>
    <m/>
    <m/>
    <m/>
    <m/>
    <m/>
    <m/>
    <m/>
    <m/>
    <m/>
    <m/>
    <m/>
    <m/>
    <m/>
    <m/>
    <m/>
    <m/>
    <m/>
    <m/>
    <m/>
    <m/>
    <m/>
    <m/>
    <m/>
    <m/>
    <m/>
    <m/>
    <m/>
    <m/>
    <m/>
    <m/>
    <m/>
  </r>
  <r>
    <s v="11C (116) - Meltwater News Canada 2"/>
    <d v="2019-04-30T00:00:00"/>
    <s v="APRIL"/>
    <n v="2019"/>
    <x v="1"/>
    <s v="Deposited"/>
    <s v="PMT-S130C-0377"/>
    <s v=""/>
    <s v="USD"/>
    <n v="-1870.84"/>
    <n v="-1917.5809999999999"/>
    <n v="1917.5809999999999"/>
    <n v="-1917.5809999999999"/>
    <s v="Ogilvy Singapore Pte Ltd"/>
    <s v="Yangzom Vitali-116"/>
    <s v="INV0004713 is for Ogilvy Sydney, which is on NS is SA-S130C-EN-1166689 Ogilvy Australia it is Bad Debt recovery"/>
    <m/>
    <m/>
    <m/>
    <m/>
    <m/>
    <m/>
    <m/>
    <m/>
    <m/>
    <m/>
    <m/>
    <m/>
    <m/>
    <m/>
    <m/>
    <m/>
    <m/>
    <m/>
    <m/>
    <m/>
    <m/>
    <m/>
    <m/>
    <m/>
    <m/>
    <m/>
    <m/>
    <m/>
    <m/>
    <m/>
    <m/>
    <m/>
    <m/>
    <m/>
    <m/>
    <m/>
    <m/>
    <m/>
    <m/>
    <m/>
    <m/>
    <m/>
    <m/>
    <m/>
    <m/>
    <m/>
    <m/>
    <m/>
    <m/>
    <m/>
    <m/>
    <m/>
    <m/>
    <m/>
    <m/>
    <m/>
  </r>
  <r>
    <s v="11C (116) - Meltwater News Canada 2"/>
    <d v="2019-01-28T00:00:00"/>
    <s v="JANUARY"/>
    <n v="2019"/>
    <x v="1"/>
    <s v="Deposited"/>
    <s v="PMT-S130C-0077"/>
    <s v="IN-S130C-0283"/>
    <s v="USD"/>
    <n v="-2500"/>
    <n v="-2518.8380000000002"/>
    <n v="1259.4190000000001"/>
    <n v="-1259.4190000000001"/>
    <s v="Carma"/>
    <s v="Yangzom Vitali-116"/>
    <s v=""/>
    <m/>
    <m/>
    <m/>
    <m/>
    <m/>
    <m/>
    <m/>
    <m/>
    <m/>
    <m/>
    <m/>
    <m/>
    <m/>
    <m/>
    <m/>
    <m/>
    <m/>
    <m/>
    <m/>
    <m/>
    <m/>
    <m/>
    <m/>
    <m/>
    <m/>
    <m/>
    <m/>
    <m/>
    <m/>
    <m/>
    <m/>
    <m/>
    <m/>
    <m/>
    <m/>
    <m/>
    <m/>
    <m/>
    <m/>
    <m/>
    <m/>
    <m/>
    <m/>
    <m/>
    <m/>
    <m/>
    <m/>
    <m/>
    <m/>
    <m/>
    <m/>
    <m/>
    <m/>
    <m/>
    <m/>
    <m/>
  </r>
  <r>
    <s v="11C (116) - Meltwater News Canada 2"/>
    <d v="2019-02-21T00:00:00"/>
    <s v="FEBRUARY"/>
    <n v="2019"/>
    <x v="1"/>
    <s v="Deposited"/>
    <s v="PMT-S130C-0177"/>
    <s v="IN-S130C-0252"/>
    <s v="CAD"/>
    <n v="-8236.7800000000007"/>
    <n v="-6275.4049999999997"/>
    <n v="1215.4970000000001"/>
    <n v="-1215.4970000000001"/>
    <s v="Tentree"/>
    <s v="Yangzom Vitali-116"/>
    <s v=""/>
    <m/>
    <m/>
    <m/>
    <m/>
    <m/>
    <m/>
    <m/>
    <m/>
    <m/>
    <m/>
    <m/>
    <m/>
    <m/>
    <m/>
    <m/>
    <m/>
    <m/>
    <m/>
    <m/>
    <m/>
    <m/>
    <m/>
    <m/>
    <m/>
    <m/>
    <m/>
    <m/>
    <m/>
    <m/>
    <m/>
    <m/>
    <m/>
    <m/>
    <m/>
    <m/>
    <m/>
    <m/>
    <m/>
    <m/>
    <m/>
    <m/>
    <m/>
    <m/>
    <m/>
    <m/>
    <m/>
    <m/>
    <m/>
    <m/>
    <m/>
    <m/>
    <m/>
    <m/>
    <m/>
    <m/>
    <m/>
  </r>
  <r>
    <s v="11C (116) - Meltwater News Canada 2"/>
    <d v="2019-02-08T00:00:00"/>
    <s v="FEBRUARY"/>
    <n v="2019"/>
    <x v="1"/>
    <s v="Deposited"/>
    <s v="PMT-S130C-0133"/>
    <s v="IN-S130C-0337"/>
    <s v="USD"/>
    <n v="-3541.25"/>
    <n v="-3593.0529999999999"/>
    <n v="1138.441"/>
    <n v="-1138.441"/>
    <s v="Socialand Media Solutions SMS120220K30"/>
    <s v="Brinda Calori"/>
    <s v="Customer continues to pay all reduced invoices in full"/>
    <m/>
    <m/>
    <m/>
    <m/>
    <m/>
    <m/>
    <m/>
    <m/>
    <m/>
    <m/>
    <m/>
    <m/>
    <m/>
    <m/>
    <m/>
    <m/>
    <m/>
    <m/>
    <m/>
    <m/>
    <m/>
    <m/>
    <m/>
    <m/>
    <m/>
    <m/>
    <m/>
    <m/>
    <m/>
    <m/>
    <m/>
    <m/>
    <m/>
    <m/>
    <m/>
    <m/>
    <m/>
    <m/>
    <m/>
    <m/>
    <m/>
    <m/>
    <m/>
    <m/>
    <m/>
    <m/>
    <m/>
    <m/>
    <m/>
    <m/>
    <m/>
    <m/>
    <m/>
    <m/>
    <m/>
    <m/>
  </r>
  <r>
    <s v="11C (116) - Meltwater News Canada 2"/>
    <d v="2019-03-13T00:00:00"/>
    <s v="MARCH"/>
    <n v="2019"/>
    <x v="1"/>
    <s v="Deposited"/>
    <s v="PMT-S130C-0255"/>
    <s v=""/>
    <s v="CAD"/>
    <n v="-1376.12"/>
    <n v="-1048.433"/>
    <n v="1048.433"/>
    <n v="-1048.433"/>
    <s v="Lowe SSP3"/>
    <s v="Maria Papadopoulos"/>
    <s v="INV00049576 paid on Feb 8th INV00048774 was cleared in December with a payment that was made in Nov and again referenced an invoice that the customer paid in Oct. Collections team will contact customer"/>
    <m/>
    <m/>
    <m/>
    <m/>
    <m/>
    <m/>
    <m/>
    <m/>
    <m/>
    <m/>
    <m/>
    <m/>
    <m/>
    <m/>
    <m/>
    <m/>
    <m/>
    <m/>
    <m/>
    <m/>
    <m/>
    <m/>
    <m/>
    <m/>
    <m/>
    <m/>
    <m/>
    <m/>
    <m/>
    <m/>
    <m/>
    <m/>
    <m/>
    <m/>
    <m/>
    <m/>
    <m/>
    <m/>
    <m/>
    <m/>
    <m/>
    <m/>
    <m/>
    <m/>
    <m/>
    <m/>
    <m/>
    <m/>
    <m/>
    <m/>
    <m/>
    <m/>
    <m/>
    <m/>
    <m/>
    <m/>
  </r>
  <r>
    <s v="11C (116) - Meltwater News Canada 2"/>
    <d v="2019-03-14T00:00:00"/>
    <s v="MARCH"/>
    <n v="2019"/>
    <x v="1"/>
    <s v="Deposited"/>
    <s v="PMT-S130C-0239"/>
    <s v="IN-S130C-0416"/>
    <s v="USD"/>
    <n v="-4767.25"/>
    <n v="-4832.625"/>
    <n v="520.125"/>
    <n v="-520.125"/>
    <s v="Grey Mexico SA de CV"/>
    <s v="Brinda Calori"/>
    <s v="HSBC USD wire 3/14/19 - left unapplied, no inv ref# provided."/>
    <m/>
    <m/>
    <m/>
    <m/>
    <m/>
    <m/>
    <m/>
    <m/>
    <m/>
    <m/>
    <m/>
    <m/>
    <m/>
    <m/>
    <m/>
    <m/>
    <m/>
    <m/>
    <m/>
    <m/>
    <m/>
    <m/>
    <m/>
    <m/>
    <m/>
    <m/>
    <m/>
    <m/>
    <m/>
    <m/>
    <m/>
    <m/>
    <m/>
    <m/>
    <m/>
    <m/>
    <m/>
    <m/>
    <m/>
    <m/>
    <m/>
    <m/>
    <m/>
    <m/>
    <m/>
    <m/>
    <m/>
    <m/>
    <m/>
    <m/>
    <m/>
    <m/>
    <m/>
    <m/>
    <m/>
    <m/>
  </r>
  <r>
    <s v="11C (116) - Meltwater News Canada 2"/>
    <d v="2019-04-03T00:00:00"/>
    <s v="APRIL"/>
    <n v="2019"/>
    <x v="1"/>
    <s v="Deposited"/>
    <s v="PMT-S130C-0295"/>
    <s v=""/>
    <s v="USD"/>
    <n v="-385.45"/>
    <n v="-390.75900000000001"/>
    <n v="390.75900000000001"/>
    <n v="-390.75900000000001"/>
    <s v="PUBLICIS AUSTRALIA PTY LTD."/>
    <s v="Yangzom Vitali-116"/>
    <s v="HSBC USD wire 04/03/19 - unapplied, pending remit to apply"/>
    <m/>
    <m/>
    <m/>
    <m/>
    <m/>
    <m/>
    <m/>
    <m/>
    <m/>
    <m/>
    <m/>
    <m/>
    <m/>
    <m/>
    <m/>
    <m/>
    <m/>
    <m/>
    <m/>
    <m/>
    <m/>
    <m/>
    <m/>
    <m/>
    <m/>
    <m/>
    <m/>
    <m/>
    <m/>
    <m/>
    <m/>
    <m/>
    <m/>
    <m/>
    <m/>
    <m/>
    <m/>
    <m/>
    <m/>
    <m/>
    <m/>
    <m/>
    <m/>
    <m/>
    <m/>
    <m/>
    <m/>
    <m/>
    <m/>
    <m/>
    <m/>
    <m/>
    <m/>
    <m/>
    <m/>
    <m/>
  </r>
  <r>
    <s v="11C (116) - Meltwater News Canada 2"/>
    <d v="2020-02-07T00:00:00"/>
    <s v="FEBRUARY"/>
    <n v="2020"/>
    <x v="1"/>
    <s v="Deposited"/>
    <s v="PMT-S130C-1079"/>
    <s v="IN-S130C-2031"/>
    <s v="USD"/>
    <n v="-1350"/>
    <n v="-1369"/>
    <n v="228.167"/>
    <n v="-228.167"/>
    <s v="Young &amp; Rubicam Chile"/>
    <s v="Brinda Calori"/>
    <s v="HSBC USD Wire 2/7/20"/>
    <m/>
    <m/>
    <m/>
    <m/>
    <m/>
    <m/>
    <m/>
    <m/>
    <m/>
    <m/>
    <m/>
    <m/>
    <m/>
    <m/>
    <m/>
    <m/>
    <m/>
    <m/>
    <m/>
    <m/>
    <m/>
    <m/>
    <m/>
    <m/>
    <m/>
    <m/>
    <m/>
    <m/>
    <m/>
    <m/>
    <m/>
    <m/>
    <m/>
    <m/>
    <m/>
    <m/>
    <m/>
    <m/>
    <m/>
    <m/>
    <m/>
    <m/>
    <m/>
    <m/>
    <m/>
    <m/>
    <m/>
    <m/>
    <m/>
    <m/>
    <m/>
    <m/>
    <m/>
    <m/>
    <m/>
    <m/>
  </r>
  <r>
    <s v="11C (116) - Meltwater News Canada 2"/>
    <d v="2019-08-30T00:00:00"/>
    <s v="AUGUST"/>
    <n v="2019"/>
    <x v="1"/>
    <s v="Deposited"/>
    <s v="PMT-S130C-0709"/>
    <s v="IN-S130C-1176"/>
    <s v="USD"/>
    <n v="-175"/>
    <n v="-177.37200000000001"/>
    <n v="5.0659999999999998"/>
    <n v="-5.0659999999999998"/>
    <s v="Dazing Studio S.C"/>
    <s v="Brinda Calori"/>
    <s v="WFB wire 083019 - part of the $38,661.44 wire - paid in 106-US acct"/>
    <m/>
    <m/>
    <m/>
    <m/>
    <m/>
    <m/>
    <m/>
    <m/>
    <m/>
    <m/>
    <m/>
    <m/>
    <m/>
    <m/>
    <m/>
    <m/>
    <m/>
    <m/>
    <m/>
    <m/>
    <m/>
    <m/>
    <m/>
    <m/>
    <m/>
    <m/>
    <m/>
    <m/>
    <m/>
    <m/>
    <m/>
    <m/>
    <m/>
    <m/>
    <m/>
    <m/>
    <m/>
    <m/>
    <m/>
    <m/>
    <m/>
    <m/>
    <m/>
    <m/>
    <m/>
    <m/>
    <m/>
    <m/>
    <m/>
    <m/>
    <m/>
    <m/>
    <m/>
    <m/>
    <m/>
    <m/>
  </r>
  <r>
    <s v="11C (116) - Meltwater News Canada 2"/>
    <d v="2019-03-01T00:00:00"/>
    <s v="MARCH"/>
    <n v="2019"/>
    <x v="1"/>
    <s v="Deposited"/>
    <s v="PMT-S130C-0195"/>
    <s v=""/>
    <s v="EUR"/>
    <n v="-1"/>
    <n v="-1.135"/>
    <n v="1.135"/>
    <n v="-335.62200000000001"/>
    <s v="Ogilvy Barcelona"/>
    <s v="Yangzom Vitali-116"/>
    <s v=""/>
    <m/>
    <m/>
    <m/>
    <m/>
    <m/>
    <m/>
    <m/>
    <m/>
    <m/>
    <m/>
    <m/>
    <m/>
    <m/>
    <m/>
    <m/>
    <m/>
    <m/>
    <m/>
    <m/>
    <m/>
    <m/>
    <m/>
    <m/>
    <m/>
    <m/>
    <m/>
    <m/>
    <m/>
    <m/>
    <m/>
    <m/>
    <m/>
    <m/>
    <m/>
    <m/>
    <m/>
    <m/>
    <m/>
    <m/>
    <m/>
    <m/>
    <m/>
    <m/>
    <m/>
    <m/>
    <m/>
    <m/>
    <m/>
    <m/>
    <m/>
    <m/>
    <m/>
    <m/>
    <m/>
    <m/>
    <m/>
  </r>
  <r>
    <s v="11C (116) - Meltwater News Canada 2"/>
    <d v="2019-04-16T00:00:00"/>
    <s v="APRIL"/>
    <n v="2019"/>
    <x v="1"/>
    <s v="Deposited"/>
    <s v="PMT-S130C-0350"/>
    <s v="IN-S130C-1020"/>
    <s v="USD"/>
    <n v="-15178"/>
    <n v="-15479.468999999999"/>
    <n v="0.876"/>
    <n v="-344.68799999999999"/>
    <s v="Zimat Consultores Comunicación Total, S.A. de C.V. ZCC000823SN7"/>
    <s v="Yangzom Vitali-116"/>
    <s v="HSBC USD wire 04/15/19 - For: IN-S130C-1020 $7589.00 IN-S130C-1093 $7589.00 per remit - Customer rounded up from $15,177.14 to $15,178.00 (unapplied 0.86)"/>
    <m/>
    <m/>
    <m/>
    <m/>
    <m/>
    <m/>
    <m/>
    <m/>
    <m/>
    <m/>
    <m/>
    <m/>
    <m/>
    <m/>
    <m/>
    <m/>
    <m/>
    <m/>
    <m/>
    <m/>
    <m/>
    <m/>
    <m/>
    <m/>
    <m/>
    <m/>
    <m/>
    <m/>
    <m/>
    <m/>
    <m/>
    <m/>
    <m/>
    <m/>
    <m/>
    <m/>
    <m/>
    <m/>
    <m/>
    <m/>
    <m/>
    <m/>
    <m/>
    <m/>
    <m/>
    <m/>
    <m/>
    <m/>
    <m/>
    <m/>
    <m/>
    <m/>
    <m/>
    <m/>
    <m/>
    <m/>
  </r>
  <r>
    <s v="11C (116) - Meltwater News Canada 2"/>
    <d v="2019-10-11T00:00:00"/>
    <s v="OCTOBER"/>
    <n v="2019"/>
    <x v="1"/>
    <s v="Deposited"/>
    <s v="PMT-S130C-0810"/>
    <s v="IN-S130C-1771"/>
    <s v="CAD"/>
    <n v="-5486.26"/>
    <n v="-4179.8500000000004"/>
    <n v="1.4999999999999999E-2"/>
    <n v="-1.4999999999999999E-2"/>
    <s v="Sureté du Québec"/>
    <s v="Marta Boytcheva"/>
    <s v="HSBC LB 10/11/19"/>
    <m/>
    <m/>
    <m/>
    <m/>
    <m/>
    <m/>
    <m/>
    <m/>
    <m/>
    <m/>
    <m/>
    <m/>
    <m/>
    <m/>
    <m/>
    <m/>
    <m/>
    <m/>
    <m/>
    <m/>
    <m/>
    <m/>
    <m/>
    <m/>
    <m/>
    <m/>
    <m/>
    <m/>
    <m/>
    <m/>
    <m/>
    <m/>
    <m/>
    <m/>
    <m/>
    <m/>
    <m/>
    <m/>
    <m/>
    <m/>
    <m/>
    <m/>
    <m/>
    <m/>
    <m/>
    <m/>
    <m/>
    <m/>
    <m/>
    <m/>
    <m/>
    <m/>
    <m/>
    <m/>
    <m/>
    <m/>
  </r>
  <r>
    <s v="201 - Australia"/>
    <d v="2024-10-16T00:00:00"/>
    <s v="OCTOBER"/>
    <n v="2024"/>
    <x v="2"/>
    <s v="Deposited"/>
    <s v="PMT-S155-37916"/>
    <s v=""/>
    <s v="NZD"/>
    <n v="-31991"/>
    <n v="-20152.823"/>
    <n v="20152.823"/>
    <n v="-20152.823"/>
    <s v="Fonterra Co-Operative Group"/>
    <s v="Windy Go"/>
    <s v="1/FONTERRA CO-OPERATIVE GROUP LIMIT 2000132172 /ROC/2000132172 FX NZD 31991.00 AT 1.1342120 200182719 /TMS/2024-10-15T23:29:15 GMT/MID/1.104251"/>
    <m/>
    <m/>
    <m/>
    <m/>
    <m/>
    <m/>
    <m/>
    <m/>
    <m/>
    <m/>
    <m/>
    <m/>
    <m/>
    <m/>
    <m/>
    <m/>
    <m/>
    <m/>
    <m/>
    <m/>
    <m/>
    <m/>
    <m/>
    <m/>
    <m/>
    <m/>
    <m/>
    <m/>
    <m/>
    <m/>
    <m/>
    <m/>
    <m/>
    <m/>
    <m/>
    <m/>
    <m/>
    <m/>
    <m/>
    <m/>
    <m/>
    <m/>
    <m/>
    <m/>
    <m/>
    <m/>
    <m/>
    <m/>
    <m/>
    <m/>
    <m/>
    <m/>
    <m/>
    <m/>
    <m/>
    <m/>
  </r>
  <r>
    <s v="201 - Australia"/>
    <d v="2026-04-09T00:00:00"/>
    <s v="APRIL"/>
    <n v="2026"/>
    <x v="2"/>
    <s v="Deposited"/>
    <s v="PMT-S155-42950"/>
    <s v=""/>
    <s v="AUD"/>
    <n v="-18480"/>
    <n v="-13203.96"/>
    <n v="13203.96"/>
    <n v="-26251.494999999999"/>
    <s v="DUMMY CUSTOMER_CASHAPPS 201 - Australia"/>
    <s v="Windy Go"/>
    <s v="173200023166926 MARS NEDERLAND B 0001975"/>
    <m/>
    <m/>
    <m/>
    <m/>
    <m/>
    <m/>
    <m/>
    <m/>
    <m/>
    <m/>
    <m/>
    <m/>
    <m/>
    <m/>
    <m/>
    <m/>
    <m/>
    <m/>
    <m/>
    <m/>
    <m/>
    <m/>
    <m/>
    <m/>
    <m/>
    <m/>
    <m/>
    <m/>
    <m/>
    <m/>
    <m/>
    <m/>
    <m/>
    <m/>
    <m/>
    <m/>
    <m/>
    <m/>
    <m/>
    <m/>
    <m/>
    <m/>
    <m/>
    <m/>
    <m/>
    <m/>
    <m/>
    <m/>
    <m/>
    <m/>
    <m/>
    <m/>
    <m/>
    <m/>
    <m/>
    <m/>
  </r>
  <r>
    <s v="201 - Australia"/>
    <d v="2026-04-21T00:00:00"/>
    <s v="APRIL"/>
    <n v="2026"/>
    <x v="2"/>
    <s v="Deposited"/>
    <s v="PMT-S155-43051"/>
    <s v=""/>
    <s v="AUD"/>
    <n v="-16500"/>
    <n v="-11789.25"/>
    <n v="11789.25"/>
    <n v="-26251.494999999999"/>
    <s v="DUMMY CUSTOMER_CASHAPPS 201 - Australia"/>
    <s v="Windy Go"/>
    <s v="Meltwater Pont3 Pty Limite 0599873"/>
    <m/>
    <m/>
    <m/>
    <m/>
    <m/>
    <m/>
    <m/>
    <m/>
    <m/>
    <m/>
    <m/>
    <m/>
    <m/>
    <m/>
    <m/>
    <m/>
    <m/>
    <m/>
    <m/>
    <m/>
    <m/>
    <m/>
    <m/>
    <m/>
    <m/>
    <m/>
    <m/>
    <m/>
    <m/>
    <m/>
    <m/>
    <m/>
    <m/>
    <m/>
    <m/>
    <m/>
    <m/>
    <m/>
    <m/>
    <m/>
    <m/>
    <m/>
    <m/>
    <m/>
    <m/>
    <m/>
    <m/>
    <m/>
    <m/>
    <m/>
    <m/>
    <m/>
    <m/>
    <m/>
    <m/>
    <m/>
  </r>
  <r>
    <s v="201 - Australia"/>
    <d v="2023-01-24T00:00:00"/>
    <s v="JANUARY"/>
    <n v="2023"/>
    <x v="2"/>
    <s v="Deposited"/>
    <s v="PMT-S155-31177"/>
    <s v=""/>
    <s v="AUD"/>
    <n v="-8008"/>
    <n v="-5721.7160000000003"/>
    <n v="5721.7160000000003"/>
    <n v="-5721.7160000000003"/>
    <s v="Leisure-Tec Australia Pty Ltd"/>
    <s v=""/>
    <s v="LEISURE TEC 0241933"/>
    <m/>
    <m/>
    <m/>
    <m/>
    <m/>
    <m/>
    <m/>
    <m/>
    <m/>
    <m/>
    <m/>
    <m/>
    <m/>
    <m/>
    <m/>
    <m/>
    <m/>
    <m/>
    <m/>
    <m/>
    <m/>
    <m/>
    <m/>
    <m/>
    <m/>
    <m/>
    <m/>
    <m/>
    <m/>
    <m/>
    <m/>
    <m/>
    <m/>
    <m/>
    <m/>
    <m/>
    <m/>
    <m/>
    <m/>
    <m/>
    <m/>
    <m/>
    <m/>
    <m/>
    <m/>
    <m/>
    <m/>
    <m/>
    <m/>
    <m/>
    <m/>
    <m/>
    <m/>
    <m/>
    <m/>
    <m/>
  </r>
  <r>
    <s v="201 - Australia"/>
    <d v="2022-12-21T00:00:00"/>
    <s v="DECEMBER"/>
    <n v="2022"/>
    <x v="2"/>
    <s v="Deposited"/>
    <s v="PMT-S155-30851"/>
    <s v="IN-S155-424028"/>
    <s v="AUD"/>
    <n v="-15400"/>
    <n v="-11003.3"/>
    <n v="5501.65"/>
    <n v="-5501.65"/>
    <s v="POLICE CITIZENS YOUTH CLUBS NSW LTD"/>
    <s v="Windy Go"/>
    <s v="531785 PCYC NSW 0085562"/>
    <m/>
    <m/>
    <m/>
    <m/>
    <m/>
    <m/>
    <m/>
    <m/>
    <m/>
    <m/>
    <m/>
    <m/>
    <m/>
    <m/>
    <m/>
    <m/>
    <m/>
    <m/>
    <m/>
    <m/>
    <m/>
    <m/>
    <m/>
    <m/>
    <m/>
    <m/>
    <m/>
    <m/>
    <m/>
    <m/>
    <m/>
    <m/>
    <m/>
    <m/>
    <m/>
    <m/>
    <m/>
    <m/>
    <m/>
    <m/>
    <m/>
    <m/>
    <m/>
    <m/>
    <m/>
    <m/>
    <m/>
    <m/>
    <m/>
    <m/>
    <m/>
    <m/>
    <m/>
    <m/>
    <m/>
    <m/>
  </r>
  <r>
    <s v="201 - Australia"/>
    <d v="2025-06-23T00:00:00"/>
    <s v="JUNE"/>
    <n v="2025"/>
    <x v="2"/>
    <s v="Deposited"/>
    <s v="PMT-S155-39945"/>
    <s v=""/>
    <s v="AUD"/>
    <n v="-6184.2"/>
    <n v="-4418.6109999999999"/>
    <n v="4418.6109999999999"/>
    <n v="-4418.6109999999999"/>
    <s v="City of Hobart"/>
    <s v="Windy Go"/>
    <s v="CITY OF HOB 05748 CITY OF HOBART - 0448218"/>
    <m/>
    <m/>
    <m/>
    <m/>
    <m/>
    <m/>
    <m/>
    <m/>
    <m/>
    <m/>
    <m/>
    <m/>
    <m/>
    <m/>
    <m/>
    <m/>
    <m/>
    <m/>
    <m/>
    <m/>
    <m/>
    <m/>
    <m/>
    <m/>
    <m/>
    <m/>
    <m/>
    <m/>
    <m/>
    <m/>
    <m/>
    <m/>
    <m/>
    <m/>
    <m/>
    <m/>
    <m/>
    <m/>
    <m/>
    <m/>
    <m/>
    <m/>
    <m/>
    <m/>
    <m/>
    <m/>
    <m/>
    <m/>
    <m/>
    <m/>
    <m/>
    <m/>
    <m/>
    <m/>
    <m/>
    <m/>
  </r>
  <r>
    <s v="201 - Australia"/>
    <d v="2025-12-18T00:00:00"/>
    <s v="DECEMBER"/>
    <n v="2025"/>
    <x v="2"/>
    <s v="Deposited"/>
    <s v="PMT-S155-41991"/>
    <s v="IN-S155-431433"/>
    <s v="AUD"/>
    <n v="-4435.2"/>
    <n v="-3168.95"/>
    <n v="1584.4749999999999"/>
    <n v="0"/>
    <s v="Lovehoney Australia"/>
    <s v=""/>
    <s v="Lovehoney AU Lovehoney AU Pty 0916381"/>
    <m/>
    <m/>
    <m/>
    <m/>
    <m/>
    <m/>
    <m/>
    <m/>
    <m/>
    <m/>
    <m/>
    <m/>
    <m/>
    <m/>
    <m/>
    <m/>
    <m/>
    <m/>
    <m/>
    <m/>
    <m/>
    <m/>
    <m/>
    <m/>
    <m/>
    <m/>
    <m/>
    <m/>
    <m/>
    <m/>
    <m/>
    <m/>
    <m/>
    <m/>
    <m/>
    <m/>
    <m/>
    <m/>
    <m/>
    <m/>
    <m/>
    <m/>
    <m/>
    <m/>
    <m/>
    <m/>
    <m/>
    <m/>
    <m/>
    <m/>
    <m/>
    <m/>
    <m/>
    <m/>
    <m/>
    <m/>
  </r>
  <r>
    <s v="201 - Australia"/>
    <d v="2023-06-22T00:00:00"/>
    <s v="JUNE"/>
    <n v="2023"/>
    <x v="2"/>
    <s v="Deposited"/>
    <s v="PMT-S155-32846"/>
    <s v="IN-S155-424007"/>
    <s v="AUD"/>
    <n v="-16370.46"/>
    <n v="-11696.694"/>
    <n v="1038.4259999999999"/>
    <n v="-1038.4259999999999"/>
    <s v="The Village Building Company"/>
    <s v="Windy Go"/>
    <s v="INV-S155-424007 Recoveries Natio 0394335"/>
    <m/>
    <m/>
    <m/>
    <m/>
    <m/>
    <m/>
    <m/>
    <m/>
    <m/>
    <m/>
    <m/>
    <m/>
    <m/>
    <m/>
    <m/>
    <m/>
    <m/>
    <m/>
    <m/>
    <m/>
    <m/>
    <m/>
    <m/>
    <m/>
    <m/>
    <m/>
    <m/>
    <m/>
    <m/>
    <m/>
    <m/>
    <m/>
    <m/>
    <m/>
    <m/>
    <m/>
    <m/>
    <m/>
    <m/>
    <m/>
    <m/>
    <m/>
    <m/>
    <m/>
    <m/>
    <m/>
    <m/>
    <m/>
    <m/>
    <m/>
    <m/>
    <m/>
    <m/>
    <m/>
    <m/>
    <m/>
  </r>
  <r>
    <s v="201 - Australia"/>
    <d v="2023-11-20T00:00:00"/>
    <s v="NOVEMBER"/>
    <n v="2023"/>
    <x v="2"/>
    <s v="Deposited"/>
    <s v="PMT-S155-34558"/>
    <s v="IN-S155-426490"/>
    <s v="AUD"/>
    <n v="-12743.5"/>
    <n v="-9105.2309999999998"/>
    <n v="971.43399999999997"/>
    <n v="-971.43399999999997"/>
    <s v="SOUTHERN SYDNEY REGIONAL ORGANISATION OF COUNCILS"/>
    <s v="Windy Go"/>
    <s v="IN-S155-426306 SSROC 0813887"/>
    <m/>
    <m/>
    <m/>
    <m/>
    <m/>
    <m/>
    <m/>
    <m/>
    <m/>
    <m/>
    <m/>
    <m/>
    <m/>
    <m/>
    <m/>
    <m/>
    <m/>
    <m/>
    <m/>
    <m/>
    <m/>
    <m/>
    <m/>
    <m/>
    <m/>
    <m/>
    <m/>
    <m/>
    <m/>
    <m/>
    <m/>
    <m/>
    <m/>
    <m/>
    <m/>
    <m/>
    <m/>
    <m/>
    <m/>
    <m/>
    <m/>
    <m/>
    <m/>
    <m/>
    <m/>
    <m/>
    <m/>
    <m/>
    <m/>
    <m/>
    <m/>
    <m/>
    <m/>
    <m/>
    <m/>
    <m/>
  </r>
  <r>
    <s v="201 - Australia"/>
    <d v="2025-01-30T00:00:00"/>
    <s v="JANUARY"/>
    <n v="2025"/>
    <x v="2"/>
    <s v="Deposited"/>
    <s v="PMT-S155-38764"/>
    <s v=""/>
    <s v="AUD"/>
    <n v="-1050.5"/>
    <n v="-750.58199999999999"/>
    <n v="750.58199999999999"/>
    <n v="-750.58199999999999"/>
    <s v="The Red Agency pty Ltd trading as Red Havas"/>
    <s v="Windy Go"/>
    <s v="V1-51292223-P-MELN THE RED AGENCY P 0840256"/>
    <m/>
    <m/>
    <m/>
    <m/>
    <m/>
    <m/>
    <m/>
    <m/>
    <m/>
    <m/>
    <m/>
    <m/>
    <m/>
    <m/>
    <m/>
    <m/>
    <m/>
    <m/>
    <m/>
    <m/>
    <m/>
    <m/>
    <m/>
    <m/>
    <m/>
    <m/>
    <m/>
    <m/>
    <m/>
    <m/>
    <m/>
    <m/>
    <m/>
    <m/>
    <m/>
    <m/>
    <m/>
    <m/>
    <m/>
    <m/>
    <m/>
    <m/>
    <m/>
    <m/>
    <m/>
    <m/>
    <m/>
    <m/>
    <m/>
    <m/>
    <m/>
    <m/>
    <m/>
    <m/>
    <m/>
    <m/>
  </r>
  <r>
    <s v="201 - Australia"/>
    <d v="2023-01-17T00:00:00"/>
    <s v="JANUARY"/>
    <n v="2023"/>
    <x v="2"/>
    <s v="Deposited"/>
    <s v="PMT-S155-31081"/>
    <s v=""/>
    <s v="AUD"/>
    <n v="-986.9"/>
    <n v="-705.14"/>
    <n v="705.14"/>
    <n v="-705.14"/>
    <s v="Mirvac Procurement Pty Ltd"/>
    <s v=""/>
    <s v="PMT ID:     476819 MIRVAC 0986579"/>
    <m/>
    <m/>
    <m/>
    <m/>
    <m/>
    <m/>
    <m/>
    <m/>
    <m/>
    <m/>
    <m/>
    <m/>
    <m/>
    <m/>
    <m/>
    <m/>
    <m/>
    <m/>
    <m/>
    <m/>
    <m/>
    <m/>
    <m/>
    <m/>
    <m/>
    <m/>
    <m/>
    <m/>
    <m/>
    <m/>
    <m/>
    <m/>
    <m/>
    <m/>
    <m/>
    <m/>
    <m/>
    <m/>
    <m/>
    <m/>
    <m/>
    <m/>
    <m/>
    <m/>
    <m/>
    <m/>
    <m/>
    <m/>
    <m/>
    <m/>
    <m/>
    <m/>
    <m/>
    <m/>
    <m/>
    <m/>
  </r>
  <r>
    <s v="201 - Australia"/>
    <d v="2026-04-24T00:00:00"/>
    <s v="APRIL"/>
    <n v="2026"/>
    <x v="2"/>
    <s v="Deposited"/>
    <s v="PMT-S155-43101"/>
    <s v=""/>
    <s v="AUD"/>
    <n v="-741"/>
    <n v="-529.44500000000005"/>
    <n v="529.44500000000005"/>
    <n v="-26251.494999999999"/>
    <s v="DUMMY CUSTOMER_CASHAPPS 201 - Australia"/>
    <s v="Windy Go"/>
    <s v="689647123400424153 VERVESUPER 0780254"/>
    <m/>
    <m/>
    <m/>
    <m/>
    <m/>
    <m/>
    <m/>
    <m/>
    <m/>
    <m/>
    <m/>
    <m/>
    <m/>
    <m/>
    <m/>
    <m/>
    <m/>
    <m/>
    <m/>
    <m/>
    <m/>
    <m/>
    <m/>
    <m/>
    <m/>
    <m/>
    <m/>
    <m/>
    <m/>
    <m/>
    <m/>
    <m/>
    <m/>
    <m/>
    <m/>
    <m/>
    <m/>
    <m/>
    <m/>
    <m/>
    <m/>
    <m/>
    <m/>
    <m/>
    <m/>
    <m/>
    <m/>
    <m/>
    <m/>
    <m/>
    <m/>
    <m/>
    <m/>
    <m/>
    <m/>
    <m/>
  </r>
  <r>
    <s v="201 - Australia"/>
    <d v="2022-09-29T00:00:00"/>
    <s v="SEPTEMBER"/>
    <n v="2022"/>
    <x v="2"/>
    <s v="Deposited"/>
    <s v="PMT-S155-29838"/>
    <s v=""/>
    <s v="AUD"/>
    <n v="-550"/>
    <n v="-392.97500000000002"/>
    <n v="392.97500000000002"/>
    <n v="-26251.494999999999"/>
    <s v="DUMMY CUSTOMER_CASHAPPS 201 - Australia"/>
    <s v="Windy Go"/>
    <s v="MN2033605 CBA 0685610"/>
    <m/>
    <m/>
    <m/>
    <m/>
    <m/>
    <m/>
    <m/>
    <m/>
    <m/>
    <m/>
    <m/>
    <m/>
    <m/>
    <m/>
    <m/>
    <m/>
    <m/>
    <m/>
    <m/>
    <m/>
    <m/>
    <m/>
    <m/>
    <m/>
    <m/>
    <m/>
    <m/>
    <m/>
    <m/>
    <m/>
    <m/>
    <m/>
    <m/>
    <m/>
    <m/>
    <m/>
    <m/>
    <m/>
    <m/>
    <m/>
    <m/>
    <m/>
    <m/>
    <m/>
    <m/>
    <m/>
    <m/>
    <m/>
    <m/>
    <m/>
    <m/>
    <m/>
    <m/>
    <m/>
    <m/>
    <m/>
  </r>
  <r>
    <s v="201 - Australia"/>
    <d v="2022-05-18T00:00:00"/>
    <s v="MAY"/>
    <n v="2022"/>
    <x v="2"/>
    <s v="Deposited"/>
    <s v="PMT-S155-28115"/>
    <s v="IN-S155-422085"/>
    <s v="AUD"/>
    <n v="-963.9"/>
    <n v="-688.70699999999999"/>
    <n v="327.95600000000002"/>
    <n v="-327.95600000000002"/>
    <s v="ALWAYS HUMAN GROUP PTY LTD"/>
    <s v=""/>
    <s v="Lampoon Group Lampoon Group Pt 0592784"/>
    <m/>
    <m/>
    <m/>
    <m/>
    <m/>
    <m/>
    <m/>
    <m/>
    <m/>
    <m/>
    <m/>
    <m/>
    <m/>
    <m/>
    <m/>
    <m/>
    <m/>
    <m/>
    <m/>
    <m/>
    <m/>
    <m/>
    <m/>
    <m/>
    <m/>
    <m/>
    <m/>
    <m/>
    <m/>
    <m/>
    <m/>
    <m/>
    <m/>
    <m/>
    <m/>
    <m/>
    <m/>
    <m/>
    <m/>
    <m/>
    <m/>
    <m/>
    <m/>
    <m/>
    <m/>
    <m/>
    <m/>
    <m/>
    <m/>
    <m/>
    <m/>
    <m/>
    <m/>
    <m/>
    <m/>
    <m/>
  </r>
  <r>
    <s v="201 - Australia"/>
    <d v="2023-05-29T00:00:00"/>
    <s v="MAY"/>
    <n v="2023"/>
    <x v="2"/>
    <s v="Deposited"/>
    <s v="PMT-S155-32532"/>
    <s v="IN-S155-424125"/>
    <s v="AUD"/>
    <n v="-20630.21"/>
    <n v="-14740.285"/>
    <n v="289.02199999999999"/>
    <n v="-289.02199999999999"/>
    <s v="HAVAL Motors Australia Pty Ltd"/>
    <s v=""/>
    <s v="IN-S155-424125 Hav Recoveries Natio 0358677"/>
    <m/>
    <m/>
    <m/>
    <m/>
    <m/>
    <m/>
    <m/>
    <m/>
    <m/>
    <m/>
    <m/>
    <m/>
    <m/>
    <m/>
    <m/>
    <m/>
    <m/>
    <m/>
    <m/>
    <m/>
    <m/>
    <m/>
    <m/>
    <m/>
    <m/>
    <m/>
    <m/>
    <m/>
    <m/>
    <m/>
    <m/>
    <m/>
    <m/>
    <m/>
    <m/>
    <m/>
    <m/>
    <m/>
    <m/>
    <m/>
    <m/>
    <m/>
    <m/>
    <m/>
    <m/>
    <m/>
    <m/>
    <m/>
    <m/>
    <m/>
    <m/>
    <m/>
    <m/>
    <m/>
    <m/>
    <m/>
  </r>
  <r>
    <s v="201 - Australia"/>
    <d v="2026-04-20T00:00:00"/>
    <s v="APRIL"/>
    <n v="2026"/>
    <x v="2"/>
    <s v="Deposited"/>
    <s v="PMT-S155-43042"/>
    <s v=""/>
    <s v="AUD"/>
    <n v="-281.35000000000002"/>
    <n v="-201.02500000000001"/>
    <n v="201.02500000000001"/>
    <n v="-26251.494999999999"/>
    <s v="DUMMY CUSTOMER_CASHAPPS 201 - Australia"/>
    <s v="Windy Go"/>
    <s v="CVENTPAYMENTS-DMRH CVENTPAYMENTS 0530766"/>
    <m/>
    <m/>
    <m/>
    <m/>
    <m/>
    <m/>
    <m/>
    <m/>
    <m/>
    <m/>
    <m/>
    <m/>
    <m/>
    <m/>
    <m/>
    <m/>
    <m/>
    <m/>
    <m/>
    <m/>
    <m/>
    <m/>
    <m/>
    <m/>
    <m/>
    <m/>
    <m/>
    <m/>
    <m/>
    <m/>
    <m/>
    <m/>
    <m/>
    <m/>
    <m/>
    <m/>
    <m/>
    <m/>
    <m/>
    <m/>
    <m/>
    <m/>
    <m/>
    <m/>
    <m/>
    <m/>
    <m/>
    <m/>
    <m/>
    <m/>
    <m/>
    <m/>
    <m/>
    <m/>
    <m/>
    <m/>
  </r>
  <r>
    <s v="201 - Australia"/>
    <d v="2026-04-27T00:00:00"/>
    <s v="APRIL"/>
    <n v="2026"/>
    <x v="2"/>
    <s v="Deposited"/>
    <s v="PMT-S155-43111"/>
    <s v=""/>
    <s v="AUD"/>
    <n v="-188.72"/>
    <n v="-134.84"/>
    <n v="134.84"/>
    <n v="-26251.494999999999"/>
    <s v="DUMMY CUSTOMER_CASHAPPS 201 - Australia"/>
    <s v="Windy Go"/>
    <s v="CVENTPAYMENTS-HRNO CVENTPAYMENTS 0832990"/>
    <m/>
    <m/>
    <m/>
    <m/>
    <m/>
    <m/>
    <m/>
    <m/>
    <m/>
    <m/>
    <m/>
    <m/>
    <m/>
    <m/>
    <m/>
    <m/>
    <m/>
    <m/>
    <m/>
    <m/>
    <m/>
    <m/>
    <m/>
    <m/>
    <m/>
    <m/>
    <m/>
    <m/>
    <m/>
    <m/>
    <m/>
    <m/>
    <m/>
    <m/>
    <m/>
    <m/>
    <m/>
    <m/>
    <m/>
    <m/>
    <m/>
    <m/>
    <m/>
    <m/>
    <m/>
    <m/>
    <m/>
    <m/>
    <m/>
    <m/>
    <m/>
    <m/>
    <m/>
    <m/>
    <m/>
    <m/>
  </r>
  <r>
    <s v="201 - Australia"/>
    <d v="2022-05-17T00:00:00"/>
    <s v="MAY"/>
    <n v="2022"/>
    <x v="2"/>
    <s v="Deposited"/>
    <s v="PMT-S155-28095"/>
    <s v="IN-S155-420524"/>
    <s v="AUD"/>
    <n v="-7412.4"/>
    <n v="-5296.16"/>
    <n v="108.89"/>
    <n v="-108.89"/>
    <s v="Mornington Peninsula RTB Inc"/>
    <s v=""/>
    <s v="IN-S155-420524 Recoveries Natio 0538481"/>
    <m/>
    <m/>
    <m/>
    <m/>
    <m/>
    <m/>
    <m/>
    <m/>
    <m/>
    <m/>
    <m/>
    <m/>
    <m/>
    <m/>
    <m/>
    <m/>
    <m/>
    <m/>
    <m/>
    <m/>
    <m/>
    <m/>
    <m/>
    <m/>
    <m/>
    <m/>
    <m/>
    <m/>
    <m/>
    <m/>
    <m/>
    <m/>
    <m/>
    <m/>
    <m/>
    <m/>
    <m/>
    <m/>
    <m/>
    <m/>
    <m/>
    <m/>
    <m/>
    <m/>
    <m/>
    <m/>
    <m/>
    <m/>
    <m/>
    <m/>
    <m/>
    <m/>
    <m/>
    <m/>
    <m/>
    <m/>
  </r>
  <r>
    <s v="221 - HK"/>
    <d v="2025-07-10T00:00:00"/>
    <s v="JULY"/>
    <n v="2025"/>
    <x v="2"/>
    <s v="Deposited"/>
    <s v="PMT-S133-7108"/>
    <s v="IN-S133-408223"/>
    <s v="USD"/>
    <n v="-12937.5"/>
    <n v="-12937.037"/>
    <n v="2587.4070000000002"/>
    <n v="-2587.4070000000002"/>
    <s v="Zyxel Communications Corporation"/>
    <s v=""/>
    <s v="1/ZYXEL COMMUNICATIONS CORPORATION /OCMT/USD12937,50/ , /OGB/MEGA INTERNATIONAL COMMERCIAL BANK ,"/>
    <m/>
    <m/>
    <m/>
    <m/>
    <m/>
    <m/>
    <m/>
    <m/>
    <m/>
    <m/>
    <m/>
    <m/>
    <m/>
    <m/>
    <m/>
    <m/>
    <m/>
    <m/>
    <m/>
    <m/>
    <m/>
    <m/>
    <m/>
    <m/>
    <m/>
    <m/>
    <m/>
    <m/>
    <m/>
    <m/>
    <m/>
    <m/>
    <m/>
    <m/>
    <m/>
    <m/>
    <m/>
    <m/>
    <m/>
    <m/>
    <m/>
    <m/>
    <m/>
    <m/>
    <m/>
    <m/>
    <m/>
    <m/>
    <m/>
    <m/>
    <m/>
    <m/>
    <m/>
    <m/>
    <m/>
    <m/>
  </r>
  <r>
    <s v="221 - HK"/>
    <d v="2023-03-10T00:00:00"/>
    <s v="MARCH"/>
    <n v="2023"/>
    <x v="2"/>
    <s v="Deposited"/>
    <s v="PMT-S133-6062"/>
    <s v="IN-S133-407033"/>
    <s v="HKD"/>
    <n v="-66584.600000000006"/>
    <n v="-8498.7250000000004"/>
    <n v="272.96699999999998"/>
    <n v="-272.96699999999998"/>
    <s v="Zenith Integrated Communications Ltd"/>
    <s v=""/>
    <s v="/ORDP/FERRARI (HK) LIMITED /BREF/GHK2700150687002759 /OBK/007 /EREF/AP32100048814840 /REMI/"/>
    <m/>
    <m/>
    <m/>
    <m/>
    <m/>
    <m/>
    <m/>
    <m/>
    <m/>
    <m/>
    <m/>
    <m/>
    <m/>
    <m/>
    <m/>
    <m/>
    <m/>
    <m/>
    <m/>
    <m/>
    <m/>
    <m/>
    <m/>
    <m/>
    <m/>
    <m/>
    <m/>
    <m/>
    <m/>
    <m/>
    <m/>
    <m/>
    <m/>
    <m/>
    <m/>
    <m/>
    <m/>
    <m/>
    <m/>
    <m/>
    <m/>
    <m/>
    <m/>
    <m/>
    <m/>
    <m/>
    <m/>
    <m/>
    <m/>
    <m/>
    <m/>
    <m/>
    <m/>
    <m/>
    <m/>
    <m/>
  </r>
  <r>
    <s v="241 - Singapore"/>
    <d v="2023-06-16T00:00:00"/>
    <s v="JUNE"/>
    <n v="2023"/>
    <x v="2"/>
    <s v="Deposited"/>
    <s v="PMT-S158-8026"/>
    <s v=""/>
    <s v="SGD"/>
    <n v="-34003.79"/>
    <n v="-26612.216"/>
    <n v="26612.216"/>
    <n v="-26612.216"/>
    <s v="Temasek Capital Management Pte. Ltd."/>
    <s v=""/>
    <s v="INTERBANK GIRO Temasek Holdings (Private) Limited 024764 SUPPLIER PAYMENT"/>
    <m/>
    <m/>
    <m/>
    <m/>
    <m/>
    <m/>
    <m/>
    <m/>
    <m/>
    <m/>
    <m/>
    <m/>
    <m/>
    <m/>
    <m/>
    <m/>
    <m/>
    <m/>
    <m/>
    <m/>
    <m/>
    <m/>
    <m/>
    <m/>
    <m/>
    <m/>
    <m/>
    <m/>
    <m/>
    <m/>
    <m/>
    <m/>
    <m/>
    <m/>
    <m/>
    <m/>
    <m/>
    <m/>
    <m/>
    <m/>
    <m/>
    <m/>
    <m/>
    <m/>
    <m/>
    <m/>
    <m/>
    <m/>
    <m/>
    <m/>
    <m/>
    <m/>
    <m/>
    <m/>
    <m/>
    <m/>
  </r>
  <r>
    <s v="241 - Singapore"/>
    <d v="2023-06-16T00:00:00"/>
    <s v="JUNE"/>
    <n v="2023"/>
    <x v="2"/>
    <s v="Deposited"/>
    <s v="PMT-S158-8027"/>
    <s v=""/>
    <s v="EUR"/>
    <n v="-22932"/>
    <n v="-25232.159"/>
    <n v="25232.159"/>
    <n v="-48223.02"/>
    <s v="Danone Specialized Nutrition (Malaysia)"/>
    <s v=""/>
    <s v="INWARD TELEGRAPHIC TRANSFER ITT 3412060248/1 0016IT4175996 PT NUTRICIA INDONESIA SEJAHTERA EUR 22932 at SGD1.405914"/>
    <m/>
    <m/>
    <m/>
    <m/>
    <m/>
    <m/>
    <m/>
    <m/>
    <m/>
    <m/>
    <m/>
    <m/>
    <m/>
    <m/>
    <m/>
    <m/>
    <m/>
    <m/>
    <m/>
    <m/>
    <m/>
    <m/>
    <m/>
    <m/>
    <m/>
    <m/>
    <m/>
    <m/>
    <m/>
    <m/>
    <m/>
    <m/>
    <m/>
    <m/>
    <m/>
    <m/>
    <m/>
    <m/>
    <m/>
    <m/>
    <m/>
    <m/>
    <m/>
    <m/>
    <m/>
    <m/>
    <m/>
    <m/>
    <m/>
    <m/>
    <m/>
    <m/>
    <m/>
    <m/>
    <m/>
    <m/>
  </r>
  <r>
    <s v="241 - Singapore"/>
    <d v="2023-06-16T00:00:00"/>
    <s v="JUNE"/>
    <n v="2023"/>
    <x v="2"/>
    <s v="Deposited"/>
    <s v="PMT-S158-8030"/>
    <s v=""/>
    <s v="SGD"/>
    <n v="-29376.6"/>
    <n v="-22990.862000000001"/>
    <n v="22990.862000000001"/>
    <n v="-48223.02"/>
    <s v="Danone Specialized Nutrition (Malaysia)"/>
    <s v=""/>
    <s v="SG-2021-0081"/>
    <m/>
    <m/>
    <m/>
    <m/>
    <m/>
    <m/>
    <m/>
    <m/>
    <m/>
    <m/>
    <m/>
    <m/>
    <m/>
    <m/>
    <m/>
    <m/>
    <m/>
    <m/>
    <m/>
    <m/>
    <m/>
    <m/>
    <m/>
    <m/>
    <m/>
    <m/>
    <m/>
    <m/>
    <m/>
    <m/>
    <m/>
    <m/>
    <m/>
    <m/>
    <m/>
    <m/>
    <m/>
    <m/>
    <m/>
    <m/>
    <m/>
    <m/>
    <m/>
    <m/>
    <m/>
    <m/>
    <m/>
    <m/>
    <m/>
    <m/>
    <m/>
    <m/>
    <m/>
    <m/>
    <m/>
    <m/>
  </r>
  <r>
    <s v="241 - Singapore"/>
    <d v="2023-06-16T00:00:00"/>
    <s v="JUNE"/>
    <n v="2023"/>
    <x v="2"/>
    <s v="Deposited"/>
    <s v="PMT-S158-8029"/>
    <s v=""/>
    <s v="SGD"/>
    <n v="-15334"/>
    <n v="-12000.772000000001"/>
    <n v="12000.772000000001"/>
    <n v="-16462"/>
    <s v="Nutricia Internaonal Pvt. Ltd."/>
    <s v=""/>
    <s v="MEPS RECEIPT MER 1IR209298736C01 0016II4814496 NUTRICIA INTERNATIONAL PRIVATE SGD 15334"/>
    <m/>
    <m/>
    <m/>
    <m/>
    <m/>
    <m/>
    <m/>
    <m/>
    <m/>
    <m/>
    <m/>
    <m/>
    <m/>
    <m/>
    <m/>
    <m/>
    <m/>
    <m/>
    <m/>
    <m/>
    <m/>
    <m/>
    <m/>
    <m/>
    <m/>
    <m/>
    <m/>
    <m/>
    <m/>
    <m/>
    <m/>
    <m/>
    <m/>
    <m/>
    <m/>
    <m/>
    <m/>
    <m/>
    <m/>
    <m/>
    <m/>
    <m/>
    <m/>
    <m/>
    <m/>
    <m/>
    <m/>
    <m/>
    <m/>
    <m/>
    <m/>
    <m/>
    <m/>
    <m/>
    <m/>
    <m/>
  </r>
  <r>
    <s v="241 - Singapore"/>
    <d v="2025-02-24T00:00:00"/>
    <s v="FEBRUARY"/>
    <n v="2025"/>
    <x v="2"/>
    <s v="Deposited"/>
    <s v="PMT-S158-10670"/>
    <s v="IN-S158-409318"/>
    <s v="USD"/>
    <n v="-46200"/>
    <n v="-47256.743999999999"/>
    <n v="11814.186"/>
    <n v="1148.6669999999999"/>
    <s v="TBG SHARED SERVICES INC."/>
    <s v=""/>
    <s v="TBG SHARED SERVICES INC /URI/PAYMENT FOR LICENSE(REVIEW SIT ES,AUDIENCE META BRONZE AND SOCIAL ESSENTIALS L2) INV NO.IN- S158-409 318///ROC/6678948052FS FX USD 46185.00 AT 1.3074020 617282642 /TMS/2025-02-24T01:19:27 GMT/MID/1.334258"/>
    <m/>
    <m/>
    <m/>
    <m/>
    <m/>
    <m/>
    <m/>
    <m/>
    <m/>
    <m/>
    <m/>
    <m/>
    <m/>
    <m/>
    <m/>
    <m/>
    <m/>
    <m/>
    <m/>
    <m/>
    <m/>
    <m/>
    <m/>
    <m/>
    <m/>
    <m/>
    <m/>
    <m/>
    <m/>
    <m/>
    <m/>
    <m/>
    <m/>
    <m/>
    <m/>
    <m/>
    <m/>
    <m/>
    <m/>
    <m/>
    <m/>
    <m/>
    <m/>
    <m/>
    <m/>
    <m/>
    <m/>
    <m/>
    <m/>
    <m/>
    <m/>
    <m/>
    <m/>
    <m/>
    <m/>
    <m/>
  </r>
  <r>
    <s v="241 - Singapore"/>
    <d v="2023-06-16T00:00:00"/>
    <s v="JUNE"/>
    <n v="2023"/>
    <x v="2"/>
    <s v="Deposited"/>
    <s v="PMT-S158-8028"/>
    <s v=""/>
    <s v="EUR"/>
    <n v="-10479.58"/>
    <n v="-11467.601000000001"/>
    <n v="11467.601000000001"/>
    <n v="-11467.601000000001"/>
    <s v="Moet Hennessy Asia Pacific Pte. Ltd."/>
    <s v=""/>
    <s v="INWARD TELEGRAPHIC TRANSFER ITT XSS90750 0016IT4524256 MOET HENNESSY ASIA PACIFIC PTE LTD EUR 10479.58 at SGD1.398218"/>
    <m/>
    <m/>
    <m/>
    <m/>
    <m/>
    <m/>
    <m/>
    <m/>
    <m/>
    <m/>
    <m/>
    <m/>
    <m/>
    <m/>
    <m/>
    <m/>
    <m/>
    <m/>
    <m/>
    <m/>
    <m/>
    <m/>
    <m/>
    <m/>
    <m/>
    <m/>
    <m/>
    <m/>
    <m/>
    <m/>
    <m/>
    <m/>
    <m/>
    <m/>
    <m/>
    <m/>
    <m/>
    <m/>
    <m/>
    <m/>
    <m/>
    <m/>
    <m/>
    <m/>
    <m/>
    <m/>
    <m/>
    <m/>
    <m/>
    <m/>
    <m/>
    <m/>
    <m/>
    <m/>
    <m/>
    <m/>
  </r>
  <r>
    <s v="241 - Singapore"/>
    <d v="2026-01-02T00:00:00"/>
    <s v="JANUARY"/>
    <n v="2026"/>
    <x v="2"/>
    <s v="Deposited"/>
    <s v="PMT-S158-11988"/>
    <s v="IN-S158-410112"/>
    <s v="USD"/>
    <n v="-70186.67"/>
    <n v="-70600.781000000003"/>
    <n v="7564.3680000000004"/>
    <n v="-7564.3680000000004"/>
    <s v="PUBLiCUS Asia, Inc."/>
    <s v=""/>
    <s v=""/>
    <m/>
    <m/>
    <m/>
    <m/>
    <m/>
    <m/>
    <m/>
    <m/>
    <m/>
    <m/>
    <m/>
    <m/>
    <m/>
    <m/>
    <m/>
    <m/>
    <m/>
    <m/>
    <m/>
    <m/>
    <m/>
    <m/>
    <m/>
    <m/>
    <m/>
    <m/>
    <m/>
    <m/>
    <m/>
    <m/>
    <m/>
    <m/>
    <m/>
    <m/>
    <m/>
    <m/>
    <m/>
    <m/>
    <m/>
    <m/>
    <m/>
    <m/>
    <m/>
    <m/>
    <m/>
    <m/>
    <m/>
    <m/>
    <m/>
    <m/>
    <m/>
    <m/>
    <m/>
    <m/>
    <m/>
    <m/>
  </r>
  <r>
    <s v="241 - Singapore"/>
    <d v="2023-06-16T00:00:00"/>
    <s v="JUNE"/>
    <n v="2023"/>
    <x v="2"/>
    <s v="Deposited"/>
    <s v="PMT-S158-8025"/>
    <s v=""/>
    <s v="SGD"/>
    <n v="-7074.6"/>
    <n v="-5536.759"/>
    <n v="5536.759"/>
    <n v="-5536.759"/>
    <s v="Sephora Asia Pte Ltd"/>
    <s v=""/>
    <s v="INWARD TELEGRAPHIC TRANSFER ITT 285360429 0016IT2711743 SEPHORA ASIA PTE. LTD. USD 5735 at SGD1.347185"/>
    <m/>
    <m/>
    <m/>
    <m/>
    <m/>
    <m/>
    <m/>
    <m/>
    <m/>
    <m/>
    <m/>
    <m/>
    <m/>
    <m/>
    <m/>
    <m/>
    <m/>
    <m/>
    <m/>
    <m/>
    <m/>
    <m/>
    <m/>
    <m/>
    <m/>
    <m/>
    <m/>
    <m/>
    <m/>
    <m/>
    <m/>
    <m/>
    <m/>
    <m/>
    <m/>
    <m/>
    <m/>
    <m/>
    <m/>
    <m/>
    <m/>
    <m/>
    <m/>
    <m/>
    <m/>
    <m/>
    <m/>
    <m/>
    <m/>
    <m/>
    <m/>
    <m/>
    <m/>
    <m/>
    <m/>
    <m/>
  </r>
  <r>
    <s v="241 - Singapore"/>
    <d v="2026-01-16T00:00:00"/>
    <s v="JANUARY"/>
    <n v="2026"/>
    <x v="2"/>
    <s v="Deposited"/>
    <s v="PMT-S158-12058"/>
    <s v="IN-S158-410186"/>
    <s v="USD"/>
    <n v="-10080"/>
    <n v="-9954.8490000000002"/>
    <n v="4977.4250000000002"/>
    <n v="-4977.4250000000002"/>
    <s v="Blink CX Co."/>
    <s v=""/>
    <s v="CONCENTRIX SOLUTIONS CORPORATION /RFB/2026-01-000037///POP INV INS15 8409612,INS158410186INV INS1584096 12 INV INS158410186 FX USD 10080.00 AT 1.2618870 523300787/TMS/2026-01-16T09:22:44 GMT/MID/1.287715"/>
    <m/>
    <m/>
    <m/>
    <m/>
    <m/>
    <m/>
    <m/>
    <m/>
    <m/>
    <m/>
    <m/>
    <m/>
    <m/>
    <m/>
    <m/>
    <m/>
    <m/>
    <m/>
    <m/>
    <m/>
    <m/>
    <m/>
    <m/>
    <m/>
    <m/>
    <m/>
    <m/>
    <m/>
    <m/>
    <m/>
    <m/>
    <m/>
    <m/>
    <m/>
    <m/>
    <m/>
    <m/>
    <m/>
    <m/>
    <m/>
    <m/>
    <m/>
    <m/>
    <m/>
    <m/>
    <m/>
    <m/>
    <m/>
    <m/>
    <m/>
    <m/>
    <m/>
    <m/>
    <m/>
    <m/>
    <m/>
  </r>
  <r>
    <s v="241 - Singapore"/>
    <d v="2025-11-12T00:00:00"/>
    <s v="NOVEMBER"/>
    <n v="2025"/>
    <x v="2"/>
    <s v="Not Deposited"/>
    <s v="PMT-S158-11743"/>
    <s v=""/>
    <s v="EUR"/>
    <n v="-4054.05"/>
    <n v="-4461.2290000000003"/>
    <n v="4461.2290000000003"/>
    <n v="-16462"/>
    <s v="Nutricia Internaonal Pvt. Ltd."/>
    <s v=""/>
    <s v="PMT-S158-8031 from dummy to customer account"/>
    <m/>
    <m/>
    <m/>
    <m/>
    <m/>
    <m/>
    <m/>
    <m/>
    <m/>
    <m/>
    <m/>
    <m/>
    <m/>
    <m/>
    <m/>
    <m/>
    <m/>
    <m/>
    <m/>
    <m/>
    <m/>
    <m/>
    <m/>
    <m/>
    <m/>
    <m/>
    <m/>
    <m/>
    <m/>
    <m/>
    <m/>
    <m/>
    <m/>
    <m/>
    <m/>
    <m/>
    <m/>
    <m/>
    <m/>
    <m/>
    <m/>
    <m/>
    <m/>
    <m/>
    <m/>
    <m/>
    <m/>
    <m/>
    <m/>
    <m/>
    <m/>
    <m/>
    <m/>
    <m/>
    <m/>
    <m/>
  </r>
  <r>
    <s v="241 - Singapore"/>
    <d v="2023-06-16T00:00:00"/>
    <s v="JUNE"/>
    <n v="2023"/>
    <x v="2"/>
    <s v="Deposited"/>
    <s v="PMT-S158-8024"/>
    <s v=""/>
    <s v="USD"/>
    <n v="-3888"/>
    <n v="-4101.7299999999996"/>
    <n v="4101.7299999999996"/>
    <n v="-4101.7299999999996"/>
    <s v="Danone Specialized Nutrition (Thailand) Co., Ltd."/>
    <s v=""/>
    <s v="Passion Point Media Co. USD 3888 at SGD1.347992"/>
    <m/>
    <m/>
    <m/>
    <m/>
    <m/>
    <m/>
    <m/>
    <m/>
    <m/>
    <m/>
    <m/>
    <m/>
    <m/>
    <m/>
    <m/>
    <m/>
    <m/>
    <m/>
    <m/>
    <m/>
    <m/>
    <m/>
    <m/>
    <m/>
    <m/>
    <m/>
    <m/>
    <m/>
    <m/>
    <m/>
    <m/>
    <m/>
    <m/>
    <m/>
    <m/>
    <m/>
    <m/>
    <m/>
    <m/>
    <m/>
    <m/>
    <m/>
    <m/>
    <m/>
    <m/>
    <m/>
    <m/>
    <m/>
    <m/>
    <m/>
    <m/>
    <m/>
    <m/>
    <m/>
    <m/>
    <m/>
  </r>
  <r>
    <s v="241 - Singapore"/>
    <d v="2026-04-15T00:00:00"/>
    <s v="APRIL"/>
    <n v="2026"/>
    <x v="2"/>
    <s v="Not Deposited"/>
    <s v="PMT-S158-12595"/>
    <s v="IN-S158-410328"/>
    <s v="USD"/>
    <n v="-35840"/>
    <n v="-35672.517"/>
    <n v="3822.0590000000002"/>
    <n v="-3822.0590000000002"/>
    <s v="Suyen Corporation"/>
    <s v=""/>
    <s v="Payment for 241-Singapore IN-S158-410328 received in 221-HK"/>
    <m/>
    <m/>
    <m/>
    <m/>
    <m/>
    <m/>
    <m/>
    <m/>
    <m/>
    <m/>
    <m/>
    <m/>
    <m/>
    <m/>
    <m/>
    <m/>
    <m/>
    <m/>
    <m/>
    <m/>
    <m/>
    <m/>
    <m/>
    <m/>
    <m/>
    <m/>
    <m/>
    <m/>
    <m/>
    <m/>
    <m/>
    <m/>
    <m/>
    <m/>
    <m/>
    <m/>
    <m/>
    <m/>
    <m/>
    <m/>
    <m/>
    <m/>
    <m/>
    <m/>
    <m/>
    <m/>
    <m/>
    <m/>
    <m/>
    <m/>
    <m/>
    <m/>
    <m/>
    <m/>
    <m/>
    <m/>
  </r>
  <r>
    <s v="241 - Singapore"/>
    <d v="2026-04-15T00:00:00"/>
    <s v="APRIL"/>
    <n v="2026"/>
    <x v="2"/>
    <s v="Deposited"/>
    <s v="PMT-S158-12593"/>
    <s v="IN-S158-410331"/>
    <s v="USD"/>
    <n v="-32076.799999999999"/>
    <n v="-31278.687999999998"/>
    <n v="3351.2860000000001"/>
    <n v="-3351.2860000000001"/>
    <s v="SM PRIME HOLDINGS INC."/>
    <s v=""/>
    <s v="1/SM PRIME HOLDINGS INC IN S158 410331 SOCIAL MEDIA CRISIS MANAGEMENT SUBSCRIPTION FX USD 32076.80 AT 1.2459590 528325969 /TMS/2026-04-15T08:14:19 GMT/MID/1.271462"/>
    <m/>
    <m/>
    <m/>
    <m/>
    <m/>
    <m/>
    <m/>
    <m/>
    <m/>
    <m/>
    <m/>
    <m/>
    <m/>
    <m/>
    <m/>
    <m/>
    <m/>
    <m/>
    <m/>
    <m/>
    <m/>
    <m/>
    <m/>
    <m/>
    <m/>
    <m/>
    <m/>
    <m/>
    <m/>
    <m/>
    <m/>
    <m/>
    <m/>
    <m/>
    <m/>
    <m/>
    <m/>
    <m/>
    <m/>
    <m/>
    <m/>
    <m/>
    <m/>
    <m/>
    <m/>
    <m/>
    <m/>
    <m/>
    <m/>
    <m/>
    <m/>
    <m/>
    <m/>
    <m/>
    <m/>
    <m/>
  </r>
  <r>
    <s v="241 - Singapore"/>
    <d v="2026-05-04T00:00:00"/>
    <s v="MAY"/>
    <n v="2026"/>
    <x v="2"/>
    <s v="Deposited"/>
    <s v="PMT-S158-12718"/>
    <s v=""/>
    <s v="SGD"/>
    <n v="-4086"/>
    <n v="-3197.806"/>
    <n v="3197.806"/>
    <n v="-3197.806"/>
    <s v="DUMMY CUSTOMER_CASHAPPS 241 - Singapore"/>
    <s v="Mahek Chugani-242"/>
    <s v="/CREF/7458424-38000-SG-ACH/BREF/J11 700018855 /EREF/SG260424073/PURP/SALA /OCMT/SGD4086,00/"/>
    <m/>
    <m/>
    <m/>
    <m/>
    <m/>
    <m/>
    <m/>
    <m/>
    <m/>
    <m/>
    <m/>
    <m/>
    <m/>
    <m/>
    <m/>
    <m/>
    <m/>
    <m/>
    <m/>
    <m/>
    <m/>
    <m/>
    <m/>
    <m/>
    <m/>
    <m/>
    <m/>
    <m/>
    <m/>
    <m/>
    <m/>
    <m/>
    <m/>
    <m/>
    <m/>
    <m/>
    <m/>
    <m/>
    <m/>
    <m/>
    <m/>
    <m/>
    <m/>
    <m/>
    <m/>
    <m/>
    <m/>
    <m/>
    <m/>
    <m/>
    <m/>
    <m/>
    <m/>
    <m/>
    <m/>
    <m/>
  </r>
  <r>
    <s v="241 - Singapore"/>
    <d v="2026-05-05T00:00:00"/>
    <s v="MAY"/>
    <n v="2026"/>
    <x v="2"/>
    <s v="Deposited"/>
    <s v="PMT-S158-12723"/>
    <s v="IN-S158-410178"/>
    <s v="USD"/>
    <n v="-20213.8"/>
    <n v="-19806.392"/>
    <n v="2127.0500000000002"/>
    <n v="-2127.0500000000002"/>
    <s v="Bowman Technologies Inc"/>
    <s v=""/>
    <s v="BOWMAN TECHNOLOGIES INC. /INV/SUPPLIERS PAYMENT PAYMENT FOR SUBSCRIPTION QTY 19 ITEM DESC CA SO CIAL ESSENTIALS L2.. FX USD 20213.80 AT 1.2519980 529478442/TMS/2026-05-05T09:21:01 GMT/MID/1.277626"/>
    <m/>
    <m/>
    <m/>
    <m/>
    <m/>
    <m/>
    <m/>
    <m/>
    <m/>
    <m/>
    <m/>
    <m/>
    <m/>
    <m/>
    <m/>
    <m/>
    <m/>
    <m/>
    <m/>
    <m/>
    <m/>
    <m/>
    <m/>
    <m/>
    <m/>
    <m/>
    <m/>
    <m/>
    <m/>
    <m/>
    <m/>
    <m/>
    <m/>
    <m/>
    <m/>
    <m/>
    <m/>
    <m/>
    <m/>
    <m/>
    <m/>
    <m/>
    <m/>
    <m/>
    <m/>
    <m/>
    <m/>
    <m/>
    <m/>
    <m/>
    <m/>
    <m/>
    <m/>
    <m/>
    <m/>
    <m/>
  </r>
  <r>
    <s v="241 - Singapore"/>
    <d v="2026-02-12T00:00:00"/>
    <s v="FEBRUARY"/>
    <n v="2026"/>
    <x v="2"/>
    <s v="Deposited"/>
    <s v="PMT-S158-12205"/>
    <s v="IN-S158-410166"/>
    <s v="USD"/>
    <n v="-5000"/>
    <n v="-4974.2860000000001"/>
    <n v="1909.018"/>
    <n v="-1909.018"/>
    <s v="The Huddle Room"/>
    <s v=""/>
    <s v=""/>
    <m/>
    <m/>
    <m/>
    <m/>
    <m/>
    <m/>
    <m/>
    <m/>
    <m/>
    <m/>
    <m/>
    <m/>
    <m/>
    <m/>
    <m/>
    <m/>
    <m/>
    <m/>
    <m/>
    <m/>
    <m/>
    <m/>
    <m/>
    <m/>
    <m/>
    <m/>
    <m/>
    <m/>
    <m/>
    <m/>
    <m/>
    <m/>
    <m/>
    <m/>
    <m/>
    <m/>
    <m/>
    <m/>
    <m/>
    <m/>
    <m/>
    <m/>
    <m/>
    <m/>
    <m/>
    <m/>
    <m/>
    <m/>
    <m/>
    <m/>
    <m/>
    <m/>
    <m/>
    <m/>
    <m/>
    <m/>
  </r>
  <r>
    <s v="241 - Singapore"/>
    <d v="2026-04-30T00:00:00"/>
    <s v="APRIL"/>
    <n v="2026"/>
    <x v="2"/>
    <s v="Deposited"/>
    <s v="PMT-S158-12708"/>
    <s v="IN-S158-410605"/>
    <s v="USD"/>
    <n v="-14235.5"/>
    <n v="-13975.742"/>
    <n v="1498.9770000000001"/>
    <n v="-1498.9770000000001"/>
    <s v="St. Luke's Medical Center"/>
    <s v=""/>
    <s v="ST LUKE S MEDICAL CENTER GLOBAL CIT IN S158 410605 CA ADDITIONAL SEARCH ES USERS AND SITE REVIEWS FX USD 14235.50 AT 1.2544360 529153071 /TMS/2026-04-30T01:17:09 GMT/MID/1.280822"/>
    <m/>
    <m/>
    <m/>
    <m/>
    <m/>
    <m/>
    <m/>
    <m/>
    <m/>
    <m/>
    <m/>
    <m/>
    <m/>
    <m/>
    <m/>
    <m/>
    <m/>
    <m/>
    <m/>
    <m/>
    <m/>
    <m/>
    <m/>
    <m/>
    <m/>
    <m/>
    <m/>
    <m/>
    <m/>
    <m/>
    <m/>
    <m/>
    <m/>
    <m/>
    <m/>
    <m/>
    <m/>
    <m/>
    <m/>
    <m/>
    <m/>
    <m/>
    <m/>
    <m/>
    <m/>
    <m/>
    <m/>
    <m/>
    <m/>
    <m/>
    <m/>
    <m/>
    <m/>
    <m/>
    <m/>
    <m/>
  </r>
  <r>
    <s v="241 - Singapore"/>
    <d v="2026-04-16T00:00:00"/>
    <s v="APRIL"/>
    <n v="2026"/>
    <x v="2"/>
    <s v="Deposited"/>
    <s v="PMT-S158-12609"/>
    <s v="IN-S158-410316"/>
    <s v="USD"/>
    <n v="-7433"/>
    <n v="-7244.3059999999996"/>
    <n v="777.74099999999999"/>
    <n v="-777.74099999999999"/>
    <s v="Intelligent Beauty Skin Solutions, Inc. Business Style: Belo Medical Group"/>
    <s v=""/>
    <s v="INTELLIGENT BEAUTY SKIN SOLUTIONS I IN S158 410316 HO FX USD 7433.00 AT 1.2453140 528384503/TMS/2026-04-16T07:40:19 GMT/MID/1.270803"/>
    <m/>
    <m/>
    <m/>
    <m/>
    <m/>
    <m/>
    <m/>
    <m/>
    <m/>
    <m/>
    <m/>
    <m/>
    <m/>
    <m/>
    <m/>
    <m/>
    <m/>
    <m/>
    <m/>
    <m/>
    <m/>
    <m/>
    <m/>
    <m/>
    <m/>
    <m/>
    <m/>
    <m/>
    <m/>
    <m/>
    <m/>
    <m/>
    <m/>
    <m/>
    <m/>
    <m/>
    <m/>
    <m/>
    <m/>
    <m/>
    <m/>
    <m/>
    <m/>
    <m/>
    <m/>
    <m/>
    <m/>
    <m/>
    <m/>
    <m/>
    <m/>
    <m/>
    <m/>
    <m/>
    <m/>
    <m/>
  </r>
  <r>
    <s v="241 - Singapore"/>
    <d v="2023-11-06T00:00:00"/>
    <s v="NOVEMBER"/>
    <n v="2023"/>
    <x v="2"/>
    <s v="Deposited"/>
    <s v="PMT-S158-8648"/>
    <s v=""/>
    <s v="SGD"/>
    <n v="-782.25"/>
    <n v="-612.20799999999997"/>
    <n v="612.20799999999997"/>
    <n v="-612.20799999999997"/>
    <s v="PT. Sompo Insurance Indonesia"/>
    <s v=""/>
    <s v="PT. SOMPO INSURANCE INDONESIA IN-S158-407449"/>
    <m/>
    <m/>
    <m/>
    <m/>
    <m/>
    <m/>
    <m/>
    <m/>
    <m/>
    <m/>
    <m/>
    <m/>
    <m/>
    <m/>
    <m/>
    <m/>
    <m/>
    <m/>
    <m/>
    <m/>
    <m/>
    <m/>
    <m/>
    <m/>
    <m/>
    <m/>
    <m/>
    <m/>
    <m/>
    <m/>
    <m/>
    <m/>
    <m/>
    <m/>
    <m/>
    <m/>
    <m/>
    <m/>
    <m/>
    <m/>
    <m/>
    <m/>
    <m/>
    <m/>
    <m/>
    <m/>
    <m/>
    <m/>
    <m/>
    <m/>
    <m/>
    <m/>
    <m/>
    <m/>
    <m/>
    <m/>
  </r>
  <r>
    <s v="241 - Singapore"/>
    <d v="2023-05-17T00:00:00"/>
    <s v="MAY"/>
    <n v="2023"/>
    <x v="2"/>
    <s v="Deposited"/>
    <s v="PMT-S158-7784"/>
    <s v=""/>
    <s v="SGD"/>
    <n v="-761.07"/>
    <n v="-595.63199999999995"/>
    <n v="595.63199999999995"/>
    <n v="-595.63199999999995"/>
    <s v="InsightzClub Pte LTD"/>
    <s v=""/>
    <s v="1/CMC WORLDWIDE B.V. /URI/IN-S158-405515,our ref 345568 . Refund double payment///ROC/EC313 0I4CO3S5G00 FX EUR 539.99 AT 1.4094130 234341493/TMS/2023-05-17T01:18:23 GMT/MID/1.456891"/>
    <m/>
    <m/>
    <m/>
    <m/>
    <m/>
    <m/>
    <m/>
    <m/>
    <m/>
    <m/>
    <m/>
    <m/>
    <m/>
    <m/>
    <m/>
    <m/>
    <m/>
    <m/>
    <m/>
    <m/>
    <m/>
    <m/>
    <m/>
    <m/>
    <m/>
    <m/>
    <m/>
    <m/>
    <m/>
    <m/>
    <m/>
    <m/>
    <m/>
    <m/>
    <m/>
    <m/>
    <m/>
    <m/>
    <m/>
    <m/>
    <m/>
    <m/>
    <m/>
    <m/>
    <m/>
    <m/>
    <m/>
    <m/>
    <m/>
    <m/>
    <m/>
    <m/>
    <m/>
    <m/>
    <m/>
    <m/>
  </r>
  <r>
    <s v="241 - Singapore"/>
    <d v="2026-04-28T00:00:00"/>
    <s v="APRIL"/>
    <n v="2026"/>
    <x v="2"/>
    <s v="Deposited"/>
    <s v="PMT-S158-12678"/>
    <s v="IN-S158-410595"/>
    <s v="USD"/>
    <n v="-5115.6000000000004"/>
    <n v="-5001.3729999999996"/>
    <n v="535.86300000000006"/>
    <n v="-535.86300000000006"/>
    <s v="LouderPH"/>
    <s v=""/>
    <s v="1/LOUDERPH INC /URI/OTHER-PAYMENT OF MONTHLY SUBSC RIPTI 6562385010///ROC/PHNTR0225355 /1 FX USD 5115.60 AT 1.2492210 529004653/TMS/2026-04-28T01:17:03 GMT/MID/1.274802"/>
    <m/>
    <m/>
    <m/>
    <m/>
    <m/>
    <m/>
    <m/>
    <m/>
    <m/>
    <m/>
    <m/>
    <m/>
    <m/>
    <m/>
    <m/>
    <m/>
    <m/>
    <m/>
    <m/>
    <m/>
    <m/>
    <m/>
    <m/>
    <m/>
    <m/>
    <m/>
    <m/>
    <m/>
    <m/>
    <m/>
    <m/>
    <m/>
    <m/>
    <m/>
    <m/>
    <m/>
    <m/>
    <m/>
    <m/>
    <m/>
    <m/>
    <m/>
    <m/>
    <m/>
    <m/>
    <m/>
    <m/>
    <m/>
    <m/>
    <m/>
    <m/>
    <m/>
    <m/>
    <m/>
    <m/>
    <m/>
  </r>
  <r>
    <s v="241 - Singapore"/>
    <d v="2026-03-09T00:00:00"/>
    <s v="MARCH"/>
    <n v="2026"/>
    <x v="2"/>
    <s v="Deposited"/>
    <s v="PMT-S158-12337"/>
    <s v="IN-S158-410484"/>
    <s v="SGD"/>
    <n v="-8595.74"/>
    <n v="-6727.241"/>
    <n v="17.053000000000001"/>
    <n v="6693.134"/>
    <s v="Ministry of Sustainability and the Environment"/>
    <s v=""/>
    <s v="/EREF/5004731176/PURP/OTHR /IREF/20260309OCBCSGSGBBP0030373/OBK/OCBCSGSG /ORDP/THE ACCOUNTANT GENERAL /OCMT/SGD41265,22/"/>
    <m/>
    <m/>
    <m/>
    <m/>
    <m/>
    <m/>
    <m/>
    <m/>
    <m/>
    <m/>
    <m/>
    <m/>
    <m/>
    <m/>
    <m/>
    <m/>
    <m/>
    <m/>
    <m/>
    <m/>
    <m/>
    <m/>
    <m/>
    <m/>
    <m/>
    <m/>
    <m/>
    <m/>
    <m/>
    <m/>
    <m/>
    <m/>
    <m/>
    <m/>
    <m/>
    <m/>
    <m/>
    <m/>
    <m/>
    <m/>
    <m/>
    <m/>
    <m/>
    <m/>
    <m/>
    <m/>
    <m/>
    <m/>
    <m/>
    <m/>
    <m/>
    <m/>
    <m/>
    <m/>
    <m/>
    <m/>
  </r>
  <r>
    <s v="302 - Netherlands"/>
    <d v="2023-06-02T00:00:00"/>
    <s v="JUNE"/>
    <n v="2023"/>
    <x v="3"/>
    <s v="Deposited"/>
    <s v="PMT-S147-14165"/>
    <s v=""/>
    <s v="EUR"/>
    <n v="-24200"/>
    <n v="-28300.69"/>
    <n v="28300.69"/>
    <n v="-28300.69"/>
    <s v="IBFD"/>
    <s v="Prabhat Aggarwal"/>
    <s v="/EREF/001VENDPAY001982-5637200 592-04/ORDP//NAME/STG INTERNATIONAA L BELASTING DOCUMENTATIE BUREAU/ID//REMI/IN-S147-413743/ISDT/2023 0602/ULTD//NAME//ID//ULTB//NAME//ID//PURP//PRTRY//OCMT/EUR24200,/ EXCH/1.0000000"/>
    <m/>
    <m/>
    <m/>
    <m/>
    <m/>
    <m/>
    <m/>
    <m/>
    <m/>
    <m/>
    <m/>
    <m/>
    <m/>
    <m/>
    <m/>
    <m/>
    <m/>
    <m/>
    <m/>
    <m/>
    <m/>
    <m/>
    <m/>
    <m/>
    <m/>
    <m/>
    <m/>
    <m/>
    <m/>
    <m/>
    <m/>
    <m/>
    <m/>
    <m/>
    <m/>
    <m/>
    <m/>
    <m/>
    <m/>
    <m/>
    <m/>
    <m/>
    <m/>
    <m/>
    <m/>
    <m/>
    <m/>
    <m/>
    <m/>
    <m/>
    <m/>
    <m/>
    <m/>
    <m/>
    <m/>
    <m/>
  </r>
  <r>
    <s v="302 - Netherlands"/>
    <d v="2026-03-27T00:00:00"/>
    <s v="MARCH"/>
    <n v="2026"/>
    <x v="3"/>
    <s v="Deposited"/>
    <s v="PMT-S147-17809"/>
    <s v=""/>
    <s v="EUR"/>
    <n v="-12337.5"/>
    <n v="-14428.089"/>
    <n v="14428.089"/>
    <n v="-17457.993999999999"/>
    <s v="DUFRY INTERNATIONAL AG"/>
    <s v="Prabhat Aggarwal"/>
    <s v="/EREF/2000111053/ORDP//NAME/DUFRY IN TERNATIONAL AG/ID/549300I08UA 8SMJON743 BOID/REMI/20260113/IN-S147-416715/12337.50 1700182739 1 700182739/ISDT/20260327/ULTD//NAME//ID//ULTB//NAME//ID//PURP//PRT RY//OCMT/EUR12337,5/EXCH/1.0000000"/>
    <m/>
    <m/>
    <m/>
    <m/>
    <m/>
    <m/>
    <m/>
    <m/>
    <m/>
    <m/>
    <m/>
    <m/>
    <m/>
    <m/>
    <m/>
    <m/>
    <m/>
    <m/>
    <m/>
    <m/>
    <m/>
    <m/>
    <m/>
    <m/>
    <m/>
    <m/>
    <m/>
    <m/>
    <m/>
    <m/>
    <m/>
    <m/>
    <m/>
    <m/>
    <m/>
    <m/>
    <m/>
    <m/>
    <m/>
    <m/>
    <m/>
    <m/>
    <m/>
    <m/>
    <m/>
    <m/>
    <m/>
    <m/>
    <m/>
    <m/>
    <m/>
    <m/>
    <m/>
    <m/>
    <m/>
    <m/>
  </r>
  <r>
    <s v="302 - Netherlands"/>
    <d v="2022-12-27T00:00:00"/>
    <s v="DECEMBER"/>
    <n v="2022"/>
    <x v="3"/>
    <s v="Deposited"/>
    <s v="PMT-S147-13355"/>
    <s v="IN-S147-413006"/>
    <s v="EUR"/>
    <n v="-37510"/>
    <n v="-43866.07"/>
    <n v="12854.173000000001"/>
    <n v="-12854.173000000001"/>
    <s v="KPMG Staffing &amp; Facility Services B.V."/>
    <s v="Prabhat Aggarwal"/>
    <s v="/EREF/2000372831/ORDP//NAME/KPMG N.V ./ID//REMI/ACCOUNT WITNO.IN-S 147-413006/13.12.2022/ISDT/20221227/ULTD//NAME//ID//ULTB//NAME//I D//PURP//PRTRY//OCMT/EUR37510,/EXCH/1.0000000"/>
    <m/>
    <m/>
    <m/>
    <m/>
    <m/>
    <m/>
    <m/>
    <m/>
    <m/>
    <m/>
    <m/>
    <m/>
    <m/>
    <m/>
    <m/>
    <m/>
    <m/>
    <m/>
    <m/>
    <m/>
    <m/>
    <m/>
    <m/>
    <m/>
    <m/>
    <m/>
    <m/>
    <m/>
    <m/>
    <m/>
    <m/>
    <m/>
    <m/>
    <m/>
    <m/>
    <m/>
    <m/>
    <m/>
    <m/>
    <m/>
    <m/>
    <m/>
    <m/>
    <m/>
    <m/>
    <m/>
    <m/>
    <m/>
    <m/>
    <m/>
    <m/>
    <m/>
    <m/>
    <m/>
    <m/>
    <m/>
  </r>
  <r>
    <s v="302 - Netherlands"/>
    <d v="2026-03-04T00:00:00"/>
    <s v="MARCH"/>
    <n v="2026"/>
    <x v="3"/>
    <s v="Deposited"/>
    <s v="PMT-S147-17729"/>
    <s v="IN-S147-416756"/>
    <s v="EUR"/>
    <n v="-25676.21"/>
    <n v="-30027.044000000002"/>
    <n v="11407.54"/>
    <n v="-11407.54"/>
    <s v="Scania Nederland B.V."/>
    <s v="Prabhat Aggarwal"/>
    <s v="/EREF/00057562/ORDP//NAME/SCANIA NEDER LAND B.V./ID/27136821 COID/ REMI/INS147416756/ISDT/20260304/ULTD//NAME//ID//ULTB//NAME//ID//P URP//PRTRY//OCMT/EUR25676,21/EXCH/1.0000000"/>
    <m/>
    <m/>
    <m/>
    <m/>
    <m/>
    <m/>
    <m/>
    <m/>
    <m/>
    <m/>
    <m/>
    <m/>
    <m/>
    <m/>
    <m/>
    <m/>
    <m/>
    <m/>
    <m/>
    <m/>
    <m/>
    <m/>
    <m/>
    <m/>
    <m/>
    <m/>
    <m/>
    <m/>
    <m/>
    <m/>
    <m/>
    <m/>
    <m/>
    <m/>
    <m/>
    <m/>
    <m/>
    <m/>
    <m/>
    <m/>
    <m/>
    <m/>
    <m/>
    <m/>
    <m/>
    <m/>
    <m/>
    <m/>
    <m/>
    <m/>
    <m/>
    <m/>
    <m/>
    <m/>
    <m/>
    <m/>
  </r>
  <r>
    <s v="302 - Netherlands"/>
    <d v="2023-11-16T00:00:00"/>
    <s v="NOVEMBER"/>
    <n v="2023"/>
    <x v="3"/>
    <s v="Deposited"/>
    <s v="PMT-S147-14799"/>
    <s v=""/>
    <s v="EUR"/>
    <n v="-7865"/>
    <n v="-9197.7240000000002"/>
    <n v="9197.7240000000002"/>
    <n v="-9197.7240000000002"/>
    <s v="Tommy Hilfiger Europe B.V."/>
    <s v="Prabhat Aggarwal"/>
    <s v="/EREF/TH31202311152000046285/OR DP//NAME/PVH EUROPE B.V./ID/693693 0 NS/REMI/IN-S147-412319PVHETOMMY HILFIGER EUROPE BV/ISDT/2023111 6/ULTD//NAME/PVH EUROPE BV/ID//ULTB//NAME//ID//PURP//PRTRY//OCMT/ EUR7865,/EXCH/1.0000000"/>
    <m/>
    <m/>
    <m/>
    <m/>
    <m/>
    <m/>
    <m/>
    <m/>
    <m/>
    <m/>
    <m/>
    <m/>
    <m/>
    <m/>
    <m/>
    <m/>
    <m/>
    <m/>
    <m/>
    <m/>
    <m/>
    <m/>
    <m/>
    <m/>
    <m/>
    <m/>
    <m/>
    <m/>
    <m/>
    <m/>
    <m/>
    <m/>
    <m/>
    <m/>
    <m/>
    <m/>
    <m/>
    <m/>
    <m/>
    <m/>
    <m/>
    <m/>
    <m/>
    <m/>
    <m/>
    <m/>
    <m/>
    <m/>
    <m/>
    <m/>
    <m/>
    <m/>
    <m/>
    <m/>
    <m/>
    <m/>
  </r>
  <r>
    <s v="302 - Netherlands"/>
    <d v="2023-11-16T00:00:00"/>
    <s v="NOVEMBER"/>
    <n v="2023"/>
    <x v="3"/>
    <s v="Deposited"/>
    <s v="PMT-S147-14797"/>
    <s v=""/>
    <s v="EUR"/>
    <n v="-5929"/>
    <n v="-6933.6689999999999"/>
    <n v="6933.6689999999999"/>
    <n v="-6933.6689999999999"/>
    <s v="Optiver Services BV"/>
    <s v="Prabhat Aggarwal"/>
    <s v="/EREF/10903-00010903/31/ORDP//NAM E/OPTIVER SERVICES B.V./ID//REMI /IN-S-147-414299/ISDT/20231116/ULTD//NAME//ID//ULTB//NAME//ID//PU RP//PRTRY//OCMT/EUR5929,/EXCH/1.0000000"/>
    <m/>
    <m/>
    <m/>
    <m/>
    <m/>
    <m/>
    <m/>
    <m/>
    <m/>
    <m/>
    <m/>
    <m/>
    <m/>
    <m/>
    <m/>
    <m/>
    <m/>
    <m/>
    <m/>
    <m/>
    <m/>
    <m/>
    <m/>
    <m/>
    <m/>
    <m/>
    <m/>
    <m/>
    <m/>
    <m/>
    <m/>
    <m/>
    <m/>
    <m/>
    <m/>
    <m/>
    <m/>
    <m/>
    <m/>
    <m/>
    <m/>
    <m/>
    <m/>
    <m/>
    <m/>
    <m/>
    <m/>
    <m/>
    <m/>
    <m/>
    <m/>
    <m/>
    <m/>
    <m/>
    <m/>
    <m/>
  </r>
  <r>
    <s v="302 - Netherlands"/>
    <d v="2025-12-19T00:00:00"/>
    <s v="DECEMBER"/>
    <n v="2025"/>
    <x v="3"/>
    <s v="Deposited"/>
    <s v="PMT-S147-17435"/>
    <s v="IN-S147-416618"/>
    <s v="EUR"/>
    <n v="-8578.5"/>
    <n v="-10032.127"/>
    <n v="4297.7290000000003"/>
    <n v="-4297.7290000000003"/>
    <s v="NV Mediahuis"/>
    <s v="Prabhat Aggarwal"/>
    <s v="/EREF/31-000251218200603/ORDP// NAME/MEDIAHUIS/ID/0439849666 NS KB O-BCE/REMI/IN-S147-416618/ISDT/20251219/ULTD//NAME//ID//ULTB//NAM E//ID//PURP//PRTRY//OCMT/EUR8578,5/EXCH/1.0000000"/>
    <m/>
    <m/>
    <m/>
    <m/>
    <m/>
    <m/>
    <m/>
    <m/>
    <m/>
    <m/>
    <m/>
    <m/>
    <m/>
    <m/>
    <m/>
    <m/>
    <m/>
    <m/>
    <m/>
    <m/>
    <m/>
    <m/>
    <m/>
    <m/>
    <m/>
    <m/>
    <m/>
    <m/>
    <m/>
    <m/>
    <m/>
    <m/>
    <m/>
    <m/>
    <m/>
    <m/>
    <m/>
    <m/>
    <m/>
    <m/>
    <m/>
    <m/>
    <m/>
    <m/>
    <m/>
    <m/>
    <m/>
    <m/>
    <m/>
    <m/>
    <m/>
    <m/>
    <m/>
    <m/>
    <m/>
    <m/>
  </r>
  <r>
    <s v="302 - Netherlands"/>
    <d v="2022-06-21T00:00:00"/>
    <s v="JUNE"/>
    <n v="2022"/>
    <x v="3"/>
    <s v="Deposited"/>
    <s v="PMT-S147-12452"/>
    <s v="IN-S147-411971"/>
    <s v="EUR"/>
    <n v="-29040"/>
    <n v="-33960.828000000001"/>
    <n v="4245.1040000000003"/>
    <n v="-4245.1040000000003"/>
    <s v="CD Communications"/>
    <s v="Prabhat Aggarwal"/>
    <s v="/EREF/NOTPROVIDED/ORDP//NAME/CD COM MUNICATIONS/ID//REMI/INVOICE:I N-S147-411972,411971,411055/ISDT/20220621/ULTD//NAME//ID//ULTB/ /NAME//ID//PURP//PRTRY//OCMT/EUR32670,/EXCH/1.0000000"/>
    <m/>
    <m/>
    <m/>
    <m/>
    <m/>
    <m/>
    <m/>
    <m/>
    <m/>
    <m/>
    <m/>
    <m/>
    <m/>
    <m/>
    <m/>
    <m/>
    <m/>
    <m/>
    <m/>
    <m/>
    <m/>
    <m/>
    <m/>
    <m/>
    <m/>
    <m/>
    <m/>
    <m/>
    <m/>
    <m/>
    <m/>
    <m/>
    <m/>
    <m/>
    <m/>
    <m/>
    <m/>
    <m/>
    <m/>
    <m/>
    <m/>
    <m/>
    <m/>
    <m/>
    <m/>
    <m/>
    <m/>
    <m/>
    <m/>
    <m/>
    <m/>
    <m/>
    <m/>
    <m/>
    <m/>
    <m/>
  </r>
  <r>
    <s v="302 - Netherlands"/>
    <d v="2023-03-15T00:00:00"/>
    <s v="MARCH"/>
    <n v="2023"/>
    <x v="3"/>
    <s v="Deposited"/>
    <s v="PMT-S147-13865"/>
    <s v=""/>
    <s v="EUR"/>
    <n v="-3623.95"/>
    <n v="-4238.0280000000002"/>
    <n v="4238.0280000000002"/>
    <n v="-8203.4699999999993"/>
    <s v="DUMMY CUSTOMER_CASHAPPS 302 - Netherlands"/>
    <s v="Prabhat Aggarwal"/>
    <s v="/EREF/NOTPROVIDED/ORDP//NAME/AA KANT OOR TOTAAL B.V./ID//REMI/V100 24931/ISDT/20230315/ULTD//NAME//ID//ULTB//NAME//ID//PURP//PRTRY// OCMT/EUR3623,95/EXCH/1.0000000"/>
    <m/>
    <m/>
    <m/>
    <m/>
    <m/>
    <m/>
    <m/>
    <m/>
    <m/>
    <m/>
    <m/>
    <m/>
    <m/>
    <m/>
    <m/>
    <m/>
    <m/>
    <m/>
    <m/>
    <m/>
    <m/>
    <m/>
    <m/>
    <m/>
    <m/>
    <m/>
    <m/>
    <m/>
    <m/>
    <m/>
    <m/>
    <m/>
    <m/>
    <m/>
    <m/>
    <m/>
    <m/>
    <m/>
    <m/>
    <m/>
    <m/>
    <m/>
    <m/>
    <m/>
    <m/>
    <m/>
    <m/>
    <m/>
    <m/>
    <m/>
    <m/>
    <m/>
    <m/>
    <m/>
    <m/>
    <m/>
  </r>
  <r>
    <s v="302 - Netherlands"/>
    <d v="2024-02-23T00:00:00"/>
    <s v="FEBRUARY"/>
    <n v="2024"/>
    <x v="3"/>
    <s v="Deposited"/>
    <s v="PMT-S147-15317"/>
    <s v=""/>
    <s v="EUR"/>
    <n v="-3390.86"/>
    <n v="-3965.4409999999998"/>
    <n v="3965.4409999999998"/>
    <n v="-8203.4699999999993"/>
    <s v="DUMMY CUSTOMER_CASHAPPS 302 - Netherlands"/>
    <s v="Prabhat Aggarwal"/>
    <s v="/EREF/SC20240222092602655609148 2406/ORDP//NAME/GRUNDSTUCKS-FONDSG VW/ID//REMI/SC SETTLEMENT 2022/ISDT/20240223/ULTD//NAME//ID//ULTB //NAME//ID//PURP//PRTRY//OCMT/EUR3390,86/EXCH/1.0000000"/>
    <m/>
    <m/>
    <m/>
    <m/>
    <m/>
    <m/>
    <m/>
    <m/>
    <m/>
    <m/>
    <m/>
    <m/>
    <m/>
    <m/>
    <m/>
    <m/>
    <m/>
    <m/>
    <m/>
    <m/>
    <m/>
    <m/>
    <m/>
    <m/>
    <m/>
    <m/>
    <m/>
    <m/>
    <m/>
    <m/>
    <m/>
    <m/>
    <m/>
    <m/>
    <m/>
    <m/>
    <m/>
    <m/>
    <m/>
    <m/>
    <m/>
    <m/>
    <m/>
    <m/>
    <m/>
    <m/>
    <m/>
    <m/>
    <m/>
    <m/>
    <m/>
    <m/>
    <m/>
    <m/>
    <m/>
    <m/>
  </r>
  <r>
    <s v="302 - Netherlands"/>
    <d v="2025-02-05T00:00:00"/>
    <s v="FEBRUARY"/>
    <n v="2025"/>
    <x v="3"/>
    <s v="Deposited"/>
    <s v="PMT-S147-16487"/>
    <s v="IN-S147-415843"/>
    <s v="EUR"/>
    <n v="-12039.5"/>
    <n v="-14079.593000000001"/>
    <n v="2443.5659999999998"/>
    <n v="-2443.5659999999998"/>
    <s v="BouMatic Gascoigne Mélotte"/>
    <s v="Georgia Albutt-392"/>
    <s v="/EREF/202502041558462790ISABEL /ORDP//NAME/BOUMATIC GASCOIGNE MELO TTE/ID//REMI/IN-S147-415594/ISDT/20250205/ULTD//NAME//ID//ULTB//N AME//ID//PURP//PRTRY//OCMT/EUR12039,5/EXCH/1.0000000"/>
    <m/>
    <m/>
    <m/>
    <m/>
    <m/>
    <m/>
    <m/>
    <m/>
    <m/>
    <m/>
    <m/>
    <m/>
    <m/>
    <m/>
    <m/>
    <m/>
    <m/>
    <m/>
    <m/>
    <m/>
    <m/>
    <m/>
    <m/>
    <m/>
    <m/>
    <m/>
    <m/>
    <m/>
    <m/>
    <m/>
    <m/>
    <m/>
    <m/>
    <m/>
    <m/>
    <m/>
    <m/>
    <m/>
    <m/>
    <m/>
    <m/>
    <m/>
    <m/>
    <m/>
    <m/>
    <m/>
    <m/>
    <m/>
    <m/>
    <m/>
    <m/>
    <m/>
    <m/>
    <m/>
    <m/>
    <m/>
  </r>
  <r>
    <s v="302 - Netherlands"/>
    <d v="2022-12-27T00:00:00"/>
    <s v="DECEMBER"/>
    <n v="2022"/>
    <x v="3"/>
    <s v="Deposited"/>
    <s v="PMT-S147-13350"/>
    <s v="IN-S147-413332"/>
    <s v="EUR"/>
    <n v="-8984.25"/>
    <n v="-10506.630999999999"/>
    <n v="477.58"/>
    <n v="-477.58"/>
    <s v="Cohedron B.V."/>
    <s v="Prabhat Aggarwal"/>
    <s v="/EREF/0000600050670006363000120 984/ORDP//NAME/COHEDRON B.V./ID//R EMI/FACTUUR:IN-S147-412857/ISDT/20221227/ULTD//NAME//ID//ULTB//NA ME//ID//PURP//PRTRY//OCMT/EUR8984,25/EXCH/1.0000000"/>
    <m/>
    <m/>
    <m/>
    <m/>
    <m/>
    <m/>
    <m/>
    <m/>
    <m/>
    <m/>
    <m/>
    <m/>
    <m/>
    <m/>
    <m/>
    <m/>
    <m/>
    <m/>
    <m/>
    <m/>
    <m/>
    <m/>
    <m/>
    <m/>
    <m/>
    <m/>
    <m/>
    <m/>
    <m/>
    <m/>
    <m/>
    <m/>
    <m/>
    <m/>
    <m/>
    <m/>
    <m/>
    <m/>
    <m/>
    <m/>
    <m/>
    <m/>
    <m/>
    <m/>
    <m/>
    <m/>
    <m/>
    <m/>
    <m/>
    <m/>
    <m/>
    <m/>
    <m/>
    <m/>
    <m/>
    <m/>
  </r>
  <r>
    <s v="311 - Germany"/>
    <d v="2026-03-05T00:00:00"/>
    <s v="MARCH"/>
    <n v="2026"/>
    <x v="3"/>
    <s v="Not Deposited"/>
    <s v="PMT-S109-54641"/>
    <s v="IN-S109-448351"/>
    <s v="EUR"/>
    <n v="-169254.39"/>
    <n v="-197934.546"/>
    <n v="77986.527000000002"/>
    <n v="-77986.527000000002"/>
    <s v="Schindler Digital Innovation GmbH"/>
    <s v="Theresa Saal"/>
    <s v="Payment for 109-Germany IN-S109-448351 received in 102-US"/>
    <m/>
    <m/>
    <m/>
    <m/>
    <m/>
    <m/>
    <m/>
    <m/>
    <m/>
    <m/>
    <m/>
    <m/>
    <m/>
    <m/>
    <m/>
    <m/>
    <m/>
    <m/>
    <m/>
    <m/>
    <m/>
    <m/>
    <m/>
    <m/>
    <m/>
    <m/>
    <m/>
    <m/>
    <m/>
    <m/>
    <m/>
    <m/>
    <m/>
    <m/>
    <m/>
    <m/>
    <m/>
    <m/>
    <m/>
    <m/>
    <m/>
    <m/>
    <m/>
    <m/>
    <m/>
    <m/>
    <m/>
    <m/>
    <m/>
    <m/>
    <m/>
    <m/>
    <m/>
    <m/>
    <m/>
    <m/>
  </r>
  <r>
    <s v="311 - Germany"/>
    <d v="2026-03-04T00:00:00"/>
    <s v="MARCH"/>
    <n v="2026"/>
    <x v="3"/>
    <s v="Not Deposited"/>
    <s v="PMT-S109-54633"/>
    <s v=""/>
    <s v="EUR"/>
    <n v="-32188.71"/>
    <n v="-37643.087"/>
    <n v="37643.087"/>
    <n v="-37643.087"/>
    <s v="German Naval Yards Kiel GmbH"/>
    <s v="Theresa Saal"/>
    <s v="PMT-S109-44300 to be moved to customer SA-S109-DE-1720583 German Naval Yards Kiel GmbH"/>
    <m/>
    <m/>
    <m/>
    <m/>
    <m/>
    <m/>
    <m/>
    <m/>
    <m/>
    <m/>
    <m/>
    <m/>
    <m/>
    <m/>
    <m/>
    <m/>
    <m/>
    <m/>
    <m/>
    <m/>
    <m/>
    <m/>
    <m/>
    <m/>
    <m/>
    <m/>
    <m/>
    <m/>
    <m/>
    <m/>
    <m/>
    <m/>
    <m/>
    <m/>
    <m/>
    <m/>
    <m/>
    <m/>
    <m/>
    <m/>
    <m/>
    <m/>
    <m/>
    <m/>
    <m/>
    <m/>
    <m/>
    <m/>
    <m/>
    <m/>
    <m/>
    <m/>
    <m/>
    <m/>
    <m/>
    <m/>
  </r>
  <r>
    <s v="311 - Germany"/>
    <d v="2025-01-23T00:00:00"/>
    <s v="JANUARY"/>
    <n v="2025"/>
    <x v="3"/>
    <s v="Deposited"/>
    <s v="PMT-S109-49863"/>
    <s v="IN-S109-444970"/>
    <s v="EUR"/>
    <n v="-25280.06"/>
    <n v="-29563.766"/>
    <n v="23310.062000000002"/>
    <n v="44115.116000000002"/>
    <s v="Freudenberg &amp; Co. Kommanditgesellschaft"/>
    <s v="Theresa Saal"/>
    <s v="2000025892       1490612675250123 /ORD.CUST/FREUDENBERG + CO. KOMMANDITGESELLSC HAFT/EREF/200002589 2/PAY.DET./IN-S109-444970/23.12.2024/"/>
    <m/>
    <m/>
    <m/>
    <m/>
    <m/>
    <m/>
    <m/>
    <m/>
    <m/>
    <m/>
    <m/>
    <m/>
    <m/>
    <m/>
    <m/>
    <m/>
    <m/>
    <m/>
    <m/>
    <m/>
    <m/>
    <m/>
    <m/>
    <m/>
    <m/>
    <m/>
    <m/>
    <m/>
    <m/>
    <m/>
    <m/>
    <m/>
    <m/>
    <m/>
    <m/>
    <m/>
    <m/>
    <m/>
    <m/>
    <m/>
    <m/>
    <m/>
    <m/>
    <m/>
    <m/>
    <m/>
    <m/>
    <m/>
    <m/>
    <m/>
    <m/>
    <m/>
    <m/>
    <m/>
    <m/>
    <m/>
  </r>
  <r>
    <s v="311 - Germany"/>
    <d v="2025-01-21T00:00:00"/>
    <s v="JANUARY"/>
    <n v="2025"/>
    <x v="3"/>
    <s v="Deposited"/>
    <s v="PMT-S109-49823"/>
    <s v=""/>
    <s v="EUR"/>
    <n v="-14994"/>
    <n v="-17534.733"/>
    <n v="17534.733"/>
    <n v="-17534.733"/>
    <s v="PETA Deutschland e.V."/>
    <s v="Theresa Saal"/>
    <s v="4552005695-00000 1490534006250 120 /ORD.CUST/PETA DEUTSCHLAND E.V./EREF/4552005695-0000001/PAY.DET./ RNR. IN-S109-445242 RDAT. 07.01.202 5"/>
    <m/>
    <m/>
    <m/>
    <m/>
    <m/>
    <m/>
    <m/>
    <m/>
    <m/>
    <m/>
    <m/>
    <m/>
    <m/>
    <m/>
    <m/>
    <m/>
    <m/>
    <m/>
    <m/>
    <m/>
    <m/>
    <m/>
    <m/>
    <m/>
    <m/>
    <m/>
    <m/>
    <m/>
    <m/>
    <m/>
    <m/>
    <m/>
    <m/>
    <m/>
    <m/>
    <m/>
    <m/>
    <m/>
    <m/>
    <m/>
    <m/>
    <m/>
    <m/>
    <m/>
    <m/>
    <m/>
    <m/>
    <m/>
    <m/>
    <m/>
    <m/>
    <m/>
    <m/>
    <m/>
    <m/>
    <m/>
  </r>
  <r>
    <s v="311 - Germany"/>
    <d v="2026-05-04T00:00:00"/>
    <s v="MAY"/>
    <n v="2026"/>
    <x v="3"/>
    <s v="Deposited"/>
    <s v="PMT-S109-55381"/>
    <s v=""/>
    <s v="EUR"/>
    <n v="-14700"/>
    <n v="-17190.915000000001"/>
    <n v="17190.915000000001"/>
    <n v="-34031.697"/>
    <s v="Watches and Wonders Geneva Foundation"/>
    <s v="Nathalie Darmois"/>
    <s v="FRSC TENEO PARIS 1480730582260 504 /ORD.CUST/TENEO PARIS/EREF/FRSC TENEO PARIS"/>
    <m/>
    <m/>
    <m/>
    <m/>
    <m/>
    <m/>
    <m/>
    <m/>
    <m/>
    <m/>
    <m/>
    <m/>
    <m/>
    <m/>
    <m/>
    <m/>
    <m/>
    <m/>
    <m/>
    <m/>
    <m/>
    <m/>
    <m/>
    <m/>
    <m/>
    <m/>
    <m/>
    <m/>
    <m/>
    <m/>
    <m/>
    <m/>
    <m/>
    <m/>
    <m/>
    <m/>
    <m/>
    <m/>
    <m/>
    <m/>
    <m/>
    <m/>
    <m/>
    <m/>
    <m/>
    <m/>
    <m/>
    <m/>
    <m/>
    <m/>
    <m/>
    <m/>
    <m/>
    <m/>
    <m/>
    <m/>
  </r>
  <r>
    <s v="311 - Germany"/>
    <d v="2026-05-04T00:00:00"/>
    <s v="MAY"/>
    <n v="2026"/>
    <x v="3"/>
    <s v="Deposited"/>
    <s v="PMT-S109-55380"/>
    <s v=""/>
    <s v="EUR"/>
    <n v="-14400.6"/>
    <n v="-16840.781999999999"/>
    <n v="16840.781999999999"/>
    <n v="-34031.697"/>
    <s v="Watches and Wonders Geneva Foundation"/>
    <s v="Nathalie Darmois"/>
    <s v="NONREF           1480730727260504 /ORD.CUST/CIRCULO DE COMUNICACION SL/PAY.DET./B87255071 CIRCULO C OMUNICACION"/>
    <m/>
    <m/>
    <m/>
    <m/>
    <m/>
    <m/>
    <m/>
    <m/>
    <m/>
    <m/>
    <m/>
    <m/>
    <m/>
    <m/>
    <m/>
    <m/>
    <m/>
    <m/>
    <m/>
    <m/>
    <m/>
    <m/>
    <m/>
    <m/>
    <m/>
    <m/>
    <m/>
    <m/>
    <m/>
    <m/>
    <m/>
    <m/>
    <m/>
    <m/>
    <m/>
    <m/>
    <m/>
    <m/>
    <m/>
    <m/>
    <m/>
    <m/>
    <m/>
    <m/>
    <m/>
    <m/>
    <m/>
    <m/>
    <m/>
    <m/>
    <m/>
    <m/>
    <m/>
    <m/>
    <m/>
    <m/>
  </r>
  <r>
    <s v="311 - Germany"/>
    <d v="2024-12-09T00:00:00"/>
    <s v="DECEMBER"/>
    <n v="2024"/>
    <x v="3"/>
    <s v="Deposited"/>
    <s v="PMT-S109-49300"/>
    <s v=""/>
    <s v="EUR"/>
    <n v="-13860"/>
    <n v="-16208.576999999999"/>
    <n v="16208.576999999999"/>
    <n v="-16208.576999999999"/>
    <s v="TCC Global N.V."/>
    <s v=""/>
    <s v="TCC GLOBAL NV SEE ACCOUNT INFO 1489387824241209 /ORD.CUST/TCC GLOBAL NV/EREF/SEE ACCOUNT INFO/PAY.DET./SEE ACCOUN T INFO"/>
    <m/>
    <m/>
    <m/>
    <m/>
    <m/>
    <m/>
    <m/>
    <m/>
    <m/>
    <m/>
    <m/>
    <m/>
    <m/>
    <m/>
    <m/>
    <m/>
    <m/>
    <m/>
    <m/>
    <m/>
    <m/>
    <m/>
    <m/>
    <m/>
    <m/>
    <m/>
    <m/>
    <m/>
    <m/>
    <m/>
    <m/>
    <m/>
    <m/>
    <m/>
    <m/>
    <m/>
    <m/>
    <m/>
    <m/>
    <m/>
    <m/>
    <m/>
    <m/>
    <m/>
    <m/>
    <m/>
    <m/>
    <m/>
    <m/>
    <m/>
    <m/>
    <m/>
    <m/>
    <m/>
    <m/>
    <m/>
  </r>
  <r>
    <s v="311 - Germany"/>
    <d v="2023-09-28T00:00:00"/>
    <s v="SEPTEMBER"/>
    <n v="2023"/>
    <x v="3"/>
    <s v="Deposited"/>
    <s v="PMT-S109-43981"/>
    <s v=""/>
    <s v="EUR"/>
    <n v="-13000"/>
    <n v="-15202.85"/>
    <n v="15202.85"/>
    <n v="-15202.85"/>
    <s v="World Heart Federation"/>
    <s v="Theresa Saal"/>
    <s v="NONREF           1700772713230928 /OCMT/EUR13000,//ORD.CUST/1/HSBC CONT. EUROPE SA,GERMANY 2/HANSA ALLEE 3/PAY.DET./RETURN REG.PAYMENT DD.27.09.2023REF.2872179 FOR EUR 13.000,00 YOURREF.PMT-S109-34526 RSN.INSUFFICIENTOR WRONG BEN EFICIARY DETAILS"/>
    <m/>
    <m/>
    <m/>
    <m/>
    <m/>
    <m/>
    <m/>
    <m/>
    <m/>
    <m/>
    <m/>
    <m/>
    <m/>
    <m/>
    <m/>
    <m/>
    <m/>
    <m/>
    <m/>
    <m/>
    <m/>
    <m/>
    <m/>
    <m/>
    <m/>
    <m/>
    <m/>
    <m/>
    <m/>
    <m/>
    <m/>
    <m/>
    <m/>
    <m/>
    <m/>
    <m/>
    <m/>
    <m/>
    <m/>
    <m/>
    <m/>
    <m/>
    <m/>
    <m/>
    <m/>
    <m/>
    <m/>
    <m/>
    <m/>
    <m/>
    <m/>
    <m/>
    <m/>
    <m/>
    <m/>
    <m/>
  </r>
  <r>
    <s v="311 - Germany"/>
    <d v="2022-11-14T00:00:00"/>
    <s v="NOVEMBER"/>
    <n v="2022"/>
    <x v="3"/>
    <s v="Deposited"/>
    <s v="PMT-S109-39745"/>
    <s v=""/>
    <s v="EUR"/>
    <n v="-9000"/>
    <n v="-10525.05"/>
    <n v="10525.05"/>
    <n v="-32386.678"/>
    <s v="DUMMY CUSTOMER_CASHAPPS 311 - Germany"/>
    <s v="Theresa Saal"/>
    <s v="62211091638      1485571916221114 /ORD.CUST/CMN/EREF/62211091638/PAY.DET./CMN 92008388"/>
    <m/>
    <m/>
    <m/>
    <m/>
    <m/>
    <m/>
    <m/>
    <m/>
    <m/>
    <m/>
    <m/>
    <m/>
    <m/>
    <m/>
    <m/>
    <m/>
    <m/>
    <m/>
    <m/>
    <m/>
    <m/>
    <m/>
    <m/>
    <m/>
    <m/>
    <m/>
    <m/>
    <m/>
    <m/>
    <m/>
    <m/>
    <m/>
    <m/>
    <m/>
    <m/>
    <m/>
    <m/>
    <m/>
    <m/>
    <m/>
    <m/>
    <m/>
    <m/>
    <m/>
    <m/>
    <m/>
    <m/>
    <m/>
    <m/>
    <m/>
    <m/>
    <m/>
    <m/>
    <m/>
    <m/>
    <m/>
  </r>
  <r>
    <s v="311 - Germany"/>
    <d v="2025-01-13T00:00:00"/>
    <s v="JANUARY"/>
    <n v="2025"/>
    <x v="3"/>
    <s v="Deposited"/>
    <s v="PMT-S109-49689"/>
    <s v=""/>
    <s v="EUR"/>
    <n v="-8627.5"/>
    <n v="-10089.43"/>
    <n v="10089.43"/>
    <n v="-10089.43"/>
    <s v="Malt Community GmbH"/>
    <s v=""/>
    <s v="2501101050-00000 14903249532501 13 /ORD.CUST/MALT COMMUNITY GMBH/EREF/2501101050-0000008/PAY.DET./RN R 0 DATUM 08.01.2025 BETRAG 8.627,50 KTO. 84029"/>
    <m/>
    <m/>
    <m/>
    <m/>
    <m/>
    <m/>
    <m/>
    <m/>
    <m/>
    <m/>
    <m/>
    <m/>
    <m/>
    <m/>
    <m/>
    <m/>
    <m/>
    <m/>
    <m/>
    <m/>
    <m/>
    <m/>
    <m/>
    <m/>
    <m/>
    <m/>
    <m/>
    <m/>
    <m/>
    <m/>
    <m/>
    <m/>
    <m/>
    <m/>
    <m/>
    <m/>
    <m/>
    <m/>
    <m/>
    <m/>
    <m/>
    <m/>
    <m/>
    <m/>
    <m/>
    <m/>
    <m/>
    <m/>
    <m/>
    <m/>
    <m/>
    <m/>
    <m/>
    <m/>
    <m/>
    <m/>
  </r>
  <r>
    <s v="311 - Germany"/>
    <d v="2025-01-17T00:00:00"/>
    <s v="JANUARY"/>
    <n v="2025"/>
    <x v="3"/>
    <s v="Deposited"/>
    <s v="PMT-S109-49777"/>
    <s v=""/>
    <s v="EUR"/>
    <n v="-7973"/>
    <n v="-9324.0249999999996"/>
    <n v="9324.0249999999996"/>
    <n v="-9324.0249999999996"/>
    <s v="Conductix-Wampfler AG"/>
    <s v="Theresa Saal"/>
    <s v="2100333696       1490471688250117 /ORD.CUST/CONDUCTIX-WAMPFLER GMBH D/EREF/2100333696/PAY.DET.//INV /IN-S109-444935 3.1.2025"/>
    <m/>
    <m/>
    <m/>
    <m/>
    <m/>
    <m/>
    <m/>
    <m/>
    <m/>
    <m/>
    <m/>
    <m/>
    <m/>
    <m/>
    <m/>
    <m/>
    <m/>
    <m/>
    <m/>
    <m/>
    <m/>
    <m/>
    <m/>
    <m/>
    <m/>
    <m/>
    <m/>
    <m/>
    <m/>
    <m/>
    <m/>
    <m/>
    <m/>
    <m/>
    <m/>
    <m/>
    <m/>
    <m/>
    <m/>
    <m/>
    <m/>
    <m/>
    <m/>
    <m/>
    <m/>
    <m/>
    <m/>
    <m/>
    <m/>
    <m/>
    <m/>
    <m/>
    <m/>
    <m/>
    <m/>
    <m/>
  </r>
  <r>
    <s v="311 - Germany"/>
    <d v="2024-02-08T00:00:00"/>
    <s v="FEBRUARY"/>
    <n v="2024"/>
    <x v="3"/>
    <s v="Deposited"/>
    <s v="PMT-S109-45927"/>
    <s v=""/>
    <s v="EUR"/>
    <n v="-7905"/>
    <n v="-9244.5020000000004"/>
    <n v="9244.5020000000004"/>
    <n v="-9244.5020000000004"/>
    <s v="IMPERIAL YACHTS"/>
    <s v="Jan Sutherland"/>
    <s v="VIR SEPA 06022   1480731066240208 /ORD.CUST/TRESORERIE GENERALE DES FINANCES/EREF/VIR SEPA 06/02/20 24 11 45 30-00003/PAY.DET./INVOICE . IN-S109-438194 DATE 20 01 2 023"/>
    <m/>
    <m/>
    <m/>
    <m/>
    <m/>
    <m/>
    <m/>
    <m/>
    <m/>
    <m/>
    <m/>
    <m/>
    <m/>
    <m/>
    <m/>
    <m/>
    <m/>
    <m/>
    <m/>
    <m/>
    <m/>
    <m/>
    <m/>
    <m/>
    <m/>
    <m/>
    <m/>
    <m/>
    <m/>
    <m/>
    <m/>
    <m/>
    <m/>
    <m/>
    <m/>
    <m/>
    <m/>
    <m/>
    <m/>
    <m/>
    <m/>
    <m/>
    <m/>
    <m/>
    <m/>
    <m/>
    <m/>
    <m/>
    <m/>
    <m/>
    <m/>
    <m/>
    <m/>
    <m/>
    <m/>
    <m/>
  </r>
  <r>
    <s v="311 - Germany"/>
    <d v="2024-06-12T00:00:00"/>
    <s v="JUNE"/>
    <n v="2024"/>
    <x v="3"/>
    <s v="Deposited"/>
    <s v="PMT-S109-47567"/>
    <s v="864"/>
    <s v="EUR"/>
    <n v="-47600"/>
    <n v="-55665.82"/>
    <n v="8887.82"/>
    <n v="-8887.82"/>
    <s v="CSL Behring GmbH"/>
    <s v=""/>
    <s v="2000147351       1484318938240612 /ORD.CUST/CSL BEHRING GMBH/EREF/2000147351/PAY.DET.//REF/IN-S109- 442932 14.5.2024 20001 47351"/>
    <m/>
    <m/>
    <m/>
    <m/>
    <m/>
    <m/>
    <m/>
    <m/>
    <m/>
    <m/>
    <m/>
    <m/>
    <m/>
    <m/>
    <m/>
    <m/>
    <m/>
    <m/>
    <m/>
    <m/>
    <m/>
    <m/>
    <m/>
    <m/>
    <m/>
    <m/>
    <m/>
    <m/>
    <m/>
    <m/>
    <m/>
    <m/>
    <m/>
    <m/>
    <m/>
    <m/>
    <m/>
    <m/>
    <m/>
    <m/>
    <m/>
    <m/>
    <m/>
    <m/>
    <m/>
    <m/>
    <m/>
    <m/>
    <m/>
    <m/>
    <m/>
    <m/>
    <m/>
    <m/>
    <m/>
    <m/>
  </r>
  <r>
    <s v="311 - Germany"/>
    <d v="2025-10-23T00:00:00"/>
    <s v="OCTOBER"/>
    <n v="2025"/>
    <x v="3"/>
    <s v="Deposited"/>
    <s v="PMT-S109-52879"/>
    <s v="IN-S109-447156"/>
    <s v="EUR"/>
    <n v="-34319.599999999999"/>
    <n v="-40135.055999999997"/>
    <n v="8489.0380000000005"/>
    <n v="-8489.0380000000005"/>
    <s v="COHAUSZ &amp; FLORACK Patent- und Rechtsanwälte"/>
    <s v="Theresa Saal"/>
    <s v="36704            1496836965251023 /ORD.CUST/COHAUSZ + FLORACK PATENT- UND RECHT SANWALTE/EREF/36704 /PAY.DET./RG-NR. IN-S109-447156,IN-S109-4473 73"/>
    <m/>
    <m/>
    <m/>
    <m/>
    <m/>
    <m/>
    <m/>
    <m/>
    <m/>
    <m/>
    <m/>
    <m/>
    <m/>
    <m/>
    <m/>
    <m/>
    <m/>
    <m/>
    <m/>
    <m/>
    <m/>
    <m/>
    <m/>
    <m/>
    <m/>
    <m/>
    <m/>
    <m/>
    <m/>
    <m/>
    <m/>
    <m/>
    <m/>
    <m/>
    <m/>
    <m/>
    <m/>
    <m/>
    <m/>
    <m/>
    <m/>
    <m/>
    <m/>
    <m/>
    <m/>
    <m/>
    <m/>
    <m/>
    <m/>
    <m/>
    <m/>
    <m/>
    <m/>
    <m/>
    <m/>
    <m/>
  </r>
  <r>
    <s v="311 - Germany"/>
    <d v="2022-08-31T00:00:00"/>
    <s v="AUGUST"/>
    <n v="2022"/>
    <x v="3"/>
    <s v="Deposited"/>
    <s v="PMT-S109-38755"/>
    <s v=""/>
    <s v="EUR"/>
    <n v="-7200"/>
    <n v="-8420.0400000000009"/>
    <n v="8420.0400000000009"/>
    <n v="-8420.0400000000009"/>
    <s v="FMR GLOBAL HEALTH"/>
    <s v="Sophie Sadoune-MW"/>
    <s v="67482            1482839834220831 /ORD.CUST/VERISURE/EREF/67482/PAY.DET./IN-S109-435642"/>
    <m/>
    <m/>
    <m/>
    <m/>
    <m/>
    <m/>
    <m/>
    <m/>
    <m/>
    <m/>
    <m/>
    <m/>
    <m/>
    <m/>
    <m/>
    <m/>
    <m/>
    <m/>
    <m/>
    <m/>
    <m/>
    <m/>
    <m/>
    <m/>
    <m/>
    <m/>
    <m/>
    <m/>
    <m/>
    <m/>
    <m/>
    <m/>
    <m/>
    <m/>
    <m/>
    <m/>
    <m/>
    <m/>
    <m/>
    <m/>
    <m/>
    <m/>
    <m/>
    <m/>
    <m/>
    <m/>
    <m/>
    <m/>
    <m/>
    <m/>
    <m/>
    <m/>
    <m/>
    <m/>
    <m/>
    <m/>
  </r>
  <r>
    <s v="311 - Germany"/>
    <d v="2023-05-19T00:00:00"/>
    <s v="MAY"/>
    <n v="2023"/>
    <x v="3"/>
    <s v="Deposited"/>
    <s v="PMT-S109-42725"/>
    <s v=""/>
    <s v="EUR"/>
    <n v="-7114.81"/>
    <n v="-8320.4150000000009"/>
    <n v="8320.4150000000009"/>
    <n v="-32386.678"/>
    <s v="DUMMY CUSTOMER_CASHAPPS 311 - Germany"/>
    <s v="Theresa Saal"/>
    <s v="230518-18KOG0010 14923488802305 19 /ORD.CUST/CANADA LIFE ASSURANC/EREF/230518-18KOG0010000018/PAY.DE T./L97451-CLE6774607E R113L97451"/>
    <m/>
    <m/>
    <m/>
    <m/>
    <m/>
    <m/>
    <m/>
    <m/>
    <m/>
    <m/>
    <m/>
    <m/>
    <m/>
    <m/>
    <m/>
    <m/>
    <m/>
    <m/>
    <m/>
    <m/>
    <m/>
    <m/>
    <m/>
    <m/>
    <m/>
    <m/>
    <m/>
    <m/>
    <m/>
    <m/>
    <m/>
    <m/>
    <m/>
    <m/>
    <m/>
    <m/>
    <m/>
    <m/>
    <m/>
    <m/>
    <m/>
    <m/>
    <m/>
    <m/>
    <m/>
    <m/>
    <m/>
    <m/>
    <m/>
    <m/>
    <m/>
    <m/>
    <m/>
    <m/>
    <m/>
    <m/>
  </r>
  <r>
    <s v="311 - Germany"/>
    <d v="2023-05-11T00:00:00"/>
    <s v="MAY"/>
    <n v="2023"/>
    <x v="3"/>
    <s v="Deposited"/>
    <s v="PMT-S109-42615"/>
    <s v=""/>
    <s v="EUR"/>
    <n v="-6500"/>
    <n v="-7601.4250000000002"/>
    <n v="7601.4250000000002"/>
    <n v="-7601.4250000000002"/>
    <s v="Emile Henry"/>
    <s v="Sophie Sadoune-MW"/>
    <s v="0000703600189431 14920756342305 11 /ORD.CUST/EMILE HENRY/EREF/0000703600189431"/>
    <m/>
    <m/>
    <m/>
    <m/>
    <m/>
    <m/>
    <m/>
    <m/>
    <m/>
    <m/>
    <m/>
    <m/>
    <m/>
    <m/>
    <m/>
    <m/>
    <m/>
    <m/>
    <m/>
    <m/>
    <m/>
    <m/>
    <m/>
    <m/>
    <m/>
    <m/>
    <m/>
    <m/>
    <m/>
    <m/>
    <m/>
    <m/>
    <m/>
    <m/>
    <m/>
    <m/>
    <m/>
    <m/>
    <m/>
    <m/>
    <m/>
    <m/>
    <m/>
    <m/>
    <m/>
    <m/>
    <m/>
    <m/>
    <m/>
    <m/>
    <m/>
    <m/>
    <m/>
    <m/>
    <m/>
    <m/>
  </r>
  <r>
    <s v="311 - Germany"/>
    <d v="2024-01-16T00:00:00"/>
    <s v="JANUARY"/>
    <n v="2024"/>
    <x v="3"/>
    <s v="Deposited"/>
    <s v="PMT-S109-45438"/>
    <s v=""/>
    <s v="EUR"/>
    <n v="-6500"/>
    <n v="-7601.4250000000002"/>
    <n v="7601.4250000000002"/>
    <n v="-7601.4250000000002"/>
    <s v="Eleven Factory SL"/>
    <s v=""/>
    <s v="NONREF           1480048019240116 /ORD.CUST/ELEVEN FACTORY SL/PAY.DET./FRA 441663"/>
    <m/>
    <m/>
    <m/>
    <m/>
    <m/>
    <m/>
    <m/>
    <m/>
    <m/>
    <m/>
    <m/>
    <m/>
    <m/>
    <m/>
    <m/>
    <m/>
    <m/>
    <m/>
    <m/>
    <m/>
    <m/>
    <m/>
    <m/>
    <m/>
    <m/>
    <m/>
    <m/>
    <m/>
    <m/>
    <m/>
    <m/>
    <m/>
    <m/>
    <m/>
    <m/>
    <m/>
    <m/>
    <m/>
    <m/>
    <m/>
    <m/>
    <m/>
    <m/>
    <m/>
    <m/>
    <m/>
    <m/>
    <m/>
    <m/>
    <m/>
    <m/>
    <m/>
    <m/>
    <m/>
    <m/>
    <m/>
  </r>
  <r>
    <s v="311 - Germany"/>
    <d v="2023-04-03T00:00:00"/>
    <s v="APRIL"/>
    <n v="2023"/>
    <x v="3"/>
    <s v="Deposited"/>
    <s v="PMT-S109-42113"/>
    <s v=""/>
    <s v="EUR"/>
    <n v="-5500"/>
    <n v="-6431.9750000000004"/>
    <n v="6431.9750000000004"/>
    <n v="-6431.9750000000004"/>
    <s v="Algeco"/>
    <s v="Nathalie Darmois-MW1"/>
    <s v="4700244165       1490693858230403 /ORD.CUST/ALGECO/EREF/4700244165/PAY.DET.//INV/INS109437305 30.11 .2022"/>
    <m/>
    <m/>
    <m/>
    <m/>
    <m/>
    <m/>
    <m/>
    <m/>
    <m/>
    <m/>
    <m/>
    <m/>
    <m/>
    <m/>
    <m/>
    <m/>
    <m/>
    <m/>
    <m/>
    <m/>
    <m/>
    <m/>
    <m/>
    <m/>
    <m/>
    <m/>
    <m/>
    <m/>
    <m/>
    <m/>
    <m/>
    <m/>
    <m/>
    <m/>
    <m/>
    <m/>
    <m/>
    <m/>
    <m/>
    <m/>
    <m/>
    <m/>
    <m/>
    <m/>
    <m/>
    <m/>
    <m/>
    <m/>
    <m/>
    <m/>
    <m/>
    <m/>
    <m/>
    <m/>
    <m/>
    <m/>
  </r>
  <r>
    <s v="311 - Germany"/>
    <d v="2023-05-12T00:00:00"/>
    <s v="MAY"/>
    <n v="2023"/>
    <x v="3"/>
    <s v="Deposited"/>
    <s v="PMT-S109-42628"/>
    <s v="IN-S109-439093"/>
    <s v="EUR"/>
    <n v="-7327"/>
    <n v="-8568.56"/>
    <n v="6431.9750000000004"/>
    <n v="-6431.9750000000004"/>
    <s v="Syndicat d’énergie d’Indre-et-Loire"/>
    <s v="Sophie Sadoune-MW"/>
    <s v="1603709006640020 14921070642305 12 /ORD.CUST/PAIERIE DEPARTEMENTALE INDRE-ET-LOI RE/EREF/16037090066 4002023-05-101586/PAY.DET./FAC. IN-S109-439093 DU 17/04/23 BRE VU E DE PRESSE ETNEWSLETTER PERIODE 29/04/23 AU 28/04/2023SY INTERC ENE RGIE INDRE LOIRE"/>
    <m/>
    <m/>
    <m/>
    <m/>
    <m/>
    <m/>
    <m/>
    <m/>
    <m/>
    <m/>
    <m/>
    <m/>
    <m/>
    <m/>
    <m/>
    <m/>
    <m/>
    <m/>
    <m/>
    <m/>
    <m/>
    <m/>
    <m/>
    <m/>
    <m/>
    <m/>
    <m/>
    <m/>
    <m/>
    <m/>
    <m/>
    <m/>
    <m/>
    <m/>
    <m/>
    <m/>
    <m/>
    <m/>
    <m/>
    <m/>
    <m/>
    <m/>
    <m/>
    <m/>
    <m/>
    <m/>
    <m/>
    <m/>
    <m/>
    <m/>
    <m/>
    <m/>
    <m/>
    <m/>
    <m/>
    <m/>
  </r>
  <r>
    <s v="311 - Germany"/>
    <d v="2025-09-12T00:00:00"/>
    <s v="SEPTEMBER"/>
    <n v="2025"/>
    <x v="3"/>
    <s v="Deposited"/>
    <s v="PMT-S109-52470"/>
    <s v="PMT-S109-52470"/>
    <s v="USD"/>
    <n v="-17950"/>
    <n v="-17750.427"/>
    <n v="5883.8419999999996"/>
    <n v="-5883.8419999999996"/>
    <s v="International Rescue Committee"/>
    <s v="Theresa Saal"/>
    <s v="NONREF           1803018587250912 /OCMT/USD17950,//CHGS/USD29,21//PAY.BANK/JPMORGAN CHASE BANK,/ORD .CUST/INTERNATIONAL RESCUE COMMITTEE,INC. RESCUE/PAY.DET./IN-S10 4-439521,IN-S109-446861/ROC/9824700254JO"/>
    <m/>
    <m/>
    <m/>
    <m/>
    <m/>
    <m/>
    <m/>
    <m/>
    <m/>
    <m/>
    <m/>
    <m/>
    <m/>
    <m/>
    <m/>
    <m/>
    <m/>
    <m/>
    <m/>
    <m/>
    <m/>
    <m/>
    <m/>
    <m/>
    <m/>
    <m/>
    <m/>
    <m/>
    <m/>
    <m/>
    <m/>
    <m/>
    <m/>
    <m/>
    <m/>
    <m/>
    <m/>
    <m/>
    <m/>
    <m/>
    <m/>
    <m/>
    <m/>
    <m/>
    <m/>
    <m/>
    <m/>
    <m/>
    <m/>
    <m/>
    <m/>
    <m/>
    <m/>
    <m/>
    <m/>
    <m/>
  </r>
  <r>
    <s v="311 - Germany"/>
    <d v="2026-04-16T00:00:00"/>
    <s v="APRIL"/>
    <n v="2026"/>
    <x v="3"/>
    <s v="Deposited"/>
    <s v="PMT-S109-55181"/>
    <s v=""/>
    <s v="EUR"/>
    <n v="-4557.7"/>
    <n v="-5330.0020000000004"/>
    <n v="5330.0020000000004"/>
    <n v="-5330.0020000000004"/>
    <s v="VDI Technologiezentrum GmbH"/>
    <s v="Theresa Saal"/>
    <s v="0402641043       1480429017260416 /ORD.CUST/VDI TECHNOLOGIEZENTRUM GMBH/EREF/0402641043/PAY.DET./IN S109-449170+"/>
    <m/>
    <m/>
    <m/>
    <m/>
    <m/>
    <m/>
    <m/>
    <m/>
    <m/>
    <m/>
    <m/>
    <m/>
    <m/>
    <m/>
    <m/>
    <m/>
    <m/>
    <m/>
    <m/>
    <m/>
    <m/>
    <m/>
    <m/>
    <m/>
    <m/>
    <m/>
    <m/>
    <m/>
    <m/>
    <m/>
    <m/>
    <m/>
    <m/>
    <m/>
    <m/>
    <m/>
    <m/>
    <m/>
    <m/>
    <m/>
    <m/>
    <m/>
    <m/>
    <m/>
    <m/>
    <m/>
    <m/>
    <m/>
    <m/>
    <m/>
    <m/>
    <m/>
    <m/>
    <m/>
    <m/>
    <m/>
  </r>
  <r>
    <s v="311 - Germany"/>
    <d v="2025-02-11T00:00:00"/>
    <s v="FEBRUARY"/>
    <n v="2025"/>
    <x v="3"/>
    <s v="Deposited"/>
    <s v="PMT-S109-50167"/>
    <s v=""/>
    <s v="EUR"/>
    <n v="-3866"/>
    <n v="-4521.0940000000001"/>
    <n v="4521.0940000000001"/>
    <n v="-4521.0940000000001"/>
    <s v="Marionnaud Parfumeries Autriche GmbH"/>
    <s v=""/>
    <s v="1934672          1491133006250211 /ORD.CUST/MARIONNAUD LAFAYETTE/EREF/1934672"/>
    <m/>
    <m/>
    <m/>
    <m/>
    <m/>
    <m/>
    <m/>
    <m/>
    <m/>
    <m/>
    <m/>
    <m/>
    <m/>
    <m/>
    <m/>
    <m/>
    <m/>
    <m/>
    <m/>
    <m/>
    <m/>
    <m/>
    <m/>
    <m/>
    <m/>
    <m/>
    <m/>
    <m/>
    <m/>
    <m/>
    <m/>
    <m/>
    <m/>
    <m/>
    <m/>
    <m/>
    <m/>
    <m/>
    <m/>
    <m/>
    <m/>
    <m/>
    <m/>
    <m/>
    <m/>
    <m/>
    <m/>
    <m/>
    <m/>
    <m/>
    <m/>
    <m/>
    <m/>
    <m/>
    <m/>
    <m/>
  </r>
  <r>
    <s v="311 - Germany"/>
    <d v="2023-01-06T00:00:00"/>
    <s v="JANUARY"/>
    <n v="2023"/>
    <x v="3"/>
    <s v="Deposited"/>
    <s v="PMT-S109-40609"/>
    <s v=""/>
    <s v="EUR"/>
    <n v="-3831"/>
    <n v="-4480.1629999999996"/>
    <n v="4480.1629999999996"/>
    <n v="-32386.678"/>
    <s v="DUMMY CUSTOMER_CASHAPPS 311 - Germany"/>
    <s v="Theresa Saal"/>
    <s v="NONREF           1803680232230106 /OCMT/EUR3866,//CHGS/EUR35,//PAY.BANK/TURKIYE GARANTI BANKASI A.S ./ORD.CUST/1/A.S.WATSON GUZELLIK VE BAKIM URUN 2/A.S. WATSON GUZE LLIK VE BAKIM URU"/>
    <m/>
    <m/>
    <m/>
    <m/>
    <m/>
    <m/>
    <m/>
    <m/>
    <m/>
    <m/>
    <m/>
    <m/>
    <m/>
    <m/>
    <m/>
    <m/>
    <m/>
    <m/>
    <m/>
    <m/>
    <m/>
    <m/>
    <m/>
    <m/>
    <m/>
    <m/>
    <m/>
    <m/>
    <m/>
    <m/>
    <m/>
    <m/>
    <m/>
    <m/>
    <m/>
    <m/>
    <m/>
    <m/>
    <m/>
    <m/>
    <m/>
    <m/>
    <m/>
    <m/>
    <m/>
    <m/>
    <m/>
    <m/>
    <m/>
    <m/>
    <m/>
    <m/>
    <m/>
    <m/>
    <m/>
    <m/>
  </r>
  <r>
    <s v="311 - Germany"/>
    <d v="2026-04-22T00:00:00"/>
    <s v="APRIL"/>
    <n v="2026"/>
    <x v="3"/>
    <s v="Deposited"/>
    <s v="PMT-S109-55252"/>
    <s v="IN-S109-449013"/>
    <s v="EUR"/>
    <n v="-20570"/>
    <n v="-24055.587"/>
    <n v="4174.9369999999999"/>
    <n v="-4174.9369999999999"/>
    <s v="Newspress Spain SL"/>
    <s v="Nathalie Darmois"/>
    <s v="NONREF           1480524653260422 /ORD.CUST/NEWSPRESS SPAIN,S.L./PAY.DET./IN-S109-449013"/>
    <m/>
    <m/>
    <m/>
    <m/>
    <m/>
    <m/>
    <m/>
    <m/>
    <m/>
    <m/>
    <m/>
    <m/>
    <m/>
    <m/>
    <m/>
    <m/>
    <m/>
    <m/>
    <m/>
    <m/>
    <m/>
    <m/>
    <m/>
    <m/>
    <m/>
    <m/>
    <m/>
    <m/>
    <m/>
    <m/>
    <m/>
    <m/>
    <m/>
    <m/>
    <m/>
    <m/>
    <m/>
    <m/>
    <m/>
    <m/>
    <m/>
    <m/>
    <m/>
    <m/>
    <m/>
    <m/>
    <m/>
    <m/>
    <m/>
    <m/>
    <m/>
    <m/>
    <m/>
    <m/>
    <m/>
    <m/>
  </r>
  <r>
    <s v="311 - Germany"/>
    <d v="2025-10-15T00:00:00"/>
    <s v="OCTOBER"/>
    <n v="2025"/>
    <x v="3"/>
    <s v="Deposited"/>
    <s v="PMT-S109-52804"/>
    <s v=""/>
    <s v="EUR"/>
    <n v="-3188"/>
    <n v="-3728.2069999999999"/>
    <n v="3728.2069999999999"/>
    <n v="-32386.678"/>
    <s v="DUMMY CUSTOMER_CASHAPPS 311 - Germany"/>
    <s v="Theresa Saal"/>
    <s v="NONREF           1803084060251015 /OCMT/EUR3188,//PAY.BANK/HSBC BANK A.S./ORD.CUST/1/SIRMAGRUP ICEC EK SANAYI VE TICARE 1/T A.S."/>
    <m/>
    <m/>
    <m/>
    <m/>
    <m/>
    <m/>
    <m/>
    <m/>
    <m/>
    <m/>
    <m/>
    <m/>
    <m/>
    <m/>
    <m/>
    <m/>
    <m/>
    <m/>
    <m/>
    <m/>
    <m/>
    <m/>
    <m/>
    <m/>
    <m/>
    <m/>
    <m/>
    <m/>
    <m/>
    <m/>
    <m/>
    <m/>
    <m/>
    <m/>
    <m/>
    <m/>
    <m/>
    <m/>
    <m/>
    <m/>
    <m/>
    <m/>
    <m/>
    <m/>
    <m/>
    <m/>
    <m/>
    <m/>
    <m/>
    <m/>
    <m/>
    <m/>
    <m/>
    <m/>
    <m/>
    <m/>
  </r>
  <r>
    <s v="311 - Germany"/>
    <d v="2024-08-13T00:00:00"/>
    <s v="AUGUST"/>
    <n v="2024"/>
    <x v="3"/>
    <s v="Deposited"/>
    <s v="PMT-S109-48165"/>
    <s v=""/>
    <s v="EUR"/>
    <n v="-3123.75"/>
    <n v="-3653.069"/>
    <n v="3653.069"/>
    <n v="-3979.346"/>
    <s v="Syntegon Technology GmbH"/>
    <s v="Theresa Saal"/>
    <s v="NONREF           1486072816240813 /ORD.CUST/VALICARE GMBH/PAY.DET./WERBUNGSKOSTEN / MESSEKOSTEN MEL TWA TER RE. IN-S109-443440 70294"/>
    <m/>
    <m/>
    <m/>
    <m/>
    <m/>
    <m/>
    <m/>
    <m/>
    <m/>
    <m/>
    <m/>
    <m/>
    <m/>
    <m/>
    <m/>
    <m/>
    <m/>
    <m/>
    <m/>
    <m/>
    <m/>
    <m/>
    <m/>
    <m/>
    <m/>
    <m/>
    <m/>
    <m/>
    <m/>
    <m/>
    <m/>
    <m/>
    <m/>
    <m/>
    <m/>
    <m/>
    <m/>
    <m/>
    <m/>
    <m/>
    <m/>
    <m/>
    <m/>
    <m/>
    <m/>
    <m/>
    <m/>
    <m/>
    <m/>
    <m/>
    <m/>
    <m/>
    <m/>
    <m/>
    <m/>
    <m/>
  </r>
  <r>
    <s v="311 - Germany"/>
    <d v="2026-04-23T00:00:00"/>
    <s v="APRIL"/>
    <n v="2026"/>
    <x v="3"/>
    <s v="Deposited"/>
    <s v="PMT-S109-55263"/>
    <s v="IN-S109-448037"/>
    <s v="EUR"/>
    <n v="-16128.07"/>
    <n v="-18860.971000000001"/>
    <n v="3526.8510000000001"/>
    <n v="-3526.8510000000001"/>
    <s v="Stadtkrankenhaus Delmenhorst GmbH"/>
    <s v="Theresa Saal"/>
    <s v="NONREF           DE26042392928652 /ORD.CUST/DERDENGELDEN CMC WORLDWI/PAY.DET./IN-S109-448037/352110"/>
    <m/>
    <m/>
    <m/>
    <m/>
    <m/>
    <m/>
    <m/>
    <m/>
    <m/>
    <m/>
    <m/>
    <m/>
    <m/>
    <m/>
    <m/>
    <m/>
    <m/>
    <m/>
    <m/>
    <m/>
    <m/>
    <m/>
    <m/>
    <m/>
    <m/>
    <m/>
    <m/>
    <m/>
    <m/>
    <m/>
    <m/>
    <m/>
    <m/>
    <m/>
    <m/>
    <m/>
    <m/>
    <m/>
    <m/>
    <m/>
    <m/>
    <m/>
    <m/>
    <m/>
    <m/>
    <m/>
    <m/>
    <m/>
    <m/>
    <m/>
    <m/>
    <m/>
    <m/>
    <m/>
    <m/>
    <m/>
  </r>
  <r>
    <s v="311 - Germany"/>
    <d v="2023-06-14T00:00:00"/>
    <s v="JUNE"/>
    <n v="2023"/>
    <x v="3"/>
    <s v="Deposited"/>
    <s v="PMT-S109-42996"/>
    <s v=""/>
    <s v="EUR"/>
    <n v="-2826.24"/>
    <n v="-3305.1460000000002"/>
    <n v="3305.1460000000002"/>
    <n v="-3305.1460000000002"/>
    <s v="Internetstores GmbH"/>
    <s v="Theresa Saal"/>
    <s v="2000283118       1493223640230614 /ORD.CUST/INTERNETSTORES GMBH/EREF/2000283118/PAY.DET./KONTO BEI IHNR.IN-S109-435375/1.3.2 023NR.IN-S109-435375/1.4.2023NR.IN- S10 9-435375/1.5.2023"/>
    <m/>
    <m/>
    <m/>
    <m/>
    <m/>
    <m/>
    <m/>
    <m/>
    <m/>
    <m/>
    <m/>
    <m/>
    <m/>
    <m/>
    <m/>
    <m/>
    <m/>
    <m/>
    <m/>
    <m/>
    <m/>
    <m/>
    <m/>
    <m/>
    <m/>
    <m/>
    <m/>
    <m/>
    <m/>
    <m/>
    <m/>
    <m/>
    <m/>
    <m/>
    <m/>
    <m/>
    <m/>
    <m/>
    <m/>
    <m/>
    <m/>
    <m/>
    <m/>
    <m/>
    <m/>
    <m/>
    <m/>
    <m/>
    <m/>
    <m/>
    <m/>
    <m/>
    <m/>
    <m/>
    <m/>
    <m/>
  </r>
  <r>
    <s v="311 - Germany"/>
    <d v="2026-04-22T00:00:00"/>
    <s v="APRIL"/>
    <n v="2026"/>
    <x v="3"/>
    <s v="Deposited"/>
    <s v="PMT-S109-55250"/>
    <s v="IN-S109-449006"/>
    <s v="EUR"/>
    <n v="-16200"/>
    <n v="-18945.09"/>
    <n v="3157.5149999999999"/>
    <n v="-3157.5149999999999"/>
    <s v="QUOBLY"/>
    <s v="Nathalie Darmois"/>
    <s v="MELTWATER.IN-S10 1480524438260 422 /ORD.CUST/QUOBLY/EREF/MELTWATER.IN-S109-449006.0/PAY.DET./IN-S109 449006"/>
    <m/>
    <m/>
    <m/>
    <m/>
    <m/>
    <m/>
    <m/>
    <m/>
    <m/>
    <m/>
    <m/>
    <m/>
    <m/>
    <m/>
    <m/>
    <m/>
    <m/>
    <m/>
    <m/>
    <m/>
    <m/>
    <m/>
    <m/>
    <m/>
    <m/>
    <m/>
    <m/>
    <m/>
    <m/>
    <m/>
    <m/>
    <m/>
    <m/>
    <m/>
    <m/>
    <m/>
    <m/>
    <m/>
    <m/>
    <m/>
    <m/>
    <m/>
    <m/>
    <m/>
    <m/>
    <m/>
    <m/>
    <m/>
    <m/>
    <m/>
    <m/>
    <m/>
    <m/>
    <m/>
    <m/>
    <m/>
  </r>
  <r>
    <s v="311 - Germany"/>
    <d v="2023-03-23T00:00:00"/>
    <s v="MARCH"/>
    <n v="2023"/>
    <x v="3"/>
    <s v="Deposited"/>
    <s v="PMT-S109-41942"/>
    <s v="IN-S109-437735"/>
    <s v="EUR"/>
    <n v="-30631"/>
    <n v="-35821.423000000003"/>
    <n v="2655.8209999999999"/>
    <n v="-2655.8209999999999"/>
    <s v="Banco Santander S.A"/>
    <s v="Theresa Saal"/>
    <s v="NOT PROVIDED     1490332695230323 /ORD.CUST/BANCO SANTANDER S.A./EREF/NOT PROVIDED/PAY.DET./REF. IN S109437735 2023-03-22 243303 197"/>
    <m/>
    <m/>
    <m/>
    <m/>
    <m/>
    <m/>
    <m/>
    <m/>
    <m/>
    <m/>
    <m/>
    <m/>
    <m/>
    <m/>
    <m/>
    <m/>
    <m/>
    <m/>
    <m/>
    <m/>
    <m/>
    <m/>
    <m/>
    <m/>
    <m/>
    <m/>
    <m/>
    <m/>
    <m/>
    <m/>
    <m/>
    <m/>
    <m/>
    <m/>
    <m/>
    <m/>
    <m/>
    <m/>
    <m/>
    <m/>
    <m/>
    <m/>
    <m/>
    <m/>
    <m/>
    <m/>
    <m/>
    <m/>
    <m/>
    <m/>
    <m/>
    <m/>
    <m/>
    <m/>
    <m/>
    <m/>
  </r>
  <r>
    <s v="311 - Germany"/>
    <d v="2025-09-23T00:00:00"/>
    <s v="SEPTEMBER"/>
    <n v="2025"/>
    <x v="3"/>
    <s v="Deposited"/>
    <s v="PMT-S109-52564"/>
    <s v=""/>
    <s v="EUR"/>
    <n v="-2180"/>
    <n v="-2549.4009999999998"/>
    <n v="2549.4009999999998"/>
    <n v="-2549.4009999999998"/>
    <s v="GLOBAL BIOENERGIES"/>
    <s v="Nathalie Darmois"/>
    <s v="IN-S109-445980   1496216486250923 /ORD.CUST/GLOBAL BIOENERGIES/EREF/IN-S109-445980/PAY.DET./METLWAT ER - PRESTATION 13-04-25 AU 12-04-26"/>
    <m/>
    <m/>
    <m/>
    <m/>
    <m/>
    <m/>
    <m/>
    <m/>
    <m/>
    <m/>
    <m/>
    <m/>
    <m/>
    <m/>
    <m/>
    <m/>
    <m/>
    <m/>
    <m/>
    <m/>
    <m/>
    <m/>
    <m/>
    <m/>
    <m/>
    <m/>
    <m/>
    <m/>
    <m/>
    <m/>
    <m/>
    <m/>
    <m/>
    <m/>
    <m/>
    <m/>
    <m/>
    <m/>
    <m/>
    <m/>
    <m/>
    <m/>
    <m/>
    <m/>
    <m/>
    <m/>
    <m/>
    <m/>
    <m/>
    <m/>
    <m/>
    <m/>
    <m/>
    <m/>
    <m/>
    <m/>
  </r>
  <r>
    <s v="311 - Germany"/>
    <d v="2025-09-17T00:00:00"/>
    <s v="SEPTEMBER"/>
    <n v="2025"/>
    <x v="3"/>
    <s v="Deposited"/>
    <s v="PMT-S109-52505"/>
    <s v="IN-S109-446982"/>
    <s v="EUR"/>
    <n v="-5976"/>
    <n v="-6988.6329999999998"/>
    <n v="2352.933"/>
    <n v="-2352.933"/>
    <s v="Knowledge Business Solutions"/>
    <s v="Nathalie Darmois"/>
    <s v="SOLDE IN-S109-44 14961186642509 17 /ORD.CUST/KNOWLEDGE BUSINE/EREF/SOLDE IN-S109-446768/PAY.DET./SOL DE IN-S109-446768"/>
    <m/>
    <m/>
    <m/>
    <m/>
    <m/>
    <m/>
    <m/>
    <m/>
    <m/>
    <m/>
    <m/>
    <m/>
    <m/>
    <m/>
    <m/>
    <m/>
    <m/>
    <m/>
    <m/>
    <m/>
    <m/>
    <m/>
    <m/>
    <m/>
    <m/>
    <m/>
    <m/>
    <m/>
    <m/>
    <m/>
    <m/>
    <m/>
    <m/>
    <m/>
    <m/>
    <m/>
    <m/>
    <m/>
    <m/>
    <m/>
    <m/>
    <m/>
    <m/>
    <m/>
    <m/>
    <m/>
    <m/>
    <m/>
    <m/>
    <m/>
    <m/>
    <m/>
    <m/>
    <m/>
    <m/>
    <m/>
  </r>
  <r>
    <s v="311 - Germany"/>
    <d v="2023-01-27T00:00:00"/>
    <s v="JANUARY"/>
    <n v="2023"/>
    <x v="3"/>
    <s v="Deposited"/>
    <s v="PMT-S109-41039"/>
    <s v=""/>
    <s v="EUR"/>
    <n v="-2000"/>
    <n v="-2338.9"/>
    <n v="2338.9"/>
    <n v="-2338.9"/>
    <s v="SAS 77 FOODS"/>
    <s v="Nathalie Darmois"/>
    <s v="SCTOUTF5KZ9FUY7R 14884363272301 27 /ORD.CUST/77 FOODS/EREF/SCTOUTF5KZ9FUY7RRXLQXY5NOVDB/PAY.DET./IN- S109-437866"/>
    <m/>
    <m/>
    <m/>
    <m/>
    <m/>
    <m/>
    <m/>
    <m/>
    <m/>
    <m/>
    <m/>
    <m/>
    <m/>
    <m/>
    <m/>
    <m/>
    <m/>
    <m/>
    <m/>
    <m/>
    <m/>
    <m/>
    <m/>
    <m/>
    <m/>
    <m/>
    <m/>
    <m/>
    <m/>
    <m/>
    <m/>
    <m/>
    <m/>
    <m/>
    <m/>
    <m/>
    <m/>
    <m/>
    <m/>
    <m/>
    <m/>
    <m/>
    <m/>
    <m/>
    <m/>
    <m/>
    <m/>
    <m/>
    <m/>
    <m/>
    <m/>
    <m/>
    <m/>
    <m/>
    <m/>
    <m/>
  </r>
  <r>
    <s v="311 - Germany"/>
    <d v="2024-05-30T00:00:00"/>
    <s v="MAY"/>
    <n v="2024"/>
    <x v="3"/>
    <s v="Deposited"/>
    <s v="PMT-S109-47425"/>
    <s v="849"/>
    <s v="EUR"/>
    <n v="-15500"/>
    <n v="-18126.474999999999"/>
    <n v="2338.9"/>
    <n v="-32386.678"/>
    <s v="DUMMY CUSTOMER_CASHAPPS 311 - Germany"/>
    <s v="Theresa Saal"/>
    <s v="NONREF           1803362998240530 /OCMT/EUR15500,//PAY.BANK/BANQUE ATLANTIQUE COTE D'IVOIRE/ORD.CUS T/CABINET DU 1ER MINISTRE BOULEVARD ANGLOULVANT PLATEAU/PAY.DET./ DEPLOIEMENT D'UN OUTIL DE VEILLE ET D'INTELLIGENCE INFORMATIONNEL LE SPECIFIQUE A LA PRIMATURE"/>
    <m/>
    <m/>
    <m/>
    <m/>
    <m/>
    <m/>
    <m/>
    <m/>
    <m/>
    <m/>
    <m/>
    <m/>
    <m/>
    <m/>
    <m/>
    <m/>
    <m/>
    <m/>
    <m/>
    <m/>
    <m/>
    <m/>
    <m/>
    <m/>
    <m/>
    <m/>
    <m/>
    <m/>
    <m/>
    <m/>
    <m/>
    <m/>
    <m/>
    <m/>
    <m/>
    <m/>
    <m/>
    <m/>
    <m/>
    <m/>
    <m/>
    <m/>
    <m/>
    <m/>
    <m/>
    <m/>
    <m/>
    <m/>
    <m/>
    <m/>
    <m/>
    <m/>
    <m/>
    <m/>
    <m/>
    <m/>
  </r>
  <r>
    <s v="311 - Germany"/>
    <d v="2023-07-12T00:00:00"/>
    <s v="JULY"/>
    <n v="2023"/>
    <x v="3"/>
    <s v="Deposited"/>
    <s v="PMT-S109-43302"/>
    <s v=""/>
    <s v="EUR"/>
    <n v="-1785"/>
    <n v="-2087.4679999999998"/>
    <n v="2087.4679999999998"/>
    <n v="-2087.4679999999998"/>
    <s v="Special Olympics Deutschland e.V."/>
    <s v="Theresa Saal"/>
    <s v="2307121430-00000 14942923652307 12 /ORD.CUST/SPECIAL OLYMPICS DEUTSCHLAND E. V./EREF/2307121430-0000 001/PAY.DET./IN-S109-439535"/>
    <m/>
    <m/>
    <m/>
    <m/>
    <m/>
    <m/>
    <m/>
    <m/>
    <m/>
    <m/>
    <m/>
    <m/>
    <m/>
    <m/>
    <m/>
    <m/>
    <m/>
    <m/>
    <m/>
    <m/>
    <m/>
    <m/>
    <m/>
    <m/>
    <m/>
    <m/>
    <m/>
    <m/>
    <m/>
    <m/>
    <m/>
    <m/>
    <m/>
    <m/>
    <m/>
    <m/>
    <m/>
    <m/>
    <m/>
    <m/>
    <m/>
    <m/>
    <m/>
    <m/>
    <m/>
    <m/>
    <m/>
    <m/>
    <m/>
    <m/>
    <m/>
    <m/>
    <m/>
    <m/>
    <m/>
    <m/>
  </r>
  <r>
    <s v="311 - Germany"/>
    <d v="2022-10-26T00:00:00"/>
    <s v="OCTOBER"/>
    <n v="2022"/>
    <x v="3"/>
    <s v="Deposited"/>
    <s v="PMT-S109-39591"/>
    <s v=""/>
    <s v="EUR"/>
    <n v="-1111.3"/>
    <n v="-1299.6099999999999"/>
    <n v="1299.6099999999999"/>
    <n v="-32386.678"/>
    <s v="DUMMY CUSTOMER_CASHAPPS 311 - Germany"/>
    <s v="Theresa Saal"/>
    <s v="(from 19 Sep 22 - moving from Celigo) CANADA LIFE ASSURANC 220916-16R2G0010 1483550279220919 /ORD.CUST/CANADA LIFE ASSURANC/EREF/220916-16R2G0010000055/PAY.DE T./L23331-CLE6774660M R113L23331"/>
    <m/>
    <m/>
    <m/>
    <m/>
    <m/>
    <m/>
    <m/>
    <m/>
    <m/>
    <m/>
    <m/>
    <m/>
    <m/>
    <m/>
    <m/>
    <m/>
    <m/>
    <m/>
    <m/>
    <m/>
    <m/>
    <m/>
    <m/>
    <m/>
    <m/>
    <m/>
    <m/>
    <m/>
    <m/>
    <m/>
    <m/>
    <m/>
    <m/>
    <m/>
    <m/>
    <m/>
    <m/>
    <m/>
    <m/>
    <m/>
    <m/>
    <m/>
    <m/>
    <m/>
    <m/>
    <m/>
    <m/>
    <m/>
    <m/>
    <m/>
    <m/>
    <m/>
    <m/>
    <m/>
    <m/>
    <m/>
  </r>
  <r>
    <s v="311 - Germany"/>
    <d v="2023-03-17T00:00:00"/>
    <s v="MARCH"/>
    <n v="2023"/>
    <x v="3"/>
    <s v="Deposited"/>
    <s v="PMT-S109-41876"/>
    <s v="IN-S109-438675"/>
    <s v="EUR"/>
    <n v="-27965"/>
    <n v="-32703.669000000002"/>
    <n v="1283.097"/>
    <n v="-1283.097"/>
    <s v="WOOLWORTH GmbH"/>
    <s v="Theresa Saal"/>
    <s v="ZAHLG 0042024633 1490179830230 316 /ORD.CUST/WOOLWORTH GMBH/EREF/ZAHLG 0042024633/PAY.DET./IN-S109-4 38675 02.03.2023IN-S109-43 8675 2.3.2023"/>
    <m/>
    <m/>
    <m/>
    <m/>
    <m/>
    <m/>
    <m/>
    <m/>
    <m/>
    <m/>
    <m/>
    <m/>
    <m/>
    <m/>
    <m/>
    <m/>
    <m/>
    <m/>
    <m/>
    <m/>
    <m/>
    <m/>
    <m/>
    <m/>
    <m/>
    <m/>
    <m/>
    <m/>
    <m/>
    <m/>
    <m/>
    <m/>
    <m/>
    <m/>
    <m/>
    <m/>
    <m/>
    <m/>
    <m/>
    <m/>
    <m/>
    <m/>
    <m/>
    <m/>
    <m/>
    <m/>
    <m/>
    <m/>
    <m/>
    <m/>
    <m/>
    <m/>
    <m/>
    <m/>
    <m/>
    <m/>
  </r>
  <r>
    <s v="311 - Germany"/>
    <d v="2026-04-08T00:00:00"/>
    <s v="APRIL"/>
    <n v="2026"/>
    <x v="3"/>
    <s v="Deposited"/>
    <s v="PMT-S109-55090"/>
    <s v="IN-S109-449138"/>
    <s v="EUR"/>
    <n v="-6573.6"/>
    <n v="-7687.4970000000003"/>
    <n v="1281.249"/>
    <n v="-1281.249"/>
    <s v="CONSEIL SUPERIEUR DU NOTARIAT"/>
    <s v="Nathalie Darmois"/>
    <s v="20260403.D55.253 14802425242604 08 /ORD.CUST/CONSEIL SUPERIEUR DU NOTARIAT/EREF/20260403.D55.253.8/P AY.DET./A"/>
    <m/>
    <m/>
    <m/>
    <m/>
    <m/>
    <m/>
    <m/>
    <m/>
    <m/>
    <m/>
    <m/>
    <m/>
    <m/>
    <m/>
    <m/>
    <m/>
    <m/>
    <m/>
    <m/>
    <m/>
    <m/>
    <m/>
    <m/>
    <m/>
    <m/>
    <m/>
    <m/>
    <m/>
    <m/>
    <m/>
    <m/>
    <m/>
    <m/>
    <m/>
    <m/>
    <m/>
    <m/>
    <m/>
    <m/>
    <m/>
    <m/>
    <m/>
    <m/>
    <m/>
    <m/>
    <m/>
    <m/>
    <m/>
    <m/>
    <m/>
    <m/>
    <m/>
    <m/>
    <m/>
    <m/>
    <m/>
  </r>
  <r>
    <s v="311 - Germany"/>
    <d v="2023-08-17T00:00:00"/>
    <s v="AUGUST"/>
    <n v="2023"/>
    <x v="3"/>
    <s v="Deposited"/>
    <s v="PMT-S109-43617"/>
    <s v=""/>
    <s v="EUR"/>
    <n v="-1038.58"/>
    <n v="-1214.567"/>
    <n v="1214.567"/>
    <n v="-32386.678"/>
    <s v="DUMMY CUSTOMER_CASHAPPS 311 - Germany"/>
    <s v="Theresa Saal"/>
    <s v="NONREF           1802795693230817 /OCMT/USD1162,12//CHGS/USD15,//EXCH/1,09265//OUR CHGS/EUR25,/PAY. BANK/ABN AMRO BANK N.V./ORD.CUST/1/STICHTING DERDENGELDEN CMC 1/W ORLDWIDE/PAY.DET./IN-S104-432622,OUR REFERENCE346338 BNY CUST RR N - F1S2308179015300/ROC/EC3228L5QT8G5B00"/>
    <m/>
    <m/>
    <m/>
    <m/>
    <m/>
    <m/>
    <m/>
    <m/>
    <m/>
    <m/>
    <m/>
    <m/>
    <m/>
    <m/>
    <m/>
    <m/>
    <m/>
    <m/>
    <m/>
    <m/>
    <m/>
    <m/>
    <m/>
    <m/>
    <m/>
    <m/>
    <m/>
    <m/>
    <m/>
    <m/>
    <m/>
    <m/>
    <m/>
    <m/>
    <m/>
    <m/>
    <m/>
    <m/>
    <m/>
    <m/>
    <m/>
    <m/>
    <m/>
    <m/>
    <m/>
    <m/>
    <m/>
    <m/>
    <m/>
    <m/>
    <m/>
    <m/>
    <m/>
    <m/>
    <m/>
    <m/>
  </r>
  <r>
    <s v="311 - Germany"/>
    <d v="2025-06-03T00:00:00"/>
    <s v="JUNE"/>
    <n v="2025"/>
    <x v="3"/>
    <s v="Deposited"/>
    <s v="PMT-S109-51531"/>
    <s v="IN-S109-446477"/>
    <s v="EUR"/>
    <n v="-5950"/>
    <n v="-6958.2280000000001"/>
    <n v="1110.9780000000001"/>
    <n v="-1110.9780000000001"/>
    <s v="Plastic Odyssey"/>
    <s v="Amy Tyler"/>
    <s v="RAWSCTOUT5JDTX78 14937202902506 03 /ORD.CUST/PLASTIC ODYSSEY/EREF/RAWSCTOUT5JDTX78USRAXIECG2DFIDG/PA Y.DET./IN-S109-446381"/>
    <m/>
    <m/>
    <m/>
    <m/>
    <m/>
    <m/>
    <m/>
    <m/>
    <m/>
    <m/>
    <m/>
    <m/>
    <m/>
    <m/>
    <m/>
    <m/>
    <m/>
    <m/>
    <m/>
    <m/>
    <m/>
    <m/>
    <m/>
    <m/>
    <m/>
    <m/>
    <m/>
    <m/>
    <m/>
    <m/>
    <m/>
    <m/>
    <m/>
    <m/>
    <m/>
    <m/>
    <m/>
    <m/>
    <m/>
    <m/>
    <m/>
    <m/>
    <m/>
    <m/>
    <m/>
    <m/>
    <m/>
    <m/>
    <m/>
    <m/>
    <m/>
    <m/>
    <m/>
    <m/>
    <m/>
    <m/>
  </r>
  <r>
    <s v="311 - Germany"/>
    <d v="2023-11-17T00:00:00"/>
    <s v="NOVEMBER"/>
    <n v="2023"/>
    <x v="3"/>
    <s v="Deposited"/>
    <s v="PMT-S109-44589"/>
    <s v=""/>
    <s v="EUR"/>
    <n v="-942.93"/>
    <n v="-1102.7090000000001"/>
    <n v="1102.7090000000001"/>
    <n v="-1102.7090000000001"/>
    <s v="Paulaner Brauerei Gruppe GmbH &amp; Co. KGaA"/>
    <s v="Theresa Saal"/>
    <s v="2001950539       1498185268231117 /ORD.CUST/PAULANER BRAUEREI GRUPPE GMBH + CO. KGAA/EREF/20019505 39/PAY.DET./NR.79547475,1.10.2023"/>
    <m/>
    <m/>
    <m/>
    <m/>
    <m/>
    <m/>
    <m/>
    <m/>
    <m/>
    <m/>
    <m/>
    <m/>
    <m/>
    <m/>
    <m/>
    <m/>
    <m/>
    <m/>
    <m/>
    <m/>
    <m/>
    <m/>
    <m/>
    <m/>
    <m/>
    <m/>
    <m/>
    <m/>
    <m/>
    <m/>
    <m/>
    <m/>
    <m/>
    <m/>
    <m/>
    <m/>
    <m/>
    <m/>
    <m/>
    <m/>
    <m/>
    <m/>
    <m/>
    <m/>
    <m/>
    <m/>
    <m/>
    <m/>
    <m/>
    <m/>
    <m/>
    <m/>
    <m/>
    <m/>
    <m/>
    <m/>
  </r>
  <r>
    <s v="311 - Germany"/>
    <d v="2025-12-17T00:00:00"/>
    <s v="DECEMBER"/>
    <n v="2025"/>
    <x v="3"/>
    <s v="Deposited"/>
    <s v="PMT-S109-53537"/>
    <s v="IN-S109-447993"/>
    <s v="EUR"/>
    <n v="-14237.53"/>
    <n v="-16650.079000000002"/>
    <n v="988.80499999999995"/>
    <n v="-988.80499999999995"/>
    <s v="Liechtenstein Marketing"/>
    <s v="Theresa Saal"/>
    <s v="NONREF           1803214948251217 /OCMT/CHF13367,//CHGS/CHF25,//EXCH/0,937211//OUR CHGS/EUR25,/PAY. BANK/LIECHTENSTEINISCHE LANDESBANK AKTIE/ORD.CUST/1/LIECHTENSTEIN MARKETING 2/AEULESTRASSE,30/PAY.DET./IN-S109-447993/ROC/IN-S109- 447993"/>
    <m/>
    <m/>
    <m/>
    <m/>
    <m/>
    <m/>
    <m/>
    <m/>
    <m/>
    <m/>
    <m/>
    <m/>
    <m/>
    <m/>
    <m/>
    <m/>
    <m/>
    <m/>
    <m/>
    <m/>
    <m/>
    <m/>
    <m/>
    <m/>
    <m/>
    <m/>
    <m/>
    <m/>
    <m/>
    <m/>
    <m/>
    <m/>
    <m/>
    <m/>
    <m/>
    <m/>
    <m/>
    <m/>
    <m/>
    <m/>
    <m/>
    <m/>
    <m/>
    <m/>
    <m/>
    <m/>
    <m/>
    <m/>
    <m/>
    <m/>
    <m/>
    <m/>
    <m/>
    <m/>
    <m/>
    <m/>
  </r>
  <r>
    <s v="311 - Germany"/>
    <d v="2025-01-03T00:00:00"/>
    <s v="JANUARY"/>
    <n v="2025"/>
    <x v="3"/>
    <s v="Deposited"/>
    <s v="PMT-S109-49559"/>
    <s v="IN-S109-444756"/>
    <s v="EUR"/>
    <n v="-8330"/>
    <n v="-9741.5190000000002"/>
    <n v="974.15200000000004"/>
    <n v="-974.15200000000004"/>
    <s v="INTERSPORT Digital GmbH"/>
    <s v="Theresa Saal"/>
    <s v="0080313608       1490081122250102 /ORD.CUST/INTERSPORT DEUTSCHLAND EG/EREF/0080313608/PAY.DET./2102 41/INV IN-S109-444756 5.12.2024"/>
    <m/>
    <m/>
    <m/>
    <m/>
    <m/>
    <m/>
    <m/>
    <m/>
    <m/>
    <m/>
    <m/>
    <m/>
    <m/>
    <m/>
    <m/>
    <m/>
    <m/>
    <m/>
    <m/>
    <m/>
    <m/>
    <m/>
    <m/>
    <m/>
    <m/>
    <m/>
    <m/>
    <m/>
    <m/>
    <m/>
    <m/>
    <m/>
    <m/>
    <m/>
    <m/>
    <m/>
    <m/>
    <m/>
    <m/>
    <m/>
    <m/>
    <m/>
    <m/>
    <m/>
    <m/>
    <m/>
    <m/>
    <m/>
    <m/>
    <m/>
    <m/>
    <m/>
    <m/>
    <m/>
    <m/>
    <m/>
  </r>
  <r>
    <s v="311 - Germany"/>
    <d v="2022-04-29T00:00:00"/>
    <s v="APRIL"/>
    <n v="2022"/>
    <x v="3"/>
    <s v="Deposited"/>
    <s v="PMT-S109-37201"/>
    <s v="IN-S109-435025"/>
    <s v="EUR"/>
    <n v="-9392.67"/>
    <n v="-10984.258"/>
    <n v="964.41"/>
    <n v="-964.41"/>
    <s v="Pfeifer Holding GmbH &amp; Co KG"/>
    <s v="Theresa Saal"/>
    <s v="NONREF           1498518446220428 /ORD.CUST/PFEIFER HOLDING GMBH + CO. KG/PAY.DET./FACT IN-S109-435 025 8568,00 0,00 FA CT RG116947 824,67 0,00"/>
    <m/>
    <m/>
    <m/>
    <m/>
    <m/>
    <m/>
    <m/>
    <m/>
    <m/>
    <m/>
    <m/>
    <m/>
    <m/>
    <m/>
    <m/>
    <m/>
    <m/>
    <m/>
    <m/>
    <m/>
    <m/>
    <m/>
    <m/>
    <m/>
    <m/>
    <m/>
    <m/>
    <m/>
    <m/>
    <m/>
    <m/>
    <m/>
    <m/>
    <m/>
    <m/>
    <m/>
    <m/>
    <m/>
    <m/>
    <m/>
    <m/>
    <m/>
    <m/>
    <m/>
    <m/>
    <m/>
    <m/>
    <m/>
    <m/>
    <m/>
    <m/>
    <m/>
    <m/>
    <m/>
    <m/>
    <m/>
  </r>
  <r>
    <s v="311 - Germany"/>
    <d v="2026-04-27T00:00:00"/>
    <s v="APRIL"/>
    <n v="2026"/>
    <x v="3"/>
    <s v="Deposited"/>
    <s v="PMT-S109-55285"/>
    <s v=""/>
    <s v="EUR"/>
    <n v="-692.25"/>
    <n v="-809.55200000000002"/>
    <n v="809.55200000000002"/>
    <n v="0"/>
    <s v="Landesdirektion Sachsen"/>
    <s v="Theresa Saal"/>
    <s v="8300397767       1480612737260427 /ORD.CUST/HAUPTKASSE DES FREISTAATES SACHSEN/EREF/8300397767/PAY. DET./RNR.IN-S109-449247 RD.01.04.2026 SO CIAL MEDIA M .. TORING 04/2026 MEHRJAHRESVERTRAG HTTP.//"/>
    <m/>
    <m/>
    <m/>
    <m/>
    <m/>
    <m/>
    <m/>
    <m/>
    <m/>
    <m/>
    <m/>
    <m/>
    <m/>
    <m/>
    <m/>
    <m/>
    <m/>
    <m/>
    <m/>
    <m/>
    <m/>
    <m/>
    <m/>
    <m/>
    <m/>
    <m/>
    <m/>
    <m/>
    <m/>
    <m/>
    <m/>
    <m/>
    <m/>
    <m/>
    <m/>
    <m/>
    <m/>
    <m/>
    <m/>
    <m/>
    <m/>
    <m/>
    <m/>
    <m/>
    <m/>
    <m/>
    <m/>
    <m/>
    <m/>
    <m/>
    <m/>
    <m/>
    <m/>
    <m/>
    <m/>
    <m/>
  </r>
  <r>
    <s v="311 - Germany"/>
    <d v="2025-07-04T00:00:00"/>
    <s v="JULY"/>
    <n v="2025"/>
    <x v="3"/>
    <s v="Deposited"/>
    <s v="PMT-S109-51821"/>
    <s v="IN-S109-446881"/>
    <s v="EUR"/>
    <n v="-11858"/>
    <n v="-13867.338"/>
    <n v="769.49800000000005"/>
    <n v="-769.49800000000005"/>
    <s v="Olympia Sport- und Veranstaltungszentrum Innsbruck GmbH"/>
    <s v="Theresa Saal"/>
    <s v="NONREF           1494437834250704 /ORD.CUST/OLYMPIA SPORT- UND VERANSTALTUNG SZ ENTRUM INNSBRUCK GM BH/PAY.DET./SCOR C IN-S109-446570 24.06.2025 11 .858,00"/>
    <m/>
    <m/>
    <m/>
    <m/>
    <m/>
    <m/>
    <m/>
    <m/>
    <m/>
    <m/>
    <m/>
    <m/>
    <m/>
    <m/>
    <m/>
    <m/>
    <m/>
    <m/>
    <m/>
    <m/>
    <m/>
    <m/>
    <m/>
    <m/>
    <m/>
    <m/>
    <m/>
    <m/>
    <m/>
    <m/>
    <m/>
    <m/>
    <m/>
    <m/>
    <m/>
    <m/>
    <m/>
    <m/>
    <m/>
    <m/>
    <m/>
    <m/>
    <m/>
    <m/>
    <m/>
    <m/>
    <m/>
    <m/>
    <m/>
    <m/>
    <m/>
    <m/>
    <m/>
    <m/>
    <m/>
    <m/>
  </r>
  <r>
    <s v="311 - Germany"/>
    <d v="2023-03-09T00:00:00"/>
    <s v="MARCH"/>
    <n v="2023"/>
    <x v="3"/>
    <s v="Deposited"/>
    <s v="PMT-S109-41784"/>
    <s v=""/>
    <s v="EUR"/>
    <n v="-561.5"/>
    <n v="-656.64599999999996"/>
    <n v="656.64599999999996"/>
    <n v="-656.64599999999996"/>
    <s v="TOULON VAR TECHNOLOGIES"/>
    <s v="Sophie Sadoune-MW"/>
    <s v="NONREF           1803793843230309 /OCMT/EUR586,5//OUR CHGS/EUR25,/PAY.BANK/CREDIT COOPERATIF/ORD.CU ST/1/TOULON VAR TECHNOLOGIES 2/QUART MAYOL/PAY.DET./TVT/POLE MER MEDITERRANEE"/>
    <m/>
    <m/>
    <m/>
    <m/>
    <m/>
    <m/>
    <m/>
    <m/>
    <m/>
    <m/>
    <m/>
    <m/>
    <m/>
    <m/>
    <m/>
    <m/>
    <m/>
    <m/>
    <m/>
    <m/>
    <m/>
    <m/>
    <m/>
    <m/>
    <m/>
    <m/>
    <m/>
    <m/>
    <m/>
    <m/>
    <m/>
    <m/>
    <m/>
    <m/>
    <m/>
    <m/>
    <m/>
    <m/>
    <m/>
    <m/>
    <m/>
    <m/>
    <m/>
    <m/>
    <m/>
    <m/>
    <m/>
    <m/>
    <m/>
    <m/>
    <m/>
    <m/>
    <m/>
    <m/>
    <m/>
    <m/>
  </r>
  <r>
    <s v="311 - Germany"/>
    <d v="2025-05-13T00:00:00"/>
    <s v="MAY"/>
    <n v="2025"/>
    <x v="3"/>
    <s v="Deposited"/>
    <s v="PMT-S109-51330"/>
    <s v="IN-S109-446330"/>
    <s v="EUR"/>
    <n v="-9996"/>
    <n v="-11689.822"/>
    <n v="556.65800000000002"/>
    <n v="-556.65800000000002"/>
    <s v="Skandinaviska Enskilda Banken AB (publ) Frankfurt Branch"/>
    <s v="Theresa Saal"/>
    <s v="765849           1493216147250513 /ORD.CUST/SEB AB FRANKFURT FINANCE/EREF/765849/PAY.DET./IN-S109-4 46152"/>
    <m/>
    <m/>
    <m/>
    <m/>
    <m/>
    <m/>
    <m/>
    <m/>
    <m/>
    <m/>
    <m/>
    <m/>
    <m/>
    <m/>
    <m/>
    <m/>
    <m/>
    <m/>
    <m/>
    <m/>
    <m/>
    <m/>
    <m/>
    <m/>
    <m/>
    <m/>
    <m/>
    <m/>
    <m/>
    <m/>
    <m/>
    <m/>
    <m/>
    <m/>
    <m/>
    <m/>
    <m/>
    <m/>
    <m/>
    <m/>
    <m/>
    <m/>
    <m/>
    <m/>
    <m/>
    <m/>
    <m/>
    <m/>
    <m/>
    <m/>
    <m/>
    <m/>
    <m/>
    <m/>
    <m/>
    <m/>
  </r>
  <r>
    <s v="311 - Germany"/>
    <d v="2024-01-26T00:00:00"/>
    <s v="JANUARY"/>
    <n v="2024"/>
    <x v="3"/>
    <s v="Deposited"/>
    <s v="PMT-S109-45687"/>
    <s v="IN-S109-441344"/>
    <s v="EUR"/>
    <n v="-5503.75"/>
    <n v="-6436.36"/>
    <n v="491.16899999999998"/>
    <n v="-491.16899999999998"/>
    <s v="Fette Compacting GmbH"/>
    <s v="Theresa Saal"/>
    <s v="0006200819       1480332552240126 /ORD.CUST/FETTE COMPACTING GMBH/EREF/0006200819/PAY.DET./-NR 1N-S 109-441344 VOM 20.12.202"/>
    <m/>
    <m/>
    <m/>
    <m/>
    <m/>
    <m/>
    <m/>
    <m/>
    <m/>
    <m/>
    <m/>
    <m/>
    <m/>
    <m/>
    <m/>
    <m/>
    <m/>
    <m/>
    <m/>
    <m/>
    <m/>
    <m/>
    <m/>
    <m/>
    <m/>
    <m/>
    <m/>
    <m/>
    <m/>
    <m/>
    <m/>
    <m/>
    <m/>
    <m/>
    <m/>
    <m/>
    <m/>
    <m/>
    <m/>
    <m/>
    <m/>
    <m/>
    <m/>
    <m/>
    <m/>
    <m/>
    <m/>
    <m/>
    <m/>
    <m/>
    <m/>
    <m/>
    <m/>
    <m/>
    <m/>
    <m/>
  </r>
  <r>
    <s v="311 - Germany"/>
    <d v="2024-12-03T00:00:00"/>
    <s v="DECEMBER"/>
    <n v="2024"/>
    <x v="3"/>
    <s v="Deposited"/>
    <s v="PMT-S109-49239"/>
    <s v=""/>
    <s v="EUR"/>
    <n v="-415.36"/>
    <n v="-485.74299999999999"/>
    <n v="485.74299999999999"/>
    <n v="-485.74299999999999"/>
    <s v="Industrie- und Handelskammer zu Düsseldorf"/>
    <s v="Theresa Saal"/>
    <s v="INDUSTRIE- UND HANDELSKAMMER ZU DUS SELDORF KD10000261623 29 1489258495241203 /ORD.CUST/INDUSTRIE- UND HANDELSKAMMER ZU DUS SELDORF/EREF/KD1000 0261623 29/PAY.DET./20.11.2023 415.36 60784709"/>
    <m/>
    <m/>
    <m/>
    <m/>
    <m/>
    <m/>
    <m/>
    <m/>
    <m/>
    <m/>
    <m/>
    <m/>
    <m/>
    <m/>
    <m/>
    <m/>
    <m/>
    <m/>
    <m/>
    <m/>
    <m/>
    <m/>
    <m/>
    <m/>
    <m/>
    <m/>
    <m/>
    <m/>
    <m/>
    <m/>
    <m/>
    <m/>
    <m/>
    <m/>
    <m/>
    <m/>
    <m/>
    <m/>
    <m/>
    <m/>
    <m/>
    <m/>
    <m/>
    <m/>
    <m/>
    <m/>
    <m/>
    <m/>
    <m/>
    <m/>
    <m/>
    <m/>
    <m/>
    <m/>
    <m/>
    <m/>
  </r>
  <r>
    <s v="311 - Germany"/>
    <d v="2025-03-31T00:00:00"/>
    <s v="MARCH"/>
    <n v="2025"/>
    <x v="3"/>
    <s v="Deposited"/>
    <s v="PMT-S109-50857"/>
    <s v=""/>
    <s v="EUR"/>
    <n v="-378"/>
    <n v="-442.05200000000002"/>
    <n v="442.05200000000002"/>
    <n v="-442.05200000000002"/>
    <s v="SA PERIAL"/>
    <s v="Sophie Sadoune-MW"/>
    <s v="2000000819       1492234530250331 /ORD.CUST/PERIAL ASSET MANAGEMENT/EREF/2000000819/PAY.DET.//INV/F 2502141 28.2.2025"/>
    <m/>
    <m/>
    <m/>
    <m/>
    <m/>
    <m/>
    <m/>
    <m/>
    <m/>
    <m/>
    <m/>
    <m/>
    <m/>
    <m/>
    <m/>
    <m/>
    <m/>
    <m/>
    <m/>
    <m/>
    <m/>
    <m/>
    <m/>
    <m/>
    <m/>
    <m/>
    <m/>
    <m/>
    <m/>
    <m/>
    <m/>
    <m/>
    <m/>
    <m/>
    <m/>
    <m/>
    <m/>
    <m/>
    <m/>
    <m/>
    <m/>
    <m/>
    <m/>
    <m/>
    <m/>
    <m/>
    <m/>
    <m/>
    <m/>
    <m/>
    <m/>
    <m/>
    <m/>
    <m/>
    <m/>
    <m/>
  </r>
  <r>
    <s v="311 - Germany"/>
    <d v="2023-07-04T00:00:00"/>
    <s v="JULY"/>
    <n v="2023"/>
    <x v="3"/>
    <s v="Deposited"/>
    <s v="PMT-S109-43226"/>
    <s v=""/>
    <s v="EUR"/>
    <n v="-372.47"/>
    <n v="-435.58499999999998"/>
    <n v="435.58499999999998"/>
    <n v="-435.58499999999998"/>
    <s v="HRG Hotels GmbH"/>
    <s v="Theresa Saal"/>
    <s v="474-230630T1220- 149401460923070 4 /ORD.CUST/SUCCESS HOTEL MANAGEMENT GMBH/EREF/474-230630T1220-232- 16962--5/PAY.DET./IN-S109-439096"/>
    <m/>
    <m/>
    <m/>
    <m/>
    <m/>
    <m/>
    <m/>
    <m/>
    <m/>
    <m/>
    <m/>
    <m/>
    <m/>
    <m/>
    <m/>
    <m/>
    <m/>
    <m/>
    <m/>
    <m/>
    <m/>
    <m/>
    <m/>
    <m/>
    <m/>
    <m/>
    <m/>
    <m/>
    <m/>
    <m/>
    <m/>
    <m/>
    <m/>
    <m/>
    <m/>
    <m/>
    <m/>
    <m/>
    <m/>
    <m/>
    <m/>
    <m/>
    <m/>
    <m/>
    <m/>
    <m/>
    <m/>
    <m/>
    <m/>
    <m/>
    <m/>
    <m/>
    <m/>
    <m/>
    <m/>
    <m/>
  </r>
  <r>
    <s v="311 - Germany"/>
    <d v="2023-03-30T00:00:00"/>
    <s v="MARCH"/>
    <n v="2023"/>
    <x v="3"/>
    <s v="Deposited"/>
    <s v="PMT-S109-42040"/>
    <s v=""/>
    <s v="EUR"/>
    <n v="-330"/>
    <n v="-385.91899999999998"/>
    <n v="385.91899999999998"/>
    <n v="-32386.678"/>
    <s v="DUMMY CUSTOMER_CASHAPPS 311 - Germany"/>
    <s v="Theresa Saal"/>
    <s v="0107026758       1490551788230330 /ORD.CUST/DIEHL METALL STIFTUNG + CO. KG/EREF/0107026758/PAY.DET. //INV/100 100 2304320.3.2023"/>
    <m/>
    <m/>
    <m/>
    <m/>
    <m/>
    <m/>
    <m/>
    <m/>
    <m/>
    <m/>
    <m/>
    <m/>
    <m/>
    <m/>
    <m/>
    <m/>
    <m/>
    <m/>
    <m/>
    <m/>
    <m/>
    <m/>
    <m/>
    <m/>
    <m/>
    <m/>
    <m/>
    <m/>
    <m/>
    <m/>
    <m/>
    <m/>
    <m/>
    <m/>
    <m/>
    <m/>
    <m/>
    <m/>
    <m/>
    <m/>
    <m/>
    <m/>
    <m/>
    <m/>
    <m/>
    <m/>
    <m/>
    <m/>
    <m/>
    <m/>
    <m/>
    <m/>
    <m/>
    <m/>
    <m/>
    <m/>
  </r>
  <r>
    <s v="311 - Germany"/>
    <d v="2024-08-23T00:00:00"/>
    <s v="AUGUST"/>
    <n v="2024"/>
    <x v="3"/>
    <s v="Deposited"/>
    <s v="PMT-S109-48281"/>
    <s v="IN-S109-443293"/>
    <s v="EUR"/>
    <n v="-2320.5"/>
    <n v="-2713.7089999999998"/>
    <n v="358.29599999999999"/>
    <n v="-358.29599999999999"/>
    <s v="Hiscox SA"/>
    <s v="Theresa Saal"/>
    <s v="1010659          1486323359240823 /ORD.CUST/HISCOX SA HISCOX SA/EREF/1010659"/>
    <m/>
    <m/>
    <m/>
    <m/>
    <m/>
    <m/>
    <m/>
    <m/>
    <m/>
    <m/>
    <m/>
    <m/>
    <m/>
    <m/>
    <m/>
    <m/>
    <m/>
    <m/>
    <m/>
    <m/>
    <m/>
    <m/>
    <m/>
    <m/>
    <m/>
    <m/>
    <m/>
    <m/>
    <m/>
    <m/>
    <m/>
    <m/>
    <m/>
    <m/>
    <m/>
    <m/>
    <m/>
    <m/>
    <m/>
    <m/>
    <m/>
    <m/>
    <m/>
    <m/>
    <m/>
    <m/>
    <m/>
    <m/>
    <m/>
    <m/>
    <m/>
    <m/>
    <m/>
    <m/>
    <m/>
    <m/>
  </r>
  <r>
    <s v="311 - Germany"/>
    <d v="2024-01-23T00:00:00"/>
    <s v="JANUARY"/>
    <n v="2024"/>
    <x v="3"/>
    <s v="Deposited"/>
    <s v="PMT-S109-45581"/>
    <s v="IN-S109-441185"/>
    <s v="EUR"/>
    <n v="-7047.78"/>
    <n v="-8242.0259999999998"/>
    <n v="350.83499999999998"/>
    <n v="-350.83499999999998"/>
    <s v="Sedus Stoll Aktiengesellschaft / Sedus Systems GmbH"/>
    <s v="Theresa Saal"/>
    <s v="2000418044       1480226980240123 /ORD.CUST/SEDUS STOLL AG/EREF/2000418044/PAY.DET.//INV/25.12.2023 IN-S109-441185"/>
    <m/>
    <m/>
    <m/>
    <m/>
    <m/>
    <m/>
    <m/>
    <m/>
    <m/>
    <m/>
    <m/>
    <m/>
    <m/>
    <m/>
    <m/>
    <m/>
    <m/>
    <m/>
    <m/>
    <m/>
    <m/>
    <m/>
    <m/>
    <m/>
    <m/>
    <m/>
    <m/>
    <m/>
    <m/>
    <m/>
    <m/>
    <m/>
    <m/>
    <m/>
    <m/>
    <m/>
    <m/>
    <m/>
    <m/>
    <m/>
    <m/>
    <m/>
    <m/>
    <m/>
    <m/>
    <m/>
    <m/>
    <m/>
    <m/>
    <m/>
    <m/>
    <m/>
    <m/>
    <m/>
    <m/>
    <m/>
  </r>
  <r>
    <s v="311 - Germany"/>
    <d v="2026-03-03T00:00:00"/>
    <s v="MARCH"/>
    <n v="2026"/>
    <x v="3"/>
    <s v="Deposited"/>
    <s v="PMT-S109-54604"/>
    <s v="IN-S109-448894"/>
    <s v="EUR"/>
    <n v="-1800"/>
    <n v="-2105.0100000000002"/>
    <n v="350.83499999999998"/>
    <n v="3332.933"/>
    <s v="Sylvie Passat"/>
    <s v="Nathalie Darmois"/>
    <s v="FACTURE IN-S109- 14995596072603 03 /ORD.CUST/MADAME PASSAT SYLVIE/EREF/FACTURE IN-S109-448819"/>
    <m/>
    <m/>
    <m/>
    <m/>
    <m/>
    <m/>
    <m/>
    <m/>
    <m/>
    <m/>
    <m/>
    <m/>
    <m/>
    <m/>
    <m/>
    <m/>
    <m/>
    <m/>
    <m/>
    <m/>
    <m/>
    <m/>
    <m/>
    <m/>
    <m/>
    <m/>
    <m/>
    <m/>
    <m/>
    <m/>
    <m/>
    <m/>
    <m/>
    <m/>
    <m/>
    <m/>
    <m/>
    <m/>
    <m/>
    <m/>
    <m/>
    <m/>
    <m/>
    <m/>
    <m/>
    <m/>
    <m/>
    <m/>
    <m/>
    <m/>
    <m/>
    <m/>
    <m/>
    <m/>
    <m/>
    <m/>
  </r>
  <r>
    <s v="311 - Germany"/>
    <d v="2024-01-18T00:00:00"/>
    <s v="JANUARY"/>
    <n v="2024"/>
    <x v="3"/>
    <s v="Deposited"/>
    <s v="PMT-S109-45500"/>
    <s v="IN-S109-441259"/>
    <s v="EUR"/>
    <n v="-15827"/>
    <n v="-18508.884999999998"/>
    <n v="326.27699999999999"/>
    <n v="-3979.346"/>
    <s v="Syntegon Technology GmbH"/>
    <s v="Theresa Saal"/>
    <s v="0015001657       1480130146240118 /ORD.CUST/SYNTEGON TECHNOLOGY GMBH/EREF/0015001657/PAY.DET.//RE/I N-S109-441259 15.12.2023"/>
    <m/>
    <m/>
    <m/>
    <m/>
    <m/>
    <m/>
    <m/>
    <m/>
    <m/>
    <m/>
    <m/>
    <m/>
    <m/>
    <m/>
    <m/>
    <m/>
    <m/>
    <m/>
    <m/>
    <m/>
    <m/>
    <m/>
    <m/>
    <m/>
    <m/>
    <m/>
    <m/>
    <m/>
    <m/>
    <m/>
    <m/>
    <m/>
    <m/>
    <m/>
    <m/>
    <m/>
    <m/>
    <m/>
    <m/>
    <m/>
    <m/>
    <m/>
    <m/>
    <m/>
    <m/>
    <m/>
    <m/>
    <m/>
    <m/>
    <m/>
    <m/>
    <m/>
    <m/>
    <m/>
    <m/>
    <m/>
  </r>
  <r>
    <s v="311 - Germany"/>
    <d v="2024-01-30T00:00:00"/>
    <s v="JANUARY"/>
    <n v="2024"/>
    <x v="3"/>
    <s v="Deposited"/>
    <s v="PMT-S109-45749"/>
    <s v="IN-S109-440918"/>
    <s v="EUR"/>
    <n v="-3010.7"/>
    <n v="-3520.8629999999998"/>
    <n v="326.27699999999999"/>
    <n v="-326.27699999999999"/>
    <s v="Rhenus Group Sales Services GmbH"/>
    <s v="Theresa Saal"/>
    <s v="0100000435       1480416318240130 /ORD.CUST/RH ASSETS SERV GMBHCOKG/EREF/0100000435/PAY.DET.//NR.IN S109-440918/3010,70/28.11.20 23"/>
    <m/>
    <m/>
    <m/>
    <m/>
    <m/>
    <m/>
    <m/>
    <m/>
    <m/>
    <m/>
    <m/>
    <m/>
    <m/>
    <m/>
    <m/>
    <m/>
    <m/>
    <m/>
    <m/>
    <m/>
    <m/>
    <m/>
    <m/>
    <m/>
    <m/>
    <m/>
    <m/>
    <m/>
    <m/>
    <m/>
    <m/>
    <m/>
    <m/>
    <m/>
    <m/>
    <m/>
    <m/>
    <m/>
    <m/>
    <m/>
    <m/>
    <m/>
    <m/>
    <m/>
    <m/>
    <m/>
    <m/>
    <m/>
    <m/>
    <m/>
    <m/>
    <m/>
    <m/>
    <m/>
    <m/>
    <m/>
  </r>
  <r>
    <s v="311 - Germany"/>
    <d v="2026-04-29T00:00:00"/>
    <s v="APRIL"/>
    <n v="2026"/>
    <x v="3"/>
    <s v="Deposited"/>
    <s v="PMT-S109-55316"/>
    <s v="IN-S109-445849"/>
    <s v="EUR"/>
    <n v="-5936.77"/>
    <n v="-6942.7560000000003"/>
    <n v="262.85700000000003"/>
    <n v="-262.85700000000003"/>
    <s v="Urban Technology GmbH"/>
    <s v="Theresa Saal"/>
    <s v="NONREF           DE26042993041090 /ORD.CUST/URBAN TECHNOLOGY GMBH/PAY.DET./IN-S109-445806 PAYMENT P LAN"/>
    <m/>
    <m/>
    <m/>
    <m/>
    <m/>
    <m/>
    <m/>
    <m/>
    <m/>
    <m/>
    <m/>
    <m/>
    <m/>
    <m/>
    <m/>
    <m/>
    <m/>
    <m/>
    <m/>
    <m/>
    <m/>
    <m/>
    <m/>
    <m/>
    <m/>
    <m/>
    <m/>
    <m/>
    <m/>
    <m/>
    <m/>
    <m/>
    <m/>
    <m/>
    <m/>
    <m/>
    <m/>
    <m/>
    <m/>
    <m/>
    <m/>
    <m/>
    <m/>
    <m/>
    <m/>
    <m/>
    <m/>
    <m/>
    <m/>
    <m/>
    <m/>
    <m/>
    <m/>
    <m/>
    <m/>
    <m/>
  </r>
  <r>
    <s v="311 - Germany"/>
    <d v="2024-01-22T00:00:00"/>
    <s v="JANUARY"/>
    <n v="2024"/>
    <x v="3"/>
    <s v="Deposited"/>
    <s v="PMT-S109-45558"/>
    <s v="IN-S109-441316"/>
    <s v="EUR"/>
    <n v="-8925"/>
    <n v="-10437.341"/>
    <n v="259.61799999999999"/>
    <n v="-259.61799999999999"/>
    <s v="Landgard Service GmbH"/>
    <s v="Theresa Saal"/>
    <s v="NONREF           1803104231240122 /OCMT/EUR8925,//PAY.BANK/DZ BANK AG/ORD.CUST/LANDGARD SERVICE GMB H/PAY.DET.//INV/IN-S109-441316 19.12.2023/ROC/0001002345"/>
    <m/>
    <m/>
    <m/>
    <m/>
    <m/>
    <m/>
    <m/>
    <m/>
    <m/>
    <m/>
    <m/>
    <m/>
    <m/>
    <m/>
    <m/>
    <m/>
    <m/>
    <m/>
    <m/>
    <m/>
    <m/>
    <m/>
    <m/>
    <m/>
    <m/>
    <m/>
    <m/>
    <m/>
    <m/>
    <m/>
    <m/>
    <m/>
    <m/>
    <m/>
    <m/>
    <m/>
    <m/>
    <m/>
    <m/>
    <m/>
    <m/>
    <m/>
    <m/>
    <m/>
    <m/>
    <m/>
    <m/>
    <m/>
    <m/>
    <m/>
    <m/>
    <m/>
    <m/>
    <m/>
    <m/>
    <m/>
  </r>
  <r>
    <s v="311 - Germany"/>
    <d v="2023-09-05T00:00:00"/>
    <s v="SEPTEMBER"/>
    <n v="2023"/>
    <x v="3"/>
    <s v="Deposited"/>
    <s v="PMT-S109-43770"/>
    <s v="IN-S109-440031"/>
    <s v="EUR"/>
    <n v="-9163"/>
    <n v="-10715.67"/>
    <n v="245.58500000000001"/>
    <n v="-245.58500000000001"/>
    <s v="GEMÜ Gebr. Müller Apparatebau GmbH &amp; Co. KG"/>
    <s v="Theresa Saal"/>
    <s v="4400017412       1496034604230905 /ORD.CUST/GEMUE GEBR. MUELLER APP./EREF/4400017412/PAY.DET.//INV/ IN-S109-440031 23.8.2023"/>
    <m/>
    <m/>
    <m/>
    <m/>
    <m/>
    <m/>
    <m/>
    <m/>
    <m/>
    <m/>
    <m/>
    <m/>
    <m/>
    <m/>
    <m/>
    <m/>
    <m/>
    <m/>
    <m/>
    <m/>
    <m/>
    <m/>
    <m/>
    <m/>
    <m/>
    <m/>
    <m/>
    <m/>
    <m/>
    <m/>
    <m/>
    <m/>
    <m/>
    <m/>
    <m/>
    <m/>
    <m/>
    <m/>
    <m/>
    <m/>
    <m/>
    <m/>
    <m/>
    <m/>
    <m/>
    <m/>
    <m/>
    <m/>
    <m/>
    <m/>
    <m/>
    <m/>
    <m/>
    <m/>
    <m/>
    <m/>
  </r>
  <r>
    <s v="311 - Germany"/>
    <d v="2024-11-07T00:00:00"/>
    <s v="NOVEMBER"/>
    <n v="2024"/>
    <x v="3"/>
    <s v="Deposited"/>
    <s v="PMT-S109-48996"/>
    <s v="IN-S109-444095"/>
    <s v="EUR"/>
    <n v="-7425"/>
    <n v="-8683.1659999999993"/>
    <n v="210.501"/>
    <n v="-210.501"/>
    <s v="Nitidis"/>
    <s v=""/>
    <s v="ZZ1H2VLPWD7J9W06 14884436082411 07 /ORD.CUST/NITIDIS/EREF/ZZ1H2VLPWD7J9W06P/PAY.DET./FACTURE IN-S109 444095 ABONNEMENT A NNUEL VEILLE MELTWATER"/>
    <m/>
    <m/>
    <m/>
    <m/>
    <m/>
    <m/>
    <m/>
    <m/>
    <m/>
    <m/>
    <m/>
    <m/>
    <m/>
    <m/>
    <m/>
    <m/>
    <m/>
    <m/>
    <m/>
    <m/>
    <m/>
    <m/>
    <m/>
    <m/>
    <m/>
    <m/>
    <m/>
    <m/>
    <m/>
    <m/>
    <m/>
    <m/>
    <m/>
    <m/>
    <m/>
    <m/>
    <m/>
    <m/>
    <m/>
    <m/>
    <m/>
    <m/>
    <m/>
    <m/>
    <m/>
    <m/>
    <m/>
    <m/>
    <m/>
    <m/>
    <m/>
    <m/>
    <m/>
    <m/>
    <m/>
    <m/>
  </r>
  <r>
    <s v="311 - Germany"/>
    <d v="2025-05-14T00:00:00"/>
    <s v="MAY"/>
    <n v="2025"/>
    <x v="3"/>
    <s v="Deposited"/>
    <s v="PMT-S109-51339"/>
    <s v=""/>
    <s v="EUR"/>
    <n v="-160.55000000000001"/>
    <n v="-187.755"/>
    <n v="187.755"/>
    <n v="-187.755"/>
    <s v="Alpine Bau GmbH (AUT)"/>
    <s v="Theresa Saal"/>
    <s v="3586228          1493246099250514 /ORD.CUST/AKV EUROPA/EREF/3586228/PAY.DET./37030/205080879,160,5 5 EUR Q /. RATE 2.5 O/O,ALPINE BAU GMBH,5 S 80/13V"/>
    <m/>
    <m/>
    <m/>
    <m/>
    <m/>
    <m/>
    <m/>
    <m/>
    <m/>
    <m/>
    <m/>
    <m/>
    <m/>
    <m/>
    <m/>
    <m/>
    <m/>
    <m/>
    <m/>
    <m/>
    <m/>
    <m/>
    <m/>
    <m/>
    <m/>
    <m/>
    <m/>
    <m/>
    <m/>
    <m/>
    <m/>
    <m/>
    <m/>
    <m/>
    <m/>
    <m/>
    <m/>
    <m/>
    <m/>
    <m/>
    <m/>
    <m/>
    <m/>
    <m/>
    <m/>
    <m/>
    <m/>
    <m/>
    <m/>
    <m/>
    <m/>
    <m/>
    <m/>
    <m/>
    <m/>
    <m/>
  </r>
  <r>
    <s v="311 - Germany"/>
    <d v="2023-10-18T00:00:00"/>
    <s v="OCTOBER"/>
    <n v="2023"/>
    <x v="3"/>
    <s v="Deposited"/>
    <s v="PMT-S109-44191"/>
    <s v="IN-S109-439800"/>
    <s v="EUR"/>
    <n v="-9048.76"/>
    <n v="-10582.072"/>
    <n v="175.41800000000001"/>
    <n v="-175.41800000000001"/>
    <s v="Vodafone Institut für Gesellschaft und Kommunikation GmbH"/>
    <s v="Theresa Saal"/>
    <s v="IN-S109-439800 1 14972846572310 18 /ORD.CUST/VODAFONE INSTITUT FUR GESELLSCHAFT UND KOMMUNIKATION GM BH/EREF/IN-S109-439800 17.7.2023 IN-S109-43/PAY.DET./IN-S109-4398 00-IN-S109-439800"/>
    <m/>
    <m/>
    <m/>
    <m/>
    <m/>
    <m/>
    <m/>
    <m/>
    <m/>
    <m/>
    <m/>
    <m/>
    <m/>
    <m/>
    <m/>
    <m/>
    <m/>
    <m/>
    <m/>
    <m/>
    <m/>
    <m/>
    <m/>
    <m/>
    <m/>
    <m/>
    <m/>
    <m/>
    <m/>
    <m/>
    <m/>
    <m/>
    <m/>
    <m/>
    <m/>
    <m/>
    <m/>
    <m/>
    <m/>
    <m/>
    <m/>
    <m/>
    <m/>
    <m/>
    <m/>
    <m/>
    <m/>
    <m/>
    <m/>
    <m/>
    <m/>
    <m/>
    <m/>
    <m/>
    <m/>
    <m/>
  </r>
  <r>
    <s v="311 - Germany"/>
    <d v="2024-01-04T00:00:00"/>
    <s v="JANUARY"/>
    <n v="2024"/>
    <x v="3"/>
    <s v="Deposited"/>
    <s v="PMT-S109-45218"/>
    <s v="IN-S109-441405"/>
    <s v="EUR"/>
    <n v="-6188"/>
    <n v="-7236.5569999999998"/>
    <n v="175.41800000000001"/>
    <n v="-175.41800000000001"/>
    <s v="medac GmbH"/>
    <s v="Theresa Saal"/>
    <s v="ZAHL.BELEG. 0000 14997362412401 04 /ORD.CUST/MEDAC GESELLSCHAFT FUER KLINISCHE/EREF/ZAHL.BELEG. 0000 022321/PAY.DET./RE. IN-S109-441405 6.188,00"/>
    <m/>
    <m/>
    <m/>
    <m/>
    <m/>
    <m/>
    <m/>
    <m/>
    <m/>
    <m/>
    <m/>
    <m/>
    <m/>
    <m/>
    <m/>
    <m/>
    <m/>
    <m/>
    <m/>
    <m/>
    <m/>
    <m/>
    <m/>
    <m/>
    <m/>
    <m/>
    <m/>
    <m/>
    <m/>
    <m/>
    <m/>
    <m/>
    <m/>
    <m/>
    <m/>
    <m/>
    <m/>
    <m/>
    <m/>
    <m/>
    <m/>
    <m/>
    <m/>
    <m/>
    <m/>
    <m/>
    <m/>
    <m/>
    <m/>
    <m/>
    <m/>
    <m/>
    <m/>
    <m/>
    <m/>
    <m/>
  </r>
  <r>
    <s v="311 - Germany"/>
    <d v="2023-09-07T00:00:00"/>
    <s v="SEPTEMBER"/>
    <n v="2023"/>
    <x v="3"/>
    <s v="Deposited"/>
    <s v="PMT-S109-43785"/>
    <s v="IN-S109-439953"/>
    <s v="EUR"/>
    <n v="-4879"/>
    <n v="-5705.7470000000003"/>
    <n v="134.19399999999999"/>
    <n v="-134.19399999999999"/>
    <s v="united communications GmbH"/>
    <s v="Theresa Saal"/>
    <s v="NONREF           1496081826230907 /ORD.CUST/UNITED/PAY.DET./IN-S109-439953"/>
    <m/>
    <m/>
    <m/>
    <m/>
    <m/>
    <m/>
    <m/>
    <m/>
    <m/>
    <m/>
    <m/>
    <m/>
    <m/>
    <m/>
    <m/>
    <m/>
    <m/>
    <m/>
    <m/>
    <m/>
    <m/>
    <m/>
    <m/>
    <m/>
    <m/>
    <m/>
    <m/>
    <m/>
    <m/>
    <m/>
    <m/>
    <m/>
    <m/>
    <m/>
    <m/>
    <m/>
    <m/>
    <m/>
    <m/>
    <m/>
    <m/>
    <m/>
    <m/>
    <m/>
    <m/>
    <m/>
    <m/>
    <m/>
    <m/>
    <m/>
    <m/>
    <m/>
    <m/>
    <m/>
    <m/>
    <m/>
  </r>
  <r>
    <s v="311 - Germany"/>
    <d v="2026-05-04T00:00:00"/>
    <s v="MAY"/>
    <n v="2026"/>
    <x v="3"/>
    <s v="Deposited"/>
    <s v="PMT-S109-55375"/>
    <s v=""/>
    <s v="EUR"/>
    <n v="-80.25"/>
    <n v="-93.847999999999999"/>
    <n v="93.847999999999999"/>
    <n v="-32386.678"/>
    <s v="DUMMY CUSTOMER_CASHAPPS 311 - Germany"/>
    <s v="Theresa Saal"/>
    <s v="IC/961045,NONREF,NONREF           IC/961045 ABSCHLUSSPERIODE/CLOSING PERIOD 31.03.26 - 30.04.26 KONTO/ACCOUNT 1/4530/029 DETAILS SIEHE KONTOABSCHLUSSMITTEILUNG. FOR DETAILS SEE STATEMENT OF INTEREST AND CHARGES."/>
    <m/>
    <m/>
    <m/>
    <m/>
    <m/>
    <m/>
    <m/>
    <m/>
    <m/>
    <m/>
    <m/>
    <m/>
    <m/>
    <m/>
    <m/>
    <m/>
    <m/>
    <m/>
    <m/>
    <m/>
    <m/>
    <m/>
    <m/>
    <m/>
    <m/>
    <m/>
    <m/>
    <m/>
    <m/>
    <m/>
    <m/>
    <m/>
    <m/>
    <m/>
    <m/>
    <m/>
    <m/>
    <m/>
    <m/>
    <m/>
    <m/>
    <m/>
    <m/>
    <m/>
    <m/>
    <m/>
    <m/>
    <m/>
    <m/>
    <m/>
    <m/>
    <m/>
    <m/>
    <m/>
    <m/>
    <m/>
  </r>
  <r>
    <s v="311 - Germany"/>
    <d v="2024-11-05T00:00:00"/>
    <s v="NOVEMBER"/>
    <n v="2024"/>
    <x v="3"/>
    <s v="Deposited"/>
    <s v="PMT-S109-48958"/>
    <s v="IN-S109-443975"/>
    <s v="EUR"/>
    <n v="-57200"/>
    <n v="-66892.539999999994"/>
    <n v="93.555999999999997"/>
    <n v="-93.555999999999997"/>
    <s v="Two Circles GmbH"/>
    <s v="Amy Tyler"/>
    <s v="NONREF           1488401149241105 /ORD.CUST/TWO CIRCLES LIMITED/PAY.DET./TWO CIRCLES"/>
    <m/>
    <m/>
    <m/>
    <m/>
    <m/>
    <m/>
    <m/>
    <m/>
    <m/>
    <m/>
    <m/>
    <m/>
    <m/>
    <m/>
    <m/>
    <m/>
    <m/>
    <m/>
    <m/>
    <m/>
    <m/>
    <m/>
    <m/>
    <m/>
    <m/>
    <m/>
    <m/>
    <m/>
    <m/>
    <m/>
    <m/>
    <m/>
    <m/>
    <m/>
    <m/>
    <m/>
    <m/>
    <m/>
    <m/>
    <m/>
    <m/>
    <m/>
    <m/>
    <m/>
    <m/>
    <m/>
    <m/>
    <m/>
    <m/>
    <m/>
    <m/>
    <m/>
    <m/>
    <m/>
    <m/>
    <m/>
  </r>
  <r>
    <s v="311 - Germany"/>
    <d v="2024-01-05T00:00:00"/>
    <s v="JANUARY"/>
    <n v="2024"/>
    <x v="3"/>
    <s v="Deposited"/>
    <s v="PMT-S109-45243"/>
    <s v="IN-S109-441110"/>
    <s v="EUR"/>
    <n v="-4105.5"/>
    <n v="-4801.1769999999997"/>
    <n v="87.709000000000003"/>
    <n v="-87.709000000000003"/>
    <s v="Deutsches Jugendherbergswerk Landesverband Mecklenburg-Vorpommern e.V."/>
    <s v="Theresa Saal"/>
    <s v="21320000         1499740458240104 /ORD.CUST/DEUTSCHES JUGENDHERBERGSWERK LANDES VERBAND MECKLENBURG VORPOMMERN E.V./EREF/21320000/PAY.DET./IN-S109-441110"/>
    <m/>
    <m/>
    <m/>
    <m/>
    <m/>
    <m/>
    <m/>
    <m/>
    <m/>
    <m/>
    <m/>
    <m/>
    <m/>
    <m/>
    <m/>
    <m/>
    <m/>
    <m/>
    <m/>
    <m/>
    <m/>
    <m/>
    <m/>
    <m/>
    <m/>
    <m/>
    <m/>
    <m/>
    <m/>
    <m/>
    <m/>
    <m/>
    <m/>
    <m/>
    <m/>
    <m/>
    <m/>
    <m/>
    <m/>
    <m/>
    <m/>
    <m/>
    <m/>
    <m/>
    <m/>
    <m/>
    <m/>
    <m/>
    <m/>
    <m/>
    <m/>
    <m/>
    <m/>
    <m/>
    <m/>
    <m/>
  </r>
  <r>
    <s v="311 - Germany"/>
    <d v="2024-01-25T00:00:00"/>
    <s v="JANUARY"/>
    <n v="2024"/>
    <x v="3"/>
    <s v="Deposited"/>
    <s v="PMT-S109-45627"/>
    <s v="IN-S109-441107"/>
    <s v="EUR"/>
    <n v="-4373.25"/>
    <n v="-5114.2969999999996"/>
    <n v="84.411000000000001"/>
    <n v="-84.411000000000001"/>
    <s v="B. Braun Familienholding SE &amp; Co. KG"/>
    <s v="Theresa Saal"/>
    <s v="0098126974       1480298072240125 /ORD.CUST/B. BRAUN SE/EREF/0098126974/PAY.DET./ON BEHALF BIBLIOME D MEDIZINISCHENR. IN-S109-441107/05.12.2023/"/>
    <m/>
    <m/>
    <m/>
    <m/>
    <m/>
    <m/>
    <m/>
    <m/>
    <m/>
    <m/>
    <m/>
    <m/>
    <m/>
    <m/>
    <m/>
    <m/>
    <m/>
    <m/>
    <m/>
    <m/>
    <m/>
    <m/>
    <m/>
    <m/>
    <m/>
    <m/>
    <m/>
    <m/>
    <m/>
    <m/>
    <m/>
    <m/>
    <m/>
    <m/>
    <m/>
    <m/>
    <m/>
    <m/>
    <m/>
    <m/>
    <m/>
    <m/>
    <m/>
    <m/>
    <m/>
    <m/>
    <m/>
    <m/>
    <m/>
    <m/>
    <m/>
    <m/>
    <m/>
    <m/>
    <m/>
    <m/>
  </r>
  <r>
    <s v="311 - Germany"/>
    <d v="2024-01-22T00:00:00"/>
    <s v="JANUARY"/>
    <n v="2024"/>
    <x v="3"/>
    <s v="Deposited"/>
    <s v="PMT-S109-45548"/>
    <s v="IN-S109-441205"/>
    <s v="EUR"/>
    <n v="-2018.54"/>
    <n v="-2360.5819999999999"/>
    <n v="84.2"/>
    <n v="-84.2"/>
    <s v="TECHART Automobildesign GmbH"/>
    <s v="Theresa Saal"/>
    <s v="2401220838-00000 14802025582401 22 /ORD.CUST/TECHART AUTOMOBILDESIGN GMBH/EREF/2401220838-0000005/PA Y.DET./RNR IN-S109-441205 BETRAG 2.018,54 KTO. 79604 6929"/>
    <m/>
    <m/>
    <m/>
    <m/>
    <m/>
    <m/>
    <m/>
    <m/>
    <m/>
    <m/>
    <m/>
    <m/>
    <m/>
    <m/>
    <m/>
    <m/>
    <m/>
    <m/>
    <m/>
    <m/>
    <m/>
    <m/>
    <m/>
    <m/>
    <m/>
    <m/>
    <m/>
    <m/>
    <m/>
    <m/>
    <m/>
    <m/>
    <m/>
    <m/>
    <m/>
    <m/>
    <m/>
    <m/>
    <m/>
    <m/>
    <m/>
    <m/>
    <m/>
    <m/>
    <m/>
    <m/>
    <m/>
    <m/>
    <m/>
    <m/>
    <m/>
    <m/>
    <m/>
    <m/>
    <m/>
    <m/>
  </r>
  <r>
    <s v="311 - Germany"/>
    <d v="2023-10-13T00:00:00"/>
    <s v="OCTOBER"/>
    <n v="2023"/>
    <x v="3"/>
    <s v="Deposited"/>
    <s v="PMT-S109-44152"/>
    <s v=""/>
    <s v="EUR"/>
    <n v="-68.41"/>
    <n v="-80.001999999999995"/>
    <n v="80.001999999999995"/>
    <n v="-80.001999999999995"/>
    <s v="INSTITUT NATIONAL DES SCIENCES ET INDUSTRIES DU VIVANT ET DE L'ENVIRONNEMENT (AGROP"/>
    <s v=""/>
    <s v="1D0750000-2023AG 1497127268231013 /ORD.CUST/DRFIP ILE DE FRANCE ET DE PARIS/EREF/1D0750000-2023AGPO RP-MDT0013442-000/PAY.DET./I MORATOIRES F. IN-S109-439818DU 19 /0 7/2023 DP 2023/AGP/ORP/0012039 PJ . 1 CERTIFICAT ADMINISTRATIF."/>
    <m/>
    <m/>
    <m/>
    <m/>
    <m/>
    <m/>
    <m/>
    <m/>
    <m/>
    <m/>
    <m/>
    <m/>
    <m/>
    <m/>
    <m/>
    <m/>
    <m/>
    <m/>
    <m/>
    <m/>
    <m/>
    <m/>
    <m/>
    <m/>
    <m/>
    <m/>
    <m/>
    <m/>
    <m/>
    <m/>
    <m/>
    <m/>
    <m/>
    <m/>
    <m/>
    <m/>
    <m/>
    <m/>
    <m/>
    <m/>
    <m/>
    <m/>
    <m/>
    <m/>
    <m/>
    <m/>
    <m/>
    <m/>
    <m/>
    <m/>
    <m/>
    <m/>
    <m/>
    <m/>
    <m/>
    <m/>
  </r>
  <r>
    <s v="321 - UK"/>
    <d v="2024-02-14T00:00:00"/>
    <s v="FEBRUARY"/>
    <n v="2024"/>
    <x v="3"/>
    <s v="Deposited"/>
    <s v="PMT-S104-42510"/>
    <s v=""/>
    <s v="GBP"/>
    <n v="-20447.810000000001"/>
    <n v="-27610.269"/>
    <n v="27610.269"/>
    <n v="-58417.703999999998"/>
    <s v="DUMMY CUSTOMER_CASHAPPS 321 - UK"/>
    <s v="Amy Tyler"/>
    <s v="I W G     S /SREF/226620"/>
    <m/>
    <m/>
    <m/>
    <m/>
    <m/>
    <m/>
    <m/>
    <m/>
    <m/>
    <m/>
    <m/>
    <m/>
    <m/>
    <m/>
    <m/>
    <m/>
    <m/>
    <m/>
    <m/>
    <m/>
    <m/>
    <m/>
    <m/>
    <m/>
    <m/>
    <m/>
    <m/>
    <m/>
    <m/>
    <m/>
    <m/>
    <m/>
    <m/>
    <m/>
    <m/>
    <m/>
    <m/>
    <m/>
    <m/>
    <m/>
    <m/>
    <m/>
    <m/>
    <m/>
    <m/>
    <m/>
    <m/>
    <m/>
    <m/>
    <m/>
    <m/>
    <m/>
    <m/>
    <m/>
    <m/>
    <m/>
  </r>
  <r>
    <s v="321 - UK"/>
    <d v="2023-09-15T00:00:00"/>
    <s v="SEPTEMBER"/>
    <n v="2023"/>
    <x v="3"/>
    <s v="Deposited"/>
    <s v="PMT-S104-40759"/>
    <s v=""/>
    <s v="GBP"/>
    <n v="-10618.95"/>
    <n v="-14338.556"/>
    <n v="14338.556"/>
    <n v="-58417.703999999998"/>
    <s v="DUMMY CUSTOMER_CASHAPPS 321 - UK"/>
    <s v="Amy Tyler"/>
    <s v="ACH CONCENTRATION CREDIT ACH CASH CONCENTRATION PRIORITY PASS IN-PAYMENTS Priority PAYMENTS PM20"/>
    <m/>
    <m/>
    <m/>
    <m/>
    <m/>
    <m/>
    <m/>
    <m/>
    <m/>
    <m/>
    <m/>
    <m/>
    <m/>
    <m/>
    <m/>
    <m/>
    <m/>
    <m/>
    <m/>
    <m/>
    <m/>
    <m/>
    <m/>
    <m/>
    <m/>
    <m/>
    <m/>
    <m/>
    <m/>
    <m/>
    <m/>
    <m/>
    <m/>
    <m/>
    <m/>
    <m/>
    <m/>
    <m/>
    <m/>
    <m/>
    <m/>
    <m/>
    <m/>
    <m/>
    <m/>
    <m/>
    <m/>
    <m/>
    <m/>
    <m/>
    <m/>
    <m/>
    <m/>
    <m/>
    <m/>
    <m/>
  </r>
  <r>
    <s v="321 - UK"/>
    <d v="2022-10-12T00:00:00"/>
    <s v="OCTOBER"/>
    <n v="2022"/>
    <x v="3"/>
    <s v="Deposited"/>
    <s v="PMT-S104-36577"/>
    <s v="IN-S104-430746"/>
    <s v="USD"/>
    <n v="-55212.34"/>
    <n v="-65286.038"/>
    <n v="8114.4"/>
    <n v="-8114.4"/>
    <s v="BLJ Worldwide"/>
    <s v="Manar Sultan"/>
    <s v=""/>
    <m/>
    <m/>
    <m/>
    <m/>
    <m/>
    <m/>
    <m/>
    <m/>
    <m/>
    <m/>
    <m/>
    <m/>
    <m/>
    <m/>
    <m/>
    <m/>
    <m/>
    <m/>
    <m/>
    <m/>
    <m/>
    <m/>
    <m/>
    <m/>
    <m/>
    <m/>
    <m/>
    <m/>
    <m/>
    <m/>
    <m/>
    <m/>
    <m/>
    <m/>
    <m/>
    <m/>
    <m/>
    <m/>
    <m/>
    <m/>
    <m/>
    <m/>
    <m/>
    <m/>
    <m/>
    <m/>
    <m/>
    <m/>
    <m/>
    <m/>
    <m/>
    <m/>
    <m/>
    <m/>
    <m/>
    <m/>
  </r>
  <r>
    <s v="321 - UK"/>
    <d v="2025-09-04T00:00:00"/>
    <s v="SEPTEMBER"/>
    <n v="2025"/>
    <x v="3"/>
    <s v="Deposited"/>
    <s v="PMT-S104-48463"/>
    <s v="IN-S104-439730"/>
    <s v="EUR"/>
    <n v="-60079.32"/>
    <n v="-68872.097999999998"/>
    <n v="8047.25"/>
    <n v="-8047.25"/>
    <s v="Heineken UK Limited"/>
    <s v="Georgia Albutt-392"/>
    <s v="/REMI//URI/NO.IN-S104-439730/16 .6.2025/////ROC/2000027305 FRE0409 5G6MMEVGJ /INS/BNPAFRPPXXX/OCMT/EUR60079,32//BENM/GB84HBUK4011603 1212125 Meltwater (UK) Limited/EXCH/1.1778920//ORDP/1/HEINEKEN UK LIMITED NL84BNPA0227992385 2/3-4 BROADWAY PARK 2/SOUTH G/OBK/BNP ANL2AXXX BNP PARIBAS S.A. - THE NETHERLANDS HERENGRACHT 595 AMSTE RDAM/TMS/2025-09-04T09:04:32 GMT/MID/1.15470908"/>
    <m/>
    <m/>
    <m/>
    <m/>
    <m/>
    <m/>
    <m/>
    <m/>
    <m/>
    <m/>
    <m/>
    <m/>
    <m/>
    <m/>
    <m/>
    <m/>
    <m/>
    <m/>
    <m/>
    <m/>
    <m/>
    <m/>
    <m/>
    <m/>
    <m/>
    <m/>
    <m/>
    <m/>
    <m/>
    <m/>
    <m/>
    <m/>
    <m/>
    <m/>
    <m/>
    <m/>
    <m/>
    <m/>
    <m/>
    <m/>
    <m/>
    <m/>
    <m/>
    <m/>
    <m/>
    <m/>
    <m/>
    <m/>
    <m/>
    <m/>
    <m/>
    <m/>
    <m/>
    <m/>
    <m/>
    <m/>
  </r>
  <r>
    <s v="321 - UK"/>
    <d v="2022-12-19T00:00:00"/>
    <s v="DECEMBER"/>
    <n v="2022"/>
    <x v="3"/>
    <s v="Deposited"/>
    <s v="PMT-S104-37407"/>
    <s v="IN-S104-429650"/>
    <s v="GBP"/>
    <n v="-6711.25"/>
    <n v="-9062.0669999999991"/>
    <n v="7431.6850000000004"/>
    <n v="-9062.0669999999991"/>
    <s v="Theo Fennell Limited"/>
    <s v="Amy Tyler"/>
    <s v=""/>
    <m/>
    <m/>
    <m/>
    <m/>
    <m/>
    <m/>
    <m/>
    <m/>
    <m/>
    <m/>
    <m/>
    <m/>
    <m/>
    <m/>
    <m/>
    <m/>
    <m/>
    <m/>
    <m/>
    <m/>
    <m/>
    <m/>
    <m/>
    <m/>
    <m/>
    <m/>
    <m/>
    <m/>
    <m/>
    <m/>
    <m/>
    <m/>
    <m/>
    <m/>
    <m/>
    <m/>
    <m/>
    <m/>
    <m/>
    <m/>
    <m/>
    <m/>
    <m/>
    <m/>
    <m/>
    <m/>
    <m/>
    <m/>
    <m/>
    <m/>
    <m/>
    <m/>
    <m/>
    <m/>
    <m/>
    <m/>
  </r>
  <r>
    <s v="321 - UK"/>
    <d v="2024-09-06T00:00:00"/>
    <s v="SEPTEMBER"/>
    <n v="2024"/>
    <x v="3"/>
    <s v="Deposited"/>
    <s v="PMT-S104-44863"/>
    <s v=""/>
    <s v="GBP"/>
    <n v="-5384.29"/>
    <n v="-7270.299"/>
    <n v="7270.299"/>
    <n v="-58417.703999999998"/>
    <s v="DUMMY CUSTOMER_CASHAPPS 321 - UK"/>
    <s v="Amy Tyler"/>
    <s v="LAMBERT SCHROER /SREF/234790"/>
    <m/>
    <m/>
    <m/>
    <m/>
    <m/>
    <m/>
    <m/>
    <m/>
    <m/>
    <m/>
    <m/>
    <m/>
    <m/>
    <m/>
    <m/>
    <m/>
    <m/>
    <m/>
    <m/>
    <m/>
    <m/>
    <m/>
    <m/>
    <m/>
    <m/>
    <m/>
    <m/>
    <m/>
    <m/>
    <m/>
    <m/>
    <m/>
    <m/>
    <m/>
    <m/>
    <m/>
    <m/>
    <m/>
    <m/>
    <m/>
    <m/>
    <m/>
    <m/>
    <m/>
    <m/>
    <m/>
    <m/>
    <m/>
    <m/>
    <m/>
    <m/>
    <m/>
    <m/>
    <m/>
    <m/>
    <m/>
  </r>
  <r>
    <s v="321 - UK"/>
    <d v="2026-04-30T00:00:00"/>
    <s v="APRIL"/>
    <n v="2026"/>
    <x v="3"/>
    <s v="Deposited"/>
    <s v="PMT-S104-51044"/>
    <s v=""/>
    <s v="USD"/>
    <n v="-7290"/>
    <n v="-7152.393"/>
    <n v="7152.393"/>
    <n v="-7152.393"/>
    <s v="AFRODAD (African Forum &amp; Network on Debt Development)"/>
    <s v="Georgia Albutt-392"/>
    <s v="/REMI//URI/AFRODAD MELTWATER IN- S104-435161///ROC/OT26117ZW014101 7 S06611922E2601 /INS/SBZAZAJJ/OCMT/USD7290,00//BENM/GB84HBUK4011 6031212125 Meltwater (UK) Limited/EXCH/1.3762573//ORDP/AFRODAD 91 40000882177 31 ATKINSON DRIVE HILLSIDE/OBK/SBICZWHXXXX STANBIC BA NK ZIMBABWE LIMITED OTTOMAN HOUSE 59 SAMORA MACHEL AVENUE H/TMS/2 026-04-30T05:12:48 GMT/MID/1.34655650"/>
    <m/>
    <m/>
    <m/>
    <m/>
    <m/>
    <m/>
    <m/>
    <m/>
    <m/>
    <m/>
    <m/>
    <m/>
    <m/>
    <m/>
    <m/>
    <m/>
    <m/>
    <m/>
    <m/>
    <m/>
    <m/>
    <m/>
    <m/>
    <m/>
    <m/>
    <m/>
    <m/>
    <m/>
    <m/>
    <m/>
    <m/>
    <m/>
    <m/>
    <m/>
    <m/>
    <m/>
    <m/>
    <m/>
    <m/>
    <m/>
    <m/>
    <m/>
    <m/>
    <m/>
    <m/>
    <m/>
    <m/>
    <m/>
    <m/>
    <m/>
    <m/>
    <m/>
    <m/>
    <m/>
    <m/>
    <m/>
  </r>
  <r>
    <s v="321 - UK"/>
    <d v="2025-12-10T00:00:00"/>
    <s v="DECEMBER"/>
    <n v="2025"/>
    <x v="3"/>
    <s v="Not Deposited"/>
    <s v="PMT-S104-49427"/>
    <s v=""/>
    <s v="USD"/>
    <n v="-6942"/>
    <n v="-6714.875"/>
    <n v="6714.875"/>
    <n v="-6714.875"/>
    <s v="WWF Kenya"/>
    <s v="Jan Sutherland"/>
    <s v="Check PMT-S104-47885    REMI//URI/PO 13332///ROC/667991 5184FS 6679915184FS/OCMT/USD6942 00//BENM/GB84HBUK40116031212125 Meltwater (UK) Limited/EXCH/1.395 9532//ORDP/1/WORLD WIDE FUND FOR NATURE 7881820049 2/THE MVULI HS E MVULI RD OFF R/OBK/CBAFKENX NCBA BANK KENYA PLC NCBA CENTRE MAR A AND RAGATI ROAD NAIROBI/TMS/2025-07-03T11:38:29 GMT/MID/1.36584 220"/>
    <m/>
    <m/>
    <m/>
    <m/>
    <m/>
    <m/>
    <m/>
    <m/>
    <m/>
    <m/>
    <m/>
    <m/>
    <m/>
    <m/>
    <m/>
    <m/>
    <m/>
    <m/>
    <m/>
    <m/>
    <m/>
    <m/>
    <m/>
    <m/>
    <m/>
    <m/>
    <m/>
    <m/>
    <m/>
    <m/>
    <m/>
    <m/>
    <m/>
    <m/>
    <m/>
    <m/>
    <m/>
    <m/>
    <m/>
    <m/>
    <m/>
    <m/>
    <m/>
    <m/>
    <m/>
    <m/>
    <m/>
    <m/>
    <m/>
    <m/>
    <m/>
    <m/>
    <m/>
    <m/>
    <m/>
    <m/>
  </r>
  <r>
    <s v="321 - UK"/>
    <d v="2022-12-28T00:00:00"/>
    <s v="DECEMBER"/>
    <n v="2022"/>
    <x v="3"/>
    <s v="Deposited"/>
    <s v="PMT-S104-37568"/>
    <s v="IN-S104-431830"/>
    <s v="GBP"/>
    <n v="-13661.38"/>
    <n v="-18446.687999999998"/>
    <n v="6293.4930000000004"/>
    <n v="-6293.4930000000004"/>
    <s v="Magen David Adom"/>
    <s v="Amy Tyler"/>
    <s v="/REMI//RFB/INV(S) 104431830 PE T424767360/OCMT/GBP13661,38//BENM/G B84HBUK40116031212125 Meltwater (UK) Limited/EXCH/000000000000//O RDP/MAGEN DAVID ADOM IN ISRAEL 15100012300 60 YIGAL ALON STREET T EL-AVIV 6/OBK/IDBLILITXXX ISRAEL DISCOUNT BANK LTD. 27-31,YEHUD A HALEVI STREET TEL AVIV"/>
    <m/>
    <m/>
    <m/>
    <m/>
    <m/>
    <m/>
    <m/>
    <m/>
    <m/>
    <m/>
    <m/>
    <m/>
    <m/>
    <m/>
    <m/>
    <m/>
    <m/>
    <m/>
    <m/>
    <m/>
    <m/>
    <m/>
    <m/>
    <m/>
    <m/>
    <m/>
    <m/>
    <m/>
    <m/>
    <m/>
    <m/>
    <m/>
    <m/>
    <m/>
    <m/>
    <m/>
    <m/>
    <m/>
    <m/>
    <m/>
    <m/>
    <m/>
    <m/>
    <m/>
    <m/>
    <m/>
    <m/>
    <m/>
    <m/>
    <m/>
    <m/>
    <m/>
    <m/>
    <m/>
    <m/>
    <m/>
  </r>
  <r>
    <s v="321 - UK"/>
    <d v="2024-07-03T00:00:00"/>
    <s v="JULY"/>
    <n v="2024"/>
    <x v="3"/>
    <s v="Deposited"/>
    <s v="PMT-S104-44187"/>
    <s v=""/>
    <s v="GBP"/>
    <n v="-4119.6000000000004"/>
    <n v="-5562.6130000000003"/>
    <n v="5562.6130000000003"/>
    <n v="-5562.6130000000003"/>
    <s v="CHURCH ARMY(THE)"/>
    <s v="Amy Tyler"/>
    <s v="/REMI/PET126096184 /ACC/RTN/YRS DT 02/07/2024         //TRN CM-S1 04-4893                 //RSN ACCOUNT FORMAT INVALID FOR NC//C/OC MT/GBP4119,60//BENM/40116031212125 Meltwater (UK) Limited/EXCH/00 0000000000//ORDP/THE CHURCH ARMY/OBK/BUKBGB22XXX BARCLAYS BANK UK PLC 1 CHURCHILL PLACE LONDON"/>
    <m/>
    <m/>
    <m/>
    <m/>
    <m/>
    <m/>
    <m/>
    <m/>
    <m/>
    <m/>
    <m/>
    <m/>
    <m/>
    <m/>
    <m/>
    <m/>
    <m/>
    <m/>
    <m/>
    <m/>
    <m/>
    <m/>
    <m/>
    <m/>
    <m/>
    <m/>
    <m/>
    <m/>
    <m/>
    <m/>
    <m/>
    <m/>
    <m/>
    <m/>
    <m/>
    <m/>
    <m/>
    <m/>
    <m/>
    <m/>
    <m/>
    <m/>
    <m/>
    <m/>
    <m/>
    <m/>
    <m/>
    <m/>
    <m/>
    <m/>
    <m/>
    <m/>
    <m/>
    <m/>
    <m/>
    <m/>
  </r>
  <r>
    <s v="321 - UK"/>
    <d v="2024-07-01T00:00:00"/>
    <s v="JULY"/>
    <n v="2024"/>
    <x v="3"/>
    <s v="Deposited"/>
    <s v="PMT-S104-44142"/>
    <s v=""/>
    <s v="GBP"/>
    <n v="-2475"/>
    <n v="-3341.9430000000002"/>
    <n v="3341.9430000000002"/>
    <n v="-3341.9430000000002"/>
    <s v="Som.X Limited"/>
    <s v="Amy Tyler"/>
    <s v="SOM.X LTD SW FP460A4108707372 /ROC/IN-S104-437097 /FPID/RP46799645691600001020240701826200026"/>
    <m/>
    <m/>
    <m/>
    <m/>
    <m/>
    <m/>
    <m/>
    <m/>
    <m/>
    <m/>
    <m/>
    <m/>
    <m/>
    <m/>
    <m/>
    <m/>
    <m/>
    <m/>
    <m/>
    <m/>
    <m/>
    <m/>
    <m/>
    <m/>
    <m/>
    <m/>
    <m/>
    <m/>
    <m/>
    <m/>
    <m/>
    <m/>
    <m/>
    <m/>
    <m/>
    <m/>
    <m/>
    <m/>
    <m/>
    <m/>
    <m/>
    <m/>
    <m/>
    <m/>
    <m/>
    <m/>
    <m/>
    <m/>
    <m/>
    <m/>
    <m/>
    <m/>
    <m/>
    <m/>
    <m/>
    <m/>
  </r>
  <r>
    <s v="321 - UK"/>
    <d v="2023-05-04T00:00:00"/>
    <s v="MAY"/>
    <n v="2023"/>
    <x v="3"/>
    <s v="Deposited"/>
    <s v="PMT-S104-39097"/>
    <s v=""/>
    <s v="GBP"/>
    <n v="-2173.44"/>
    <n v="-2934.7530000000002"/>
    <n v="2934.7530000000002"/>
    <n v="-58417.703999999998"/>
    <s v="DUMMY CUSTOMER_CASHAPPS 321 - UK"/>
    <s v="Amy Tyler"/>
    <s v="BNP PARIBAS LEASIN FP343E0603480528 /ROC/Z0064052 CONTRACT /FPID/73197575405168F5SW9320230504826400250"/>
    <m/>
    <m/>
    <m/>
    <m/>
    <m/>
    <m/>
    <m/>
    <m/>
    <m/>
    <m/>
    <m/>
    <m/>
    <m/>
    <m/>
    <m/>
    <m/>
    <m/>
    <m/>
    <m/>
    <m/>
    <m/>
    <m/>
    <m/>
    <m/>
    <m/>
    <m/>
    <m/>
    <m/>
    <m/>
    <m/>
    <m/>
    <m/>
    <m/>
    <m/>
    <m/>
    <m/>
    <m/>
    <m/>
    <m/>
    <m/>
    <m/>
    <m/>
    <m/>
    <m/>
    <m/>
    <m/>
    <m/>
    <m/>
    <m/>
    <m/>
    <m/>
    <m/>
    <m/>
    <m/>
    <m/>
    <m/>
  </r>
  <r>
    <s v="321 - UK"/>
    <d v="2023-02-17T00:00:00"/>
    <s v="FEBRUARY"/>
    <n v="2023"/>
    <x v="3"/>
    <s v="Deposited"/>
    <s v="PMT-S104-38175"/>
    <s v="IN-S104-433221"/>
    <s v="GBP"/>
    <n v="-12022.56"/>
    <n v="-16233.822"/>
    <n v="2817.44"/>
    <n v="-2817.44"/>
    <s v="METALLON CORPORATION LIMITED"/>
    <s v="Amy Tyler"/>
    <s v="SJCS RE METALLON FP311D2009734860 /EREF/METALLON /ROC/METALLON /FPID/BX23020262115385001020230202826200026"/>
    <m/>
    <m/>
    <m/>
    <m/>
    <m/>
    <m/>
    <m/>
    <m/>
    <m/>
    <m/>
    <m/>
    <m/>
    <m/>
    <m/>
    <m/>
    <m/>
    <m/>
    <m/>
    <m/>
    <m/>
    <m/>
    <m/>
    <m/>
    <m/>
    <m/>
    <m/>
    <m/>
    <m/>
    <m/>
    <m/>
    <m/>
    <m/>
    <m/>
    <m/>
    <m/>
    <m/>
    <m/>
    <m/>
    <m/>
    <m/>
    <m/>
    <m/>
    <m/>
    <m/>
    <m/>
    <m/>
    <m/>
    <m/>
    <m/>
    <m/>
    <m/>
    <m/>
    <m/>
    <m/>
    <m/>
    <m/>
  </r>
  <r>
    <s v="321 - UK"/>
    <d v="2023-06-12T00:00:00"/>
    <s v="JUNE"/>
    <n v="2023"/>
    <x v="3"/>
    <s v="Deposited"/>
    <s v="PMT-S104-39619"/>
    <s v=""/>
    <s v="GBP"/>
    <n v="-2030.14"/>
    <n v="-2741.2570000000001"/>
    <n v="2741.2570000000001"/>
    <n v="-58417.703999999998"/>
    <s v="DUMMY CUSTOMER_CASHAPPS 321 - UK"/>
    <s v="Amy Tyler"/>
    <s v="CMS CAMERON MCKENN FP35B34557831697 /REMI/KANR/164753.00003 /ROC/KANR/164753.00003 /FPID/31030017930584000R4020230612826151000"/>
    <m/>
    <m/>
    <m/>
    <m/>
    <m/>
    <m/>
    <m/>
    <m/>
    <m/>
    <m/>
    <m/>
    <m/>
    <m/>
    <m/>
    <m/>
    <m/>
    <m/>
    <m/>
    <m/>
    <m/>
    <m/>
    <m/>
    <m/>
    <m/>
    <m/>
    <m/>
    <m/>
    <m/>
    <m/>
    <m/>
    <m/>
    <m/>
    <m/>
    <m/>
    <m/>
    <m/>
    <m/>
    <m/>
    <m/>
    <m/>
    <m/>
    <m/>
    <m/>
    <m/>
    <m/>
    <m/>
    <m/>
    <m/>
    <m/>
    <m/>
    <m/>
    <m/>
    <m/>
    <m/>
    <m/>
    <m/>
  </r>
  <r>
    <s v="321 - UK"/>
    <d v="2024-11-28T00:00:00"/>
    <s v="NOVEMBER"/>
    <n v="2024"/>
    <x v="3"/>
    <s v="Deposited"/>
    <s v="PMT-S104-45622"/>
    <s v="IN-S104-437575"/>
    <s v="USD"/>
    <n v="-9232.89"/>
    <n v="-9821.9369999999999"/>
    <n v="2083.86"/>
    <n v="-2083.86"/>
    <s v="DrugStoc"/>
    <s v="Georgia Albutt-392"/>
    <s v="/REMI//RFB/INTERNATIONAL MEDIA SERVICES B185008377846329/OCMT/GBP 7274,00//BENM/GB84HBUK40116031212125 Meltwater (UK) Limited/EXCH/ 000000000000//ORDP/DRUGSTOC EHUB LIMITED 5070882064 3 BILLINGS WA Y IKEJA 7 ARTCOURT ESTAT/OBK/ZEIBNGLAXXX ZENITH BANK PLC 87 AJOSE ADEOGUN STREET ZENITH HEIGHTS VICTORIA ISLAN"/>
    <m/>
    <m/>
    <m/>
    <m/>
    <m/>
    <m/>
    <m/>
    <m/>
    <m/>
    <m/>
    <m/>
    <m/>
    <m/>
    <m/>
    <m/>
    <m/>
    <m/>
    <m/>
    <m/>
    <m/>
    <m/>
    <m/>
    <m/>
    <m/>
    <m/>
    <m/>
    <m/>
    <m/>
    <m/>
    <m/>
    <m/>
    <m/>
    <m/>
    <m/>
    <m/>
    <m/>
    <m/>
    <m/>
    <m/>
    <m/>
    <m/>
    <m/>
    <m/>
    <m/>
    <m/>
    <m/>
    <m/>
    <m/>
    <m/>
    <m/>
    <m/>
    <m/>
    <m/>
    <m/>
    <m/>
    <m/>
  </r>
  <r>
    <s v="321 - UK"/>
    <d v="2023-12-22T00:00:00"/>
    <s v="DECEMBER"/>
    <n v="2023"/>
    <x v="3"/>
    <s v="Deposited"/>
    <s v="PMT-S104-41822"/>
    <s v="IN-S104-434751"/>
    <s v="USD"/>
    <n v="-4800"/>
    <n v="-4998.2640000000001"/>
    <n v="1832.6949999999999"/>
    <n v="-1832.6949999999999"/>
    <s v="World Wildlife Fund (WWF) Zambia"/>
    <s v="Jan Sutherland"/>
    <s v="/REMI/28901 MANAGEMENT CONSULTING SE RVICES     FULL CONSULTANCY PAYMENT           40000105-2020-S01/A DD N3 S0633562CF/OCMT/USD4800,00//BENM/GB84HBUK40116031212125 Mel twater (UK) Limited/EXCH/1.2967201//ORDP/WORLD WIDE FUND FOR NATU RE ZAMBIA 0251413004 PLOT 4978,LOS ANGELES BOU/OBK/CITIZMLUXXX CI TIBANK ZAMBIA LTD CITIBANK HOUSE STAND 4646 ADDIS ABABA ROUNDABOU T/TMS/2023-12-22T06:33:11 GMT/MID/1.26872420"/>
    <m/>
    <m/>
    <m/>
    <m/>
    <m/>
    <m/>
    <m/>
    <m/>
    <m/>
    <m/>
    <m/>
    <m/>
    <m/>
    <m/>
    <m/>
    <m/>
    <m/>
    <m/>
    <m/>
    <m/>
    <m/>
    <m/>
    <m/>
    <m/>
    <m/>
    <m/>
    <m/>
    <m/>
    <m/>
    <m/>
    <m/>
    <m/>
    <m/>
    <m/>
    <m/>
    <m/>
    <m/>
    <m/>
    <m/>
    <m/>
    <m/>
    <m/>
    <m/>
    <m/>
    <m/>
    <m/>
    <m/>
    <m/>
    <m/>
    <m/>
    <m/>
    <m/>
    <m/>
    <m/>
    <m/>
    <m/>
  </r>
  <r>
    <s v="321 - UK"/>
    <d v="2022-12-29T00:00:00"/>
    <s v="DECEMBER"/>
    <n v="2022"/>
    <x v="3"/>
    <s v="Deposited"/>
    <s v="PMT-S104-37583"/>
    <s v=""/>
    <s v="GBP"/>
    <n v="-1207.44"/>
    <n v="-1630.3820000000001"/>
    <n v="1630.3820000000001"/>
    <n v="-9062.0669999999991"/>
    <s v="Theo Fennell Limited"/>
    <s v="Amy Tyler"/>
    <s v="CMC WORLDWID LTD FP2BSC3904291371 /ROC/S104-429650/345197 /FPID/RP46799616571360001020221229826200026"/>
    <m/>
    <m/>
    <m/>
    <m/>
    <m/>
    <m/>
    <m/>
    <m/>
    <m/>
    <m/>
    <m/>
    <m/>
    <m/>
    <m/>
    <m/>
    <m/>
    <m/>
    <m/>
    <m/>
    <m/>
    <m/>
    <m/>
    <m/>
    <m/>
    <m/>
    <m/>
    <m/>
    <m/>
    <m/>
    <m/>
    <m/>
    <m/>
    <m/>
    <m/>
    <m/>
    <m/>
    <m/>
    <m/>
    <m/>
    <m/>
    <m/>
    <m/>
    <m/>
    <m/>
    <m/>
    <m/>
    <m/>
    <m/>
    <m/>
    <m/>
    <m/>
    <m/>
    <m/>
    <m/>
    <m/>
    <m/>
  </r>
  <r>
    <s v="321 - UK"/>
    <d v="2024-01-19T00:00:00"/>
    <s v="JANUARY"/>
    <n v="2024"/>
    <x v="3"/>
    <s v="Deposited"/>
    <s v="PMT-S104-42133"/>
    <s v="IN-S104-435599"/>
    <s v="GBP"/>
    <n v="-4761.2"/>
    <n v="-6428.9530000000004"/>
    <n v="1606.8330000000001"/>
    <n v="-1606.8330000000001"/>
    <s v="Bryanston School"/>
    <s v="Amy Tyler"/>
    <s v="BRYANSTON SCHOOL /SREF/239921"/>
    <m/>
    <m/>
    <m/>
    <m/>
    <m/>
    <m/>
    <m/>
    <m/>
    <m/>
    <m/>
    <m/>
    <m/>
    <m/>
    <m/>
    <m/>
    <m/>
    <m/>
    <m/>
    <m/>
    <m/>
    <m/>
    <m/>
    <m/>
    <m/>
    <m/>
    <m/>
    <m/>
    <m/>
    <m/>
    <m/>
    <m/>
    <m/>
    <m/>
    <m/>
    <m/>
    <m/>
    <m/>
    <m/>
    <m/>
    <m/>
    <m/>
    <m/>
    <m/>
    <m/>
    <m/>
    <m/>
    <m/>
    <m/>
    <m/>
    <m/>
    <m/>
    <m/>
    <m/>
    <m/>
    <m/>
    <m/>
  </r>
  <r>
    <s v="321 - UK"/>
    <d v="2023-09-11T00:00:00"/>
    <s v="SEPTEMBER"/>
    <n v="2023"/>
    <x v="3"/>
    <s v="Deposited"/>
    <s v="PMT-S104-40569"/>
    <s v=""/>
    <s v="GBP"/>
    <n v="-1038"/>
    <n v="-1401.5909999999999"/>
    <n v="1401.5909999999999"/>
    <n v="-58417.703999999998"/>
    <s v="DUMMY CUSTOMER_CASHAPPS 321 - UK"/>
    <s v="Amy Tyler"/>
    <s v="INSIGHT DIRECT UK /SREF/446248"/>
    <m/>
    <m/>
    <m/>
    <m/>
    <m/>
    <m/>
    <m/>
    <m/>
    <m/>
    <m/>
    <m/>
    <m/>
    <m/>
    <m/>
    <m/>
    <m/>
    <m/>
    <m/>
    <m/>
    <m/>
    <m/>
    <m/>
    <m/>
    <m/>
    <m/>
    <m/>
    <m/>
    <m/>
    <m/>
    <m/>
    <m/>
    <m/>
    <m/>
    <m/>
    <m/>
    <m/>
    <m/>
    <m/>
    <m/>
    <m/>
    <m/>
    <m/>
    <m/>
    <m/>
    <m/>
    <m/>
    <m/>
    <m/>
    <m/>
    <m/>
    <m/>
    <m/>
    <m/>
    <m/>
    <m/>
    <m/>
  </r>
  <r>
    <s v="321 - UK"/>
    <d v="2026-04-02T00:00:00"/>
    <s v="APRIL"/>
    <n v="2026"/>
    <x v="3"/>
    <s v="Deposited"/>
    <s v="PMT-S104-50722"/>
    <s v=""/>
    <s v="GBP"/>
    <n v="-1023.77"/>
    <n v="-1382.376"/>
    <n v="1382.376"/>
    <n v="-58417.703999999998"/>
    <s v="DUMMY CUSTOMER_CASHAPPS 321 - UK"/>
    <s v="Amy Tyler"/>
    <s v="/REMI/BEING PAYMENT FOR 2026 HOO TSUITE SUBSCRIPTION S0660923A0EF0 1/OCMT/USD1385,00//BENM/GB84HBUK40116031212125 Meltwater (UK) Lim ited/EXCH/1.3528468//ORDP/ECOBANK ZAMBIA LTD 154000204 22768 ACAC IA PARK THABO MBEKI ROAD P.O. B/OBK/ECOCZMLUXXX ECOBANK ZAMBIA LI MITED THABO MBEKI ROAD LUSAKA/TMS/2026-04-02T16:16:10 GMT/MID/1.3 2365590"/>
    <m/>
    <m/>
    <m/>
    <m/>
    <m/>
    <m/>
    <m/>
    <m/>
    <m/>
    <m/>
    <m/>
    <m/>
    <m/>
    <m/>
    <m/>
    <m/>
    <m/>
    <m/>
    <m/>
    <m/>
    <m/>
    <m/>
    <m/>
    <m/>
    <m/>
    <m/>
    <m/>
    <m/>
    <m/>
    <m/>
    <m/>
    <m/>
    <m/>
    <m/>
    <m/>
    <m/>
    <m/>
    <m/>
    <m/>
    <m/>
    <m/>
    <m/>
    <m/>
    <m/>
    <m/>
    <m/>
    <m/>
    <m/>
    <m/>
    <m/>
    <m/>
    <m/>
    <m/>
    <m/>
    <m/>
    <m/>
  </r>
  <r>
    <s v="321 - UK"/>
    <d v="2025-06-30T00:00:00"/>
    <s v="JUNE"/>
    <n v="2025"/>
    <x v="3"/>
    <s v="Deposited"/>
    <s v="PMT-S104-47857"/>
    <s v=""/>
    <s v="GBP"/>
    <n v="-689.23"/>
    <n v="-930.65300000000002"/>
    <n v="930.65300000000002"/>
    <n v="-930.65300000000002"/>
    <s v="GORDON MURRAY AUTOMOTIVE LIMITED"/>
    <s v="Amy Tyler"/>
    <s v="GORDON R H LTD FP55T34753349995 /EREF/Guest Refund /ROC/Guest Refund /FPID/BX25062746364372004020250630826200000"/>
    <m/>
    <m/>
    <m/>
    <m/>
    <m/>
    <m/>
    <m/>
    <m/>
    <m/>
    <m/>
    <m/>
    <m/>
    <m/>
    <m/>
    <m/>
    <m/>
    <m/>
    <m/>
    <m/>
    <m/>
    <m/>
    <m/>
    <m/>
    <m/>
    <m/>
    <m/>
    <m/>
    <m/>
    <m/>
    <m/>
    <m/>
    <m/>
    <m/>
    <m/>
    <m/>
    <m/>
    <m/>
    <m/>
    <m/>
    <m/>
    <m/>
    <m/>
    <m/>
    <m/>
    <m/>
    <m/>
    <m/>
    <m/>
    <m/>
    <m/>
    <m/>
    <m/>
    <m/>
    <m/>
    <m/>
    <m/>
  </r>
  <r>
    <s v="321 - UK"/>
    <d v="2025-12-29T00:00:00"/>
    <s v="DECEMBER"/>
    <n v="2025"/>
    <x v="3"/>
    <s v="Deposited"/>
    <s v="PMT-S104-49628"/>
    <s v="IN-S104-440352"/>
    <s v="USD"/>
    <n v="-11467.63"/>
    <n v="-10075.992"/>
    <n v="853.89"/>
    <n v="27233.284"/>
    <s v="Oman Investment Authority"/>
    <s v="Jan Sutherland"/>
    <s v="/REMI//URI/OM/880/INV IN S104 44 0352 MANAGEMENT FEES////ROC/B5355 0002200001A FT285076832251/1 /INS/CHASUS33XXX/OCMT/GBP7462,15//BE NM/GB84HBUK40116031212125 Meltwater (UK) Limited/EXCH/00000000000 0//ORDP/1/OMAN INVESTMENT AUTHORITY OM250180001021124098001 2/260 1,4th  5th Fl/OBK/NBOMOMRXXXX NATIONAL BANK OF OMAN 65 AL MARKAZI STREET MUTTRAH BUSINESS DISTRICT"/>
    <m/>
    <m/>
    <m/>
    <m/>
    <m/>
    <m/>
    <m/>
    <m/>
    <m/>
    <m/>
    <m/>
    <m/>
    <m/>
    <m/>
    <m/>
    <m/>
    <m/>
    <m/>
    <m/>
    <m/>
    <m/>
    <m/>
    <m/>
    <m/>
    <m/>
    <m/>
    <m/>
    <m/>
    <m/>
    <m/>
    <m/>
    <m/>
    <m/>
    <m/>
    <m/>
    <m/>
    <m/>
    <m/>
    <m/>
    <m/>
    <m/>
    <m/>
    <m/>
    <m/>
    <m/>
    <m/>
    <m/>
    <m/>
    <m/>
    <m/>
    <m/>
    <m/>
    <m/>
    <m/>
    <m/>
    <m/>
  </r>
  <r>
    <s v="321 - UK"/>
    <d v="2023-07-26T00:00:00"/>
    <s v="JULY"/>
    <n v="2023"/>
    <x v="3"/>
    <s v="Deposited"/>
    <s v="PMT-S104-40075"/>
    <s v="IN-S104-434446"/>
    <s v="GBP"/>
    <n v="-1200"/>
    <n v="-1620.336"/>
    <n v="810.16800000000001"/>
    <n v="-810.16800000000001"/>
    <s v="ENVIRONMENTAL RESOURCES MANAGEMENT LIMITED"/>
    <s v="Amy Tyler"/>
    <s v="/REMI/IN S104 43440+44 202307250 0117566 FT00258212184261/OCMT/GBP 1200,00//BENM/GB84HBUK40116031212125 Meltwater (UK) Limited/EXCH/ 000000000000//ORDP/ERM INFORMATION SOLUTIONS INC 002000037556305 840 W SAM HOUSTON PKWY N/OBK/WFBIUS6SXXX WELLS FARGO BANK,N.A. 4 20 MONTGOMERY STREET SAN FRANCISCO"/>
    <m/>
    <m/>
    <m/>
    <m/>
    <m/>
    <m/>
    <m/>
    <m/>
    <m/>
    <m/>
    <m/>
    <m/>
    <m/>
    <m/>
    <m/>
    <m/>
    <m/>
    <m/>
    <m/>
    <m/>
    <m/>
    <m/>
    <m/>
    <m/>
    <m/>
    <m/>
    <m/>
    <m/>
    <m/>
    <m/>
    <m/>
    <m/>
    <m/>
    <m/>
    <m/>
    <m/>
    <m/>
    <m/>
    <m/>
    <m/>
    <m/>
    <m/>
    <m/>
    <m/>
    <m/>
    <m/>
    <m/>
    <m/>
    <m/>
    <m/>
    <m/>
    <m/>
    <m/>
    <m/>
    <m/>
    <m/>
  </r>
  <r>
    <s v="321 - UK"/>
    <d v="2023-09-08T00:00:00"/>
    <s v="SEPTEMBER"/>
    <n v="2023"/>
    <x v="3"/>
    <s v="Deposited"/>
    <s v="PMT-S104-40547"/>
    <s v=""/>
    <s v="GBP"/>
    <n v="-547"/>
    <n v="-738.60299999999995"/>
    <n v="738.60299999999995"/>
    <n v="-58417.703999999998"/>
    <s v="DUMMY CUSTOMER_CASHAPPS 321 - UK"/>
    <s v="Amy Tyler"/>
    <s v="CHGS (CR) 06SEP23 INV 10762135"/>
    <m/>
    <m/>
    <m/>
    <m/>
    <m/>
    <m/>
    <m/>
    <m/>
    <m/>
    <m/>
    <m/>
    <m/>
    <m/>
    <m/>
    <m/>
    <m/>
    <m/>
    <m/>
    <m/>
    <m/>
    <m/>
    <m/>
    <m/>
    <m/>
    <m/>
    <m/>
    <m/>
    <m/>
    <m/>
    <m/>
    <m/>
    <m/>
    <m/>
    <m/>
    <m/>
    <m/>
    <m/>
    <m/>
    <m/>
    <m/>
    <m/>
    <m/>
    <m/>
    <m/>
    <m/>
    <m/>
    <m/>
    <m/>
    <m/>
    <m/>
    <m/>
    <m/>
    <m/>
    <m/>
    <m/>
    <m/>
  </r>
  <r>
    <s v="321 - UK"/>
    <d v="2026-04-08T00:00:00"/>
    <s v="APRIL"/>
    <n v="2026"/>
    <x v="3"/>
    <s v="Deposited"/>
    <s v="PMT-S104-50747"/>
    <s v="IN-S104-440219"/>
    <s v="GBP"/>
    <n v="-3741.4"/>
    <n v="-5051.9380000000001"/>
    <n v="675.14"/>
    <n v="-675.14"/>
    <s v="MND Scotland"/>
    <s v="Amy Tyler"/>
    <s v="MND Scotland FP637B1734888997 /DbAcct/80071500767080 /ROC/S104-440219 /FPID/3000000017492138091020260408826800715"/>
    <m/>
    <m/>
    <m/>
    <m/>
    <m/>
    <m/>
    <m/>
    <m/>
    <m/>
    <m/>
    <m/>
    <m/>
    <m/>
    <m/>
    <m/>
    <m/>
    <m/>
    <m/>
    <m/>
    <m/>
    <m/>
    <m/>
    <m/>
    <m/>
    <m/>
    <m/>
    <m/>
    <m/>
    <m/>
    <m/>
    <m/>
    <m/>
    <m/>
    <m/>
    <m/>
    <m/>
    <m/>
    <m/>
    <m/>
    <m/>
    <m/>
    <m/>
    <m/>
    <m/>
    <m/>
    <m/>
    <m/>
    <m/>
    <m/>
    <m/>
    <m/>
    <m/>
    <m/>
    <m/>
    <m/>
    <m/>
  </r>
  <r>
    <s v="321 - UK"/>
    <d v="2023-04-05T00:00:00"/>
    <s v="APRIL"/>
    <n v="2023"/>
    <x v="3"/>
    <s v="Deposited"/>
    <s v="PMT-S104-38717"/>
    <s v="IN-S104-432489"/>
    <s v="USD"/>
    <n v="-2671.48"/>
    <n v="-2916.605"/>
    <n v="558.40800000000002"/>
    <n v="-558.40800000000002"/>
    <s v="Amnesty International"/>
    <s v="Georgia Albutt-392"/>
    <s v=""/>
    <m/>
    <m/>
    <m/>
    <m/>
    <m/>
    <m/>
    <m/>
    <m/>
    <m/>
    <m/>
    <m/>
    <m/>
    <m/>
    <m/>
    <m/>
    <m/>
    <m/>
    <m/>
    <m/>
    <m/>
    <m/>
    <m/>
    <m/>
    <m/>
    <m/>
    <m/>
    <m/>
    <m/>
    <m/>
    <m/>
    <m/>
    <m/>
    <m/>
    <m/>
    <m/>
    <m/>
    <m/>
    <m/>
    <m/>
    <m/>
    <m/>
    <m/>
    <m/>
    <m/>
    <m/>
    <m/>
    <m/>
    <m/>
    <m/>
    <m/>
    <m/>
    <m/>
    <m/>
    <m/>
    <m/>
    <m/>
  </r>
  <r>
    <s v="321 - UK"/>
    <d v="2023-11-21T00:00:00"/>
    <s v="NOVEMBER"/>
    <n v="2023"/>
    <x v="3"/>
    <s v="Deposited"/>
    <s v="PMT-S104-41397"/>
    <s v="IN-S104-435281"/>
    <s v="GBP"/>
    <n v="-5492.4"/>
    <n v="-7416.2780000000002"/>
    <n v="529.85"/>
    <n v="-529.85"/>
    <s v="GERALD INTERNATIONAL LIMITED"/>
    <s v="Amy Tyler"/>
    <s v="/REMI//URI/IN-S104-435131///ROC/ SDP/20.11.22:13 15PR231121666462/ OCMT/GBP5492,40//BENM/31212125 1/MELTWATER (UK) LTD/EXCH/00000000 0000//ORDP/GERALD INTERNATIONAL LIMITED 10745801 THIRD FLOOR ONE STRAND GRAND BUI/OBK/DEUTGB2LXXX DEUTSCHE BANK AG WINCHESTER HOUS E 1 GREAT WINCHESTER STREET LONDON"/>
    <m/>
    <m/>
    <m/>
    <m/>
    <m/>
    <m/>
    <m/>
    <m/>
    <m/>
    <m/>
    <m/>
    <m/>
    <m/>
    <m/>
    <m/>
    <m/>
    <m/>
    <m/>
    <m/>
    <m/>
    <m/>
    <m/>
    <m/>
    <m/>
    <m/>
    <m/>
    <m/>
    <m/>
    <m/>
    <m/>
    <m/>
    <m/>
    <m/>
    <m/>
    <m/>
    <m/>
    <m/>
    <m/>
    <m/>
    <m/>
    <m/>
    <m/>
    <m/>
    <m/>
    <m/>
    <m/>
    <m/>
    <m/>
    <m/>
    <m/>
    <m/>
    <m/>
    <m/>
    <m/>
    <m/>
    <m/>
  </r>
  <r>
    <s v="321 - UK"/>
    <d v="2025-12-05T00:00:00"/>
    <s v="DECEMBER"/>
    <n v="2025"/>
    <x v="3"/>
    <s v="Deposited"/>
    <s v="PMT-S104-49392"/>
    <s v="IN-S104-440589"/>
    <s v="GBP"/>
    <n v="-4890"/>
    <n v="-6602.8689999999997"/>
    <n v="162.03399999999999"/>
    <n v="-162.03399999999999"/>
    <s v="BRAND COMMUNICATIONS CREATIVES (UK) LTD"/>
    <s v="Amy Tyler"/>
    <s v="Brand Commun FP5B4E5825749047 /DbAcct/40040991521020 /ROC/INV 440589 /FPID/0646743185415021019020251205826400409"/>
    <m/>
    <m/>
    <m/>
    <m/>
    <m/>
    <m/>
    <m/>
    <m/>
    <m/>
    <m/>
    <m/>
    <m/>
    <m/>
    <m/>
    <m/>
    <m/>
    <m/>
    <m/>
    <m/>
    <m/>
    <m/>
    <m/>
    <m/>
    <m/>
    <m/>
    <m/>
    <m/>
    <m/>
    <m/>
    <m/>
    <m/>
    <m/>
    <m/>
    <m/>
    <m/>
    <m/>
    <m/>
    <m/>
    <m/>
    <m/>
    <m/>
    <m/>
    <m/>
    <m/>
    <m/>
    <m/>
    <m/>
    <m/>
    <m/>
    <m/>
    <m/>
    <m/>
    <m/>
    <m/>
    <m/>
    <m/>
  </r>
  <r>
    <s v="321 - UK"/>
    <d v="2024-05-02T00:00:00"/>
    <s v="MAY"/>
    <n v="2024"/>
    <x v="3"/>
    <s v="Deposited"/>
    <s v="PMT-S104-43483"/>
    <s v="IN-S104-436418"/>
    <s v="EUR"/>
    <n v="-6607.74"/>
    <n v="-7463.5649999999996"/>
    <n v="121.70099999999999"/>
    <n v="-121.70099999999999"/>
    <s v="Failte Ireland"/>
    <s v="Nathalie Darmois"/>
    <s v="/BENM//40116031212125MELTWATER UK LTDTOWER BRIDGE HOUSE20 ST KATH ERINESWAY/OCMT/EUR6607,74/EXCH/1,19544705//BBI//EREF/FAILTE IRELA ND LVL3X2A0/ORDP//IE39BOFI90001755048546FAILTE IRELANDAUTHORITY 8 8 TO 95 AMIENS ST DUBLIN 1/IE"/>
    <m/>
    <m/>
    <m/>
    <m/>
    <m/>
    <m/>
    <m/>
    <m/>
    <m/>
    <m/>
    <m/>
    <m/>
    <m/>
    <m/>
    <m/>
    <m/>
    <m/>
    <m/>
    <m/>
    <m/>
    <m/>
    <m/>
    <m/>
    <m/>
    <m/>
    <m/>
    <m/>
    <m/>
    <m/>
    <m/>
    <m/>
    <m/>
    <m/>
    <m/>
    <m/>
    <m/>
    <m/>
    <m/>
    <m/>
    <m/>
    <m/>
    <m/>
    <m/>
    <m/>
    <m/>
    <m/>
    <m/>
    <m/>
    <m/>
    <m/>
    <m/>
    <m/>
    <m/>
    <m/>
    <m/>
    <m/>
  </r>
  <r>
    <s v="32C (326) - Sysomos UK"/>
    <d v="2019-09-10T00:00:00"/>
    <s v="SEPTEMBER"/>
    <n v="2019"/>
    <x v="1"/>
    <s v="Deposited"/>
    <s v="PMT-S130D-0273"/>
    <s v=""/>
    <s v="GBP"/>
    <n v="-12240"/>
    <n v="-15983.359"/>
    <n v="15983.359"/>
    <n v="-26638.932000000001"/>
    <s v="DUMMY CUSTOMER_CASHAPPS 326 - Sysomos UK Limited"/>
    <s v="Amy Tyler"/>
    <s v="Barclays Wire 9/10/19 - UNIVERSAL PICTURES L000973364 BGCFrom: 20-00-00 50477567"/>
    <m/>
    <m/>
    <m/>
    <m/>
    <m/>
    <m/>
    <m/>
    <m/>
    <m/>
    <m/>
    <m/>
    <m/>
    <m/>
    <m/>
    <m/>
    <m/>
    <m/>
    <m/>
    <m/>
    <m/>
    <m/>
    <m/>
    <m/>
    <m/>
    <m/>
    <m/>
    <m/>
    <m/>
    <m/>
    <m/>
    <m/>
    <m/>
    <m/>
    <m/>
    <m/>
    <m/>
    <m/>
    <m/>
    <m/>
    <m/>
    <m/>
    <m/>
    <m/>
    <m/>
    <m/>
    <m/>
    <m/>
    <m/>
    <m/>
    <m/>
    <m/>
    <m/>
    <m/>
    <m/>
    <m/>
    <m/>
  </r>
  <r>
    <s v="32C (326) - Sysomos UK"/>
    <d v="2019-11-27T00:00:00"/>
    <s v="NOVEMBER"/>
    <n v="2019"/>
    <x v="1"/>
    <s v="Not Deposited"/>
    <s v="PMT-S130D-0325"/>
    <s v=""/>
    <s v="GBP"/>
    <n v="-4999.99"/>
    <n v="-6529.1369999999997"/>
    <n v="6529.1369999999997"/>
    <n v="-6529.1369999999997"/>
    <s v="TI Media Ltd"/>
    <s v="Amy Tyler"/>
    <s v="ACH/Wire"/>
    <m/>
    <m/>
    <m/>
    <m/>
    <m/>
    <m/>
    <m/>
    <m/>
    <m/>
    <m/>
    <m/>
    <m/>
    <m/>
    <m/>
    <m/>
    <m/>
    <m/>
    <m/>
    <m/>
    <m/>
    <m/>
    <m/>
    <m/>
    <m/>
    <m/>
    <m/>
    <m/>
    <m/>
    <m/>
    <m/>
    <m/>
    <m/>
    <m/>
    <m/>
    <m/>
    <m/>
    <m/>
    <m/>
    <m/>
    <m/>
    <m/>
    <m/>
    <m/>
    <m/>
    <m/>
    <m/>
    <m/>
    <m/>
    <m/>
    <m/>
    <m/>
    <m/>
    <m/>
    <m/>
    <m/>
    <m/>
  </r>
  <r>
    <s v="32C (326) - Sysomos UK"/>
    <d v="2019-10-08T00:00:00"/>
    <s v="OCTOBER"/>
    <n v="2019"/>
    <x v="1"/>
    <s v="Deposited"/>
    <s v="PMT-S130D-0307"/>
    <s v=""/>
    <s v="GBP"/>
    <n v="-4080"/>
    <n v="-5327.7860000000001"/>
    <n v="5327.7860000000001"/>
    <n v="-26638.932000000001"/>
    <s v="DUMMY CUSTOMER_CASHAPPS 326 - Sysomos UK Limited"/>
    <s v="Amy Tyler"/>
    <s v="Barclays Wire 10/8/19 - UNIVERSAL PICTURES UK01002264 BGCFrom: 20-00-00 50477567"/>
    <m/>
    <m/>
    <m/>
    <m/>
    <m/>
    <m/>
    <m/>
    <m/>
    <m/>
    <m/>
    <m/>
    <m/>
    <m/>
    <m/>
    <m/>
    <m/>
    <m/>
    <m/>
    <m/>
    <m/>
    <m/>
    <m/>
    <m/>
    <m/>
    <m/>
    <m/>
    <m/>
    <m/>
    <m/>
    <m/>
    <m/>
    <m/>
    <m/>
    <m/>
    <m/>
    <m/>
    <m/>
    <m/>
    <m/>
    <m/>
    <m/>
    <m/>
    <m/>
    <m/>
    <m/>
    <m/>
    <m/>
    <m/>
    <m/>
    <m/>
    <m/>
    <m/>
    <m/>
    <m/>
    <m/>
    <m/>
  </r>
  <r>
    <s v="32C (326) - Sysomos UK"/>
    <d v="2019-11-13T00:00:00"/>
    <s v="NOVEMBER"/>
    <n v="2019"/>
    <x v="1"/>
    <s v="Deposited"/>
    <s v="PMT-S130D-0323"/>
    <s v="IN-S130D-0205"/>
    <s v="GBP"/>
    <n v="-7600"/>
    <n v="-9924.3080000000009"/>
    <n v="4962.1540000000005"/>
    <n v="-4962.1540000000005"/>
    <s v="Djembe Communications"/>
    <s v="Amy Tyler"/>
    <s v="Barclays Wire 11/13/19"/>
    <m/>
    <m/>
    <m/>
    <m/>
    <m/>
    <m/>
    <m/>
    <m/>
    <m/>
    <m/>
    <m/>
    <m/>
    <m/>
    <m/>
    <m/>
    <m/>
    <m/>
    <m/>
    <m/>
    <m/>
    <m/>
    <m/>
    <m/>
    <m/>
    <m/>
    <m/>
    <m/>
    <m/>
    <m/>
    <m/>
    <m/>
    <m/>
    <m/>
    <m/>
    <m/>
    <m/>
    <m/>
    <m/>
    <m/>
    <m/>
    <m/>
    <m/>
    <m/>
    <m/>
    <m/>
    <m/>
    <m/>
    <m/>
    <m/>
    <m/>
    <m/>
    <m/>
    <m/>
    <m/>
    <m/>
    <m/>
  </r>
  <r>
    <s v="32C (326) - Sysomos UK"/>
    <d v="2019-05-08T00:00:00"/>
    <s v="MAY"/>
    <n v="2019"/>
    <x v="1"/>
    <s v="Deposited"/>
    <s v="PMT-S130D-0169"/>
    <s v=""/>
    <s v="GBP"/>
    <n v="-3468"/>
    <n v="-4528.6180000000004"/>
    <n v="4528.6180000000004"/>
    <n v="-4528.6180000000004"/>
    <s v="Essence Digital"/>
    <s v="Amy Tyler"/>
    <s v="Barclays wire 05/08/19"/>
    <m/>
    <m/>
    <m/>
    <m/>
    <m/>
    <m/>
    <m/>
    <m/>
    <m/>
    <m/>
    <m/>
    <m/>
    <m/>
    <m/>
    <m/>
    <m/>
    <m/>
    <m/>
    <m/>
    <m/>
    <m/>
    <m/>
    <m/>
    <m/>
    <m/>
    <m/>
    <m/>
    <m/>
    <m/>
    <m/>
    <m/>
    <m/>
    <m/>
    <m/>
    <m/>
    <m/>
    <m/>
    <m/>
    <m/>
    <m/>
    <m/>
    <m/>
    <m/>
    <m/>
    <m/>
    <m/>
    <m/>
    <m/>
    <m/>
    <m/>
    <m/>
    <m/>
    <m/>
    <m/>
    <m/>
    <m/>
  </r>
  <r>
    <s v="32C (326) - Sysomos UK"/>
    <d v="2019-09-06T00:00:00"/>
    <s v="SEPTEMBER"/>
    <n v="2019"/>
    <x v="1"/>
    <s v="Deposited"/>
    <s v="PMT-S130D-0272"/>
    <s v=""/>
    <s v="GBP"/>
    <n v="-2040"/>
    <n v="-2663.893"/>
    <n v="2663.893"/>
    <n v="-26638.932000000001"/>
    <s v="DUMMY CUSTOMER_CASHAPPS 326 - Sysomos UK Limited"/>
    <s v="Amy Tyler"/>
    <s v="Barclays Wire 9/6/19 - UNIVERSAL PICTUR * 180603*/ROC/U6900* TFR"/>
    <m/>
    <m/>
    <m/>
    <m/>
    <m/>
    <m/>
    <m/>
    <m/>
    <m/>
    <m/>
    <m/>
    <m/>
    <m/>
    <m/>
    <m/>
    <m/>
    <m/>
    <m/>
    <m/>
    <m/>
    <m/>
    <m/>
    <m/>
    <m/>
    <m/>
    <m/>
    <m/>
    <m/>
    <m/>
    <m/>
    <m/>
    <m/>
    <m/>
    <m/>
    <m/>
    <m/>
    <m/>
    <m/>
    <m/>
    <m/>
    <m/>
    <m/>
    <m/>
    <m/>
    <m/>
    <m/>
    <m/>
    <m/>
    <m/>
    <m/>
    <m/>
    <m/>
    <m/>
    <m/>
    <m/>
    <m/>
  </r>
  <r>
    <s v="32C (326) - Sysomos UK"/>
    <d v="2019-10-04T00:00:00"/>
    <s v="OCTOBER"/>
    <n v="2019"/>
    <x v="1"/>
    <s v="Deposited"/>
    <s v="PMT-S130D-0306"/>
    <s v=""/>
    <s v="GBP"/>
    <n v="-2040"/>
    <n v="-2663.893"/>
    <n v="2663.893"/>
    <n v="-26638.932000000001"/>
    <s v="DUMMY CUSTOMER_CASHAPPS 326 - Sysomos UK Limited"/>
    <s v="Amy Tyler"/>
    <s v="Barclays Wire 10/4/19 - UNIVERSAL PICTURES UK00987935 BGCFrom: 20-00-00 50477567"/>
    <m/>
    <m/>
    <m/>
    <m/>
    <m/>
    <m/>
    <m/>
    <m/>
    <m/>
    <m/>
    <m/>
    <m/>
    <m/>
    <m/>
    <m/>
    <m/>
    <m/>
    <m/>
    <m/>
    <m/>
    <m/>
    <m/>
    <m/>
    <m/>
    <m/>
    <m/>
    <m/>
    <m/>
    <m/>
    <m/>
    <m/>
    <m/>
    <m/>
    <m/>
    <m/>
    <m/>
    <m/>
    <m/>
    <m/>
    <m/>
    <m/>
    <m/>
    <m/>
    <m/>
    <m/>
    <m/>
    <m/>
    <m/>
    <m/>
    <m/>
    <m/>
    <m/>
    <m/>
    <m/>
    <m/>
    <m/>
  </r>
  <r>
    <s v="32C (326) - Sysomos UK"/>
    <d v="2019-03-08T00:00:00"/>
    <s v="MARCH"/>
    <n v="2019"/>
    <x v="1"/>
    <s v="Deposited"/>
    <s v="PMT-S130D-0095"/>
    <s v="IN-S130D-0115"/>
    <s v="GBP"/>
    <n v="-7372.8"/>
    <n v="-9627.6229999999996"/>
    <n v="310.56599999999997"/>
    <n v="-310.56599999999997"/>
    <s v="Harvest Digital"/>
    <s v="Amy Tyler"/>
    <s v=""/>
    <m/>
    <m/>
    <m/>
    <m/>
    <m/>
    <m/>
    <m/>
    <m/>
    <m/>
    <m/>
    <m/>
    <m/>
    <m/>
    <m/>
    <m/>
    <m/>
    <m/>
    <m/>
    <m/>
    <m/>
    <m/>
    <m/>
    <m/>
    <m/>
    <m/>
    <m/>
    <m/>
    <m/>
    <m/>
    <m/>
    <m/>
    <m/>
    <m/>
    <m/>
    <m/>
    <m/>
    <m/>
    <m/>
    <m/>
    <m/>
    <m/>
    <m/>
    <m/>
    <m/>
    <m/>
    <m/>
    <m/>
    <m/>
    <m/>
    <m/>
    <m/>
    <m/>
    <m/>
    <m/>
    <m/>
    <m/>
  </r>
  <r>
    <s v="32C (326) - Sysomos UK"/>
    <d v="2019-11-14T00:00:00"/>
    <s v="NOVEMBER"/>
    <n v="2019"/>
    <x v="1"/>
    <s v="Deposited"/>
    <s v="PMT-S130D-0324"/>
    <s v=""/>
    <s v="GBP"/>
    <n v="-26"/>
    <n v="-33.951999999999998"/>
    <n v="33.951999999999998"/>
    <n v="-33.951999999999998"/>
    <s v="Accelerated Intelligence LTD"/>
    <s v="Amy Tyler"/>
    <s v="Barclays Wire 11/14/19"/>
    <m/>
    <m/>
    <m/>
    <m/>
    <m/>
    <m/>
    <m/>
    <m/>
    <m/>
    <m/>
    <m/>
    <m/>
    <m/>
    <m/>
    <m/>
    <m/>
    <m/>
    <m/>
    <m/>
    <m/>
    <m/>
    <m/>
    <m/>
    <m/>
    <m/>
    <m/>
    <m/>
    <m/>
    <m/>
    <m/>
    <m/>
    <m/>
    <m/>
    <m/>
    <m/>
    <m/>
    <m/>
    <m/>
    <m/>
    <m/>
    <m/>
    <m/>
    <m/>
    <m/>
    <m/>
    <m/>
    <m/>
    <m/>
    <m/>
    <m/>
    <m/>
    <m/>
    <m/>
    <m/>
    <m/>
    <m/>
  </r>
  <r>
    <s v="334 - Meltwater France SAS"/>
    <d v="2023-11-20T00:00:00"/>
    <s v="NOVEMBER"/>
    <n v="2023"/>
    <x v="3"/>
    <s v="Deposited"/>
    <s v="PMT-S188-1008"/>
    <s v="IN-S188-1981"/>
    <s v="EUR"/>
    <n v="-29700"/>
    <n v="-34732.665000000001"/>
    <n v="27575.631000000001"/>
    <n v="66925.260999999999"/>
    <s v="PERNOD RICARD SA"/>
    <s v="Nathalie Darmois"/>
    <s v="SERA TFR RCVD IN-S188-1369"/>
    <m/>
    <m/>
    <m/>
    <m/>
    <m/>
    <m/>
    <m/>
    <m/>
    <m/>
    <m/>
    <m/>
    <m/>
    <m/>
    <m/>
    <m/>
    <m/>
    <m/>
    <m/>
    <m/>
    <m/>
    <m/>
    <m/>
    <m/>
    <m/>
    <m/>
    <m/>
    <m/>
    <m/>
    <m/>
    <m/>
    <m/>
    <m/>
    <m/>
    <m/>
    <m/>
    <m/>
    <m/>
    <m/>
    <m/>
    <m/>
    <m/>
    <m/>
    <m/>
    <m/>
    <m/>
    <m/>
    <m/>
    <m/>
    <m/>
    <m/>
    <m/>
    <m/>
    <m/>
    <m/>
    <m/>
    <m/>
  </r>
  <r>
    <s v="334 - Meltwater France SAS"/>
    <d v="2026-03-26T00:00:00"/>
    <s v="MARCH"/>
    <n v="2026"/>
    <x v="3"/>
    <s v="Deposited"/>
    <s v="PMT-S188-1572"/>
    <s v=""/>
    <s v="EUR"/>
    <n v="-22962.560000000001"/>
    <n v="-26853.565999999999"/>
    <n v="26853.565999999999"/>
    <n v="-37326.411999999997"/>
    <s v="DUMMY CUSTOMER_CASHAPPS 334-Linfluence France"/>
    <s v=""/>
    <s v="VIREMENT SEPA RECU YCI2 00777 GMF/REMI/18562 - VIREMENT EMIS/ISDT VIR/1621563/GMF ASSURANCES 18562 - VIREMENT EMIS/ISDT/2026-03-"/>
    <m/>
    <m/>
    <m/>
    <m/>
    <m/>
    <m/>
    <m/>
    <m/>
    <m/>
    <m/>
    <m/>
    <m/>
    <m/>
    <m/>
    <m/>
    <m/>
    <m/>
    <m/>
    <m/>
    <m/>
    <m/>
    <m/>
    <m/>
    <m/>
    <m/>
    <m/>
    <m/>
    <m/>
    <m/>
    <m/>
    <m/>
    <m/>
    <m/>
    <m/>
    <m/>
    <m/>
    <m/>
    <m/>
    <m/>
    <m/>
    <m/>
    <m/>
    <m/>
    <m/>
    <m/>
    <m/>
    <m/>
    <m/>
    <m/>
    <m/>
    <m/>
    <m/>
    <m/>
    <m/>
    <m/>
    <m/>
  </r>
  <r>
    <s v="334 - Meltwater France SAS"/>
    <d v="2024-07-26T00:00:00"/>
    <s v="JULY"/>
    <n v="2024"/>
    <x v="3"/>
    <s v="Deposited"/>
    <s v="PMT-S188-1215"/>
    <s v="IN-S188-1668"/>
    <s v="EUR"/>
    <n v="-26400"/>
    <n v="-30873.48"/>
    <n v="15436.74"/>
    <n v="-15436.74"/>
    <s v="CHANEL SAS"/>
    <s v=""/>
    <s v="VIREMENT SEPA RECU YCI2 05254 CHANEL/REMI//INV/IN-S188-1668/1.7.2 2024000068834 /INV/IN-S188-1668/1.7.20241N-S188-1"/>
    <m/>
    <m/>
    <m/>
    <m/>
    <m/>
    <m/>
    <m/>
    <m/>
    <m/>
    <m/>
    <m/>
    <m/>
    <m/>
    <m/>
    <m/>
    <m/>
    <m/>
    <m/>
    <m/>
    <m/>
    <m/>
    <m/>
    <m/>
    <m/>
    <m/>
    <m/>
    <m/>
    <m/>
    <m/>
    <m/>
    <m/>
    <m/>
    <m/>
    <m/>
    <m/>
    <m/>
    <m/>
    <m/>
    <m/>
    <m/>
    <m/>
    <m/>
    <m/>
    <m/>
    <m/>
    <m/>
    <m/>
    <m/>
    <m/>
    <m/>
    <m/>
    <m/>
    <m/>
    <m/>
    <m/>
    <m/>
  </r>
  <r>
    <s v="334 - Meltwater France SAS"/>
    <d v="2025-10-07T00:00:00"/>
    <s v="OCTOBER"/>
    <n v="2025"/>
    <x v="3"/>
    <s v="Not Deposited"/>
    <s v="PMT-S188-1497"/>
    <s v="IN-S188-1985"/>
    <s v="USD"/>
    <n v="-39000"/>
    <n v="-38120.644"/>
    <n v="15248.26"/>
    <n v="66925.260999999999"/>
    <s v="PERNOD RICARD SA"/>
    <s v="Nathalie Darmois"/>
    <s v="D B/O1/PERNOD RICARDO/R04170577643890DE SOGEFRPPUSD39000,00   TX 1.1964265USD39000,00/ROC/548114///URI/IN S109 446364 ORD193637 04170577643890DE SWIFT NTRF 04170577643890DE"/>
    <m/>
    <m/>
    <m/>
    <m/>
    <m/>
    <m/>
    <m/>
    <m/>
    <m/>
    <m/>
    <m/>
    <m/>
    <m/>
    <m/>
    <m/>
    <m/>
    <m/>
    <m/>
    <m/>
    <m/>
    <m/>
    <m/>
    <m/>
    <m/>
    <m/>
    <m/>
    <m/>
    <m/>
    <m/>
    <m/>
    <m/>
    <m/>
    <m/>
    <m/>
    <m/>
    <m/>
    <m/>
    <m/>
    <m/>
    <m/>
    <m/>
    <m/>
    <m/>
    <m/>
    <m/>
    <m/>
    <m/>
    <m/>
    <m/>
    <m/>
    <m/>
    <m/>
    <m/>
    <m/>
    <m/>
    <m/>
  </r>
  <r>
    <s v="334 - Meltwater France SAS"/>
    <d v="2023-08-30T00:00:00"/>
    <s v="AUGUST"/>
    <n v="2023"/>
    <x v="3"/>
    <s v="Deposited"/>
    <s v="PMT-S188-0931"/>
    <s v=""/>
    <s v="EUR"/>
    <n v="-8200"/>
    <n v="-9589.49"/>
    <n v="9589.49"/>
    <n v="-9589.49"/>
    <s v="KERING"/>
    <s v=""/>
    <s v="VIR ETRANGER RECU EUROPEEN /DE 1/GUCCIO GUCCI S.P.A. /FROM IT /MOTIF IN-S188-1209 9.5.2023 26000573 89 /MMO EUR 8200,00 /BNPP EUR 0,00 /REF ZZ1EO3VUZDCLNZVBT"/>
    <m/>
    <m/>
    <m/>
    <m/>
    <m/>
    <m/>
    <m/>
    <m/>
    <m/>
    <m/>
    <m/>
    <m/>
    <m/>
    <m/>
    <m/>
    <m/>
    <m/>
    <m/>
    <m/>
    <m/>
    <m/>
    <m/>
    <m/>
    <m/>
    <m/>
    <m/>
    <m/>
    <m/>
    <m/>
    <m/>
    <m/>
    <m/>
    <m/>
    <m/>
    <m/>
    <m/>
    <m/>
    <m/>
    <m/>
    <m/>
    <m/>
    <m/>
    <m/>
    <m/>
    <m/>
    <m/>
    <m/>
    <m/>
    <m/>
    <m/>
    <m/>
    <m/>
    <m/>
    <m/>
    <m/>
    <m/>
  </r>
  <r>
    <s v="334 - Meltwater France SAS"/>
    <d v="2025-12-09T00:00:00"/>
    <s v="DECEMBER"/>
    <n v="2025"/>
    <x v="3"/>
    <s v="Deposited"/>
    <s v="PMT-S188-1523"/>
    <s v="IN-S188-2013"/>
    <s v="EUR"/>
    <n v="-19650.2"/>
    <n v="-22979.925999999999"/>
    <n v="8399.2240000000002"/>
    <n v="66925.260999999999"/>
    <s v="PERNOD RICARD SA"/>
    <s v="Nathalie Darmois"/>
    <s v="D B/O1/PERNOD RICARDO/R04170583954781B5 SOGEFRPPUSD23400,00   TX 1.1908276USD23400,00/ROC/555169///URI/IN S188 1985 04170583954781B5 SWIFT NTRF 04170583954781B5"/>
    <m/>
    <m/>
    <m/>
    <m/>
    <m/>
    <m/>
    <m/>
    <m/>
    <m/>
    <m/>
    <m/>
    <m/>
    <m/>
    <m/>
    <m/>
    <m/>
    <m/>
    <m/>
    <m/>
    <m/>
    <m/>
    <m/>
    <m/>
    <m/>
    <m/>
    <m/>
    <m/>
    <m/>
    <m/>
    <m/>
    <m/>
    <m/>
    <m/>
    <m/>
    <m/>
    <m/>
    <m/>
    <m/>
    <m/>
    <m/>
    <m/>
    <m/>
    <m/>
    <m/>
    <m/>
    <m/>
    <m/>
    <m/>
    <m/>
    <m/>
    <m/>
    <m/>
    <m/>
    <m/>
    <m/>
    <m/>
  </r>
  <r>
    <s v="334 - Meltwater France SAS"/>
    <d v="2022-11-10T00:00:00"/>
    <s v="NOVEMBER"/>
    <n v="2022"/>
    <x v="3"/>
    <s v="Deposited"/>
    <s v="PMT-S188-0588"/>
    <s v=""/>
    <s v="EUR"/>
    <n v="-6000"/>
    <n v="-7016.7"/>
    <n v="7016.7"/>
    <n v="-7016.7"/>
    <s v="Danone SA"/>
    <s v="Nathalie Darmois"/>
    <s v="VIR SEPA RECU /FRM DANONE /EID 1600011149 /RNF IN-S188-0244"/>
    <m/>
    <m/>
    <m/>
    <m/>
    <m/>
    <m/>
    <m/>
    <m/>
    <m/>
    <m/>
    <m/>
    <m/>
    <m/>
    <m/>
    <m/>
    <m/>
    <m/>
    <m/>
    <m/>
    <m/>
    <m/>
    <m/>
    <m/>
    <m/>
    <m/>
    <m/>
    <m/>
    <m/>
    <m/>
    <m/>
    <m/>
    <m/>
    <m/>
    <m/>
    <m/>
    <m/>
    <m/>
    <m/>
    <m/>
    <m/>
    <m/>
    <m/>
    <m/>
    <m/>
    <m/>
    <m/>
    <m/>
    <m/>
    <m/>
    <m/>
    <m/>
    <m/>
    <m/>
    <m/>
    <m/>
    <m/>
  </r>
  <r>
    <s v="334 - Meltwater France SAS"/>
    <d v="2023-06-30T00:00:00"/>
    <s v="JUNE"/>
    <n v="2023"/>
    <x v="3"/>
    <s v="Deposited"/>
    <s v="PMT-S188-0870"/>
    <s v=""/>
    <s v="EUR"/>
    <n v="-4015.45"/>
    <n v="-4695.8680000000004"/>
    <n v="4695.8680000000004"/>
    <n v="-37326.411999999997"/>
    <s v="DUMMY CUSTOMER_CASHAPPS 334-Linfluence France"/>
    <s v=""/>
    <s v="FOREIGN TRANSFER RECEIVED INTE RNATIONAL /DE HYVE INTERNATIO NAL EVENTS LIMITED /FROM GB /M OTIF 3034 /MMO GBP 3500,00 /BNP P EUR 0,00 /REF ZZ1EB76Y81LES4P DS"/>
    <m/>
    <m/>
    <m/>
    <m/>
    <m/>
    <m/>
    <m/>
    <m/>
    <m/>
    <m/>
    <m/>
    <m/>
    <m/>
    <m/>
    <m/>
    <m/>
    <m/>
    <m/>
    <m/>
    <m/>
    <m/>
    <m/>
    <m/>
    <m/>
    <m/>
    <m/>
    <m/>
    <m/>
    <m/>
    <m/>
    <m/>
    <m/>
    <m/>
    <m/>
    <m/>
    <m/>
    <m/>
    <m/>
    <m/>
    <m/>
    <m/>
    <m/>
    <m/>
    <m/>
    <m/>
    <m/>
    <m/>
    <m/>
    <m/>
    <m/>
    <m/>
    <m/>
    <m/>
    <m/>
    <m/>
    <m/>
  </r>
  <r>
    <s v="334 - Meltwater France SAS"/>
    <d v="2023-01-12T00:00:00"/>
    <s v="JANUARY"/>
    <n v="2023"/>
    <x v="3"/>
    <s v="Deposited"/>
    <s v="PMT-S188-0644"/>
    <s v=""/>
    <s v="EUR"/>
    <n v="-3600"/>
    <n v="-4210.0200000000004"/>
    <n v="4210.0200000000004"/>
    <n v="-37326.411999999997"/>
    <s v="DUMMY CUSTOMER_CASHAPPS 334-Linfluence France"/>
    <s v=""/>
    <s v="VIR SEPA RECU /FRM CELINE /EID 5B1011057136 /RNF OF-FR- 1967"/>
    <m/>
    <m/>
    <m/>
    <m/>
    <m/>
    <m/>
    <m/>
    <m/>
    <m/>
    <m/>
    <m/>
    <m/>
    <m/>
    <m/>
    <m/>
    <m/>
    <m/>
    <m/>
    <m/>
    <m/>
    <m/>
    <m/>
    <m/>
    <m/>
    <m/>
    <m/>
    <m/>
    <m/>
    <m/>
    <m/>
    <m/>
    <m/>
    <m/>
    <m/>
    <m/>
    <m/>
    <m/>
    <m/>
    <m/>
    <m/>
    <m/>
    <m/>
    <m/>
    <m/>
    <m/>
    <m/>
    <m/>
    <m/>
    <m/>
    <m/>
    <m/>
    <m/>
    <m/>
    <m/>
    <m/>
    <m/>
  </r>
  <r>
    <s v="334 - Meltwater France SAS"/>
    <d v="2023-05-25T00:00:00"/>
    <s v="MAY"/>
    <n v="2023"/>
    <x v="3"/>
    <s v="Deposited"/>
    <s v="PMT-S188-0828"/>
    <s v=""/>
    <s v="EUR"/>
    <n v="-1339.91"/>
    <n v="-1566.9580000000001"/>
    <n v="1566.9580000000001"/>
    <n v="-37326.411999999997"/>
    <s v="DUMMY CUSTOMER_CASHAPPS 334-Linfluence France"/>
    <s v=""/>
    <s v="FOREIGN TRANSFER RECEIVED INTERNATIONAL /DE THOMAS TELFORD LIMITED /FROM GB /MMO GBP 1179,60 /BNPP EUR 0,00 /REF ZZ1E3VHGKMQ7YFFSX"/>
    <m/>
    <m/>
    <m/>
    <m/>
    <m/>
    <m/>
    <m/>
    <m/>
    <m/>
    <m/>
    <m/>
    <m/>
    <m/>
    <m/>
    <m/>
    <m/>
    <m/>
    <m/>
    <m/>
    <m/>
    <m/>
    <m/>
    <m/>
    <m/>
    <m/>
    <m/>
    <m/>
    <m/>
    <m/>
    <m/>
    <m/>
    <m/>
    <m/>
    <m/>
    <m/>
    <m/>
    <m/>
    <m/>
    <m/>
    <m/>
    <m/>
    <m/>
    <m/>
    <m/>
    <m/>
    <m/>
    <m/>
    <m/>
    <m/>
    <m/>
    <m/>
    <m/>
    <m/>
    <m/>
    <m/>
    <m/>
  </r>
  <r>
    <s v="334 - Meltwater France SAS"/>
    <d v="2023-06-20T00:00:00"/>
    <s v="JUNE"/>
    <n v="2023"/>
    <x v="3"/>
    <s v="Deposited"/>
    <s v="PMT-S188-0853"/>
    <s v=""/>
    <s v="EUR"/>
    <n v="-756"/>
    <n v="-884.10400000000004"/>
    <n v="884.10400000000004"/>
    <n v="-884.10400000000004"/>
    <s v="Kanbios"/>
    <s v=""/>
    <s v="SEPA TFR RCVD /FRM KANBIOS /EID 20230619:BNV:249:3 /RNF IN-S188-1060"/>
    <m/>
    <m/>
    <m/>
    <m/>
    <m/>
    <m/>
    <m/>
    <m/>
    <m/>
    <m/>
    <m/>
    <m/>
    <m/>
    <m/>
    <m/>
    <m/>
    <m/>
    <m/>
    <m/>
    <m/>
    <m/>
    <m/>
    <m/>
    <m/>
    <m/>
    <m/>
    <m/>
    <m/>
    <m/>
    <m/>
    <m/>
    <m/>
    <m/>
    <m/>
    <m/>
    <m/>
    <m/>
    <m/>
    <m/>
    <m/>
    <m/>
    <m/>
    <m/>
    <m/>
    <m/>
    <m/>
    <m/>
    <m/>
    <m/>
    <m/>
    <m/>
    <m/>
    <m/>
    <m/>
    <m/>
    <m/>
  </r>
  <r>
    <s v="334 - Meltwater France SAS"/>
    <d v="2024-05-30T00:00:00"/>
    <s v="MAY"/>
    <n v="2024"/>
    <x v="3"/>
    <s v="Deposited"/>
    <s v="PMT-S188-1166"/>
    <s v="IN-S188-1555"/>
    <s v="EUR"/>
    <n v="-46048.32"/>
    <n v="-53851.207999999999"/>
    <n v="66.238"/>
    <n v="-66.238"/>
    <s v="Ville de Paris - DICOM"/>
    <s v="Nathalie Darmois"/>
    <s v=""/>
    <m/>
    <m/>
    <m/>
    <m/>
    <m/>
    <m/>
    <m/>
    <m/>
    <m/>
    <m/>
    <m/>
    <m/>
    <m/>
    <m/>
    <m/>
    <m/>
    <m/>
    <m/>
    <m/>
    <m/>
    <m/>
    <m/>
    <m/>
    <m/>
    <m/>
    <m/>
    <m/>
    <m/>
    <m/>
    <m/>
    <m/>
    <m/>
    <m/>
    <m/>
    <m/>
    <m/>
    <m/>
    <m/>
    <m/>
    <m/>
    <m/>
    <m/>
    <m/>
    <m/>
    <m/>
    <m/>
    <m/>
    <m/>
    <m/>
    <m/>
    <m/>
    <m/>
    <m/>
    <m/>
    <m/>
    <m/>
  </r>
  <r>
    <s v="382 - Middle East 2"/>
    <d v="2026-03-18T00:00:00"/>
    <s v="MARCH"/>
    <n v="2026"/>
    <x v="3"/>
    <s v="Deposited"/>
    <s v="PMT-S114-6938"/>
    <s v=""/>
    <s v="AED"/>
    <n v="-839547.45"/>
    <n v="-228603.73300000001"/>
    <n v="228603.73300000001"/>
    <n v="-318643.51400000002"/>
    <s v="DUMMY CUSTOMER_CASHAPPS 382 - Middle East 2"/>
    <s v="Manar Sultan"/>
    <s v="NONREF CDM-CC"/>
    <m/>
    <m/>
    <m/>
    <m/>
    <m/>
    <m/>
    <m/>
    <m/>
    <m/>
    <m/>
    <m/>
    <m/>
    <m/>
    <m/>
    <m/>
    <m/>
    <m/>
    <m/>
    <m/>
    <m/>
    <m/>
    <m/>
    <m/>
    <m/>
    <m/>
    <m/>
    <m/>
    <m/>
    <m/>
    <m/>
    <m/>
    <m/>
    <m/>
    <m/>
    <m/>
    <m/>
    <m/>
    <m/>
    <m/>
    <m/>
    <m/>
    <m/>
    <m/>
    <m/>
    <m/>
    <m/>
    <m/>
    <m/>
    <m/>
    <m/>
    <m/>
    <m/>
    <m/>
    <m/>
    <m/>
    <m/>
  </r>
  <r>
    <s v="382 - Middle East 2"/>
    <d v="2025-10-08T00:00:00"/>
    <s v="OCTOBER"/>
    <n v="2025"/>
    <x v="3"/>
    <s v="Deposited"/>
    <s v="PMT-S114-6688"/>
    <s v="IN-S114-407718"/>
    <s v="USD"/>
    <n v="-45028"/>
    <n v="-44788.898999999998"/>
    <n v="43595.271000000001"/>
    <n v="-43595.271000000001"/>
    <s v="Confederation Of African Football - AFCON"/>
    <s v="Manar Sultan"/>
    <s v="8.00 USD AED AED 3.65300000 2025-10-08T10:18:58.000Z CONFEDERATION AFRICAINE DE FOOTBALL NO 3 ABDELKHALEK SARWAT ST STR ELHAI ELMOTAMAIZ 6TH OCT CITY GUIZA EGYPT MELTWATER MIDDLE EAST 2 FZ LLC ABU DHABI UNITED ARAB EMIRATES /URI/MAY MONTHLY REPORT 2025 5397 2 ///ROC/5143146281FS CONFEDERATION AFRICAINE DE FOOTBALL/URI/MAY MONTHLY REPORT 2025 5397 2 ///ROC/5143146281FSFX USD 45028.00 AT 3.6530000 210237577/TMS/2025-10-08T10:18:58 GMT/MID/3.6729750 AES081059BPQIN9C SWIFT S103 AES081059BPQIN9C"/>
    <m/>
    <m/>
    <m/>
    <m/>
    <m/>
    <m/>
    <m/>
    <m/>
    <m/>
    <m/>
    <m/>
    <m/>
    <m/>
    <m/>
    <m/>
    <m/>
    <m/>
    <m/>
    <m/>
    <m/>
    <m/>
    <m/>
    <m/>
    <m/>
    <m/>
    <m/>
    <m/>
    <m/>
    <m/>
    <m/>
    <m/>
    <m/>
    <m/>
    <m/>
    <m/>
    <m/>
    <m/>
    <m/>
    <m/>
    <m/>
    <m/>
    <m/>
    <m/>
    <m/>
    <m/>
    <m/>
    <m/>
    <m/>
    <m/>
    <m/>
    <m/>
    <m/>
    <m/>
    <m/>
    <m/>
    <m/>
  </r>
  <r>
    <s v="382 - Middle East 2"/>
    <d v="2025-09-03T00:00:00"/>
    <s v="SEPTEMBER"/>
    <n v="2025"/>
    <x v="3"/>
    <s v="Deposited"/>
    <s v="PMT-S114-6599"/>
    <s v=""/>
    <s v="USD"/>
    <n v="-20746"/>
    <n v="-20635.839"/>
    <n v="20635.839"/>
    <n v="-20635.839"/>
    <s v="Foaj alillan for advertising company"/>
    <s v="Manar Sultan"/>
    <s v="Customer overpayment for WHT IN-S114-407537"/>
    <m/>
    <m/>
    <m/>
    <m/>
    <m/>
    <m/>
    <m/>
    <m/>
    <m/>
    <m/>
    <m/>
    <m/>
    <m/>
    <m/>
    <m/>
    <m/>
    <m/>
    <m/>
    <m/>
    <m/>
    <m/>
    <m/>
    <m/>
    <m/>
    <m/>
    <m/>
    <m/>
    <m/>
    <m/>
    <m/>
    <m/>
    <m/>
    <m/>
    <m/>
    <m/>
    <m/>
    <m/>
    <m/>
    <m/>
    <m/>
    <m/>
    <m/>
    <m/>
    <m/>
    <m/>
    <m/>
    <m/>
    <m/>
    <m/>
    <m/>
    <m/>
    <m/>
    <m/>
    <m/>
    <m/>
    <m/>
  </r>
  <r>
    <s v="382 - Middle East 2"/>
    <d v="2025-06-28T00:00:00"/>
    <s v="JUNE"/>
    <n v="2025"/>
    <x v="3"/>
    <s v="Deposited"/>
    <s v="PMT-S114-6505"/>
    <s v=""/>
    <s v="AED"/>
    <n v="-63598.73"/>
    <n v="-17317.553"/>
    <n v="17317.553"/>
    <n v="-318643.51400000002"/>
    <s v="DUMMY CUSTOMER_CASHAPPS 382 - Middle East 2"/>
    <s v="Manar Sultan"/>
    <s v="USD 17,500.00 HUB OF WILL TRADING SERVICES CO SETTLEMENT OF BILLS PAY FX USD 17410.00 AT 3.6530000 204956647/TMS/2025-06-28T04:17:52 GMT/MID/3.6725000"/>
    <m/>
    <m/>
    <m/>
    <m/>
    <m/>
    <m/>
    <m/>
    <m/>
    <m/>
    <m/>
    <m/>
    <m/>
    <m/>
    <m/>
    <m/>
    <m/>
    <m/>
    <m/>
    <m/>
    <m/>
    <m/>
    <m/>
    <m/>
    <m/>
    <m/>
    <m/>
    <m/>
    <m/>
    <m/>
    <m/>
    <m/>
    <m/>
    <m/>
    <m/>
    <m/>
    <m/>
    <m/>
    <m/>
    <m/>
    <m/>
    <m/>
    <m/>
    <m/>
    <m/>
    <m/>
    <m/>
    <m/>
    <m/>
    <m/>
    <m/>
    <m/>
    <m/>
    <m/>
    <m/>
    <m/>
    <m/>
  </r>
  <r>
    <s v="382 - Middle East 2"/>
    <d v="2023-12-28T00:00:00"/>
    <s v="DECEMBER"/>
    <n v="2023"/>
    <x v="3"/>
    <s v="Deposited"/>
    <s v="PMT-S114-5766"/>
    <s v=""/>
    <s v="AED"/>
    <n v="-39195"/>
    <n v="-10672.563"/>
    <n v="10672.563"/>
    <n v="-318643.51400000002"/>
    <s v="DUMMY CUSTOMER_CASHAPPS 382 - Middle East 2"/>
    <s v="Manar Sultan"/>
    <s v="1/ALTWASL ALFAAL LLASTSHARAT WALABH /REF/MELTWATER INVOICE2 SETTLEMENT OF BILL"/>
    <m/>
    <m/>
    <m/>
    <m/>
    <m/>
    <m/>
    <m/>
    <m/>
    <m/>
    <m/>
    <m/>
    <m/>
    <m/>
    <m/>
    <m/>
    <m/>
    <m/>
    <m/>
    <m/>
    <m/>
    <m/>
    <m/>
    <m/>
    <m/>
    <m/>
    <m/>
    <m/>
    <m/>
    <m/>
    <m/>
    <m/>
    <m/>
    <m/>
    <m/>
    <m/>
    <m/>
    <m/>
    <m/>
    <m/>
    <m/>
    <m/>
    <m/>
    <m/>
    <m/>
    <m/>
    <m/>
    <m/>
    <m/>
    <m/>
    <m/>
    <m/>
    <m/>
    <m/>
    <m/>
    <m/>
    <m/>
  </r>
  <r>
    <s v="382 - Middle East 2"/>
    <d v="2022-04-27T00:00:00"/>
    <s v="APRIL"/>
    <n v="2022"/>
    <x v="3"/>
    <s v="Deposited"/>
    <s v="PMT-S114-4936"/>
    <s v=""/>
    <s v="AED"/>
    <n v="-38980"/>
    <n v="-10614.02"/>
    <n v="10614.02"/>
    <n v="-318643.51400000002"/>
    <s v="DUMMY CUSTOMER_CASHAPPS 382 - Middle East 2"/>
    <s v="Manar Sultan"/>
    <s v="Cash Margin TFAE18PB000780L FTM221173PC6R7PB"/>
    <m/>
    <m/>
    <m/>
    <m/>
    <m/>
    <m/>
    <m/>
    <m/>
    <m/>
    <m/>
    <m/>
    <m/>
    <m/>
    <m/>
    <m/>
    <m/>
    <m/>
    <m/>
    <m/>
    <m/>
    <m/>
    <m/>
    <m/>
    <m/>
    <m/>
    <m/>
    <m/>
    <m/>
    <m/>
    <m/>
    <m/>
    <m/>
    <m/>
    <m/>
    <m/>
    <m/>
    <m/>
    <m/>
    <m/>
    <m/>
    <m/>
    <m/>
    <m/>
    <m/>
    <m/>
    <m/>
    <m/>
    <m/>
    <m/>
    <m/>
    <m/>
    <m/>
    <m/>
    <m/>
    <m/>
    <m/>
  </r>
  <r>
    <s v="382 - Middle East 2"/>
    <d v="2023-10-06T00:00:00"/>
    <s v="OCTOBER"/>
    <n v="2023"/>
    <x v="3"/>
    <s v="Deposited"/>
    <s v="PMT-S114-5650"/>
    <s v=""/>
    <s v="AED"/>
    <n v="-35898"/>
    <n v="-9774.81"/>
    <n v="9774.81"/>
    <n v="-318643.51400000002"/>
    <s v="DUMMY CUSTOMER_CASHAPPS 382 - Middle East 2"/>
    <s v="Manar Sultan"/>
    <s v="DANA CHAOUKI ATRACHENA NANA ABU DHA /REF/local transfer"/>
    <m/>
    <m/>
    <m/>
    <m/>
    <m/>
    <m/>
    <m/>
    <m/>
    <m/>
    <m/>
    <m/>
    <m/>
    <m/>
    <m/>
    <m/>
    <m/>
    <m/>
    <m/>
    <m/>
    <m/>
    <m/>
    <m/>
    <m/>
    <m/>
    <m/>
    <m/>
    <m/>
    <m/>
    <m/>
    <m/>
    <m/>
    <m/>
    <m/>
    <m/>
    <m/>
    <m/>
    <m/>
    <m/>
    <m/>
    <m/>
    <m/>
    <m/>
    <m/>
    <m/>
    <m/>
    <m/>
    <m/>
    <m/>
    <m/>
    <m/>
    <m/>
    <m/>
    <m/>
    <m/>
    <m/>
    <m/>
  </r>
  <r>
    <s v="382 - Middle East 2"/>
    <d v="2024-05-09T00:00:00"/>
    <s v="MAY"/>
    <n v="2024"/>
    <x v="3"/>
    <s v="Deposited"/>
    <s v="PMT-S114-5968"/>
    <s v=""/>
    <s v="AED"/>
    <n v="-34198"/>
    <n v="-9311.91"/>
    <n v="9311.91"/>
    <n v="-318643.51400000002"/>
    <s v="DUMMY CUSTOMER_CASHAPPS 382 - Middle East 2"/>
    <s v="Manar Sultan"/>
    <s v="NONREF MDGDUB401107"/>
    <m/>
    <m/>
    <m/>
    <m/>
    <m/>
    <m/>
    <m/>
    <m/>
    <m/>
    <m/>
    <m/>
    <m/>
    <m/>
    <m/>
    <m/>
    <m/>
    <m/>
    <m/>
    <m/>
    <m/>
    <m/>
    <m/>
    <m/>
    <m/>
    <m/>
    <m/>
    <m/>
    <m/>
    <m/>
    <m/>
    <m/>
    <m/>
    <m/>
    <m/>
    <m/>
    <m/>
    <m/>
    <m/>
    <m/>
    <m/>
    <m/>
    <m/>
    <m/>
    <m/>
    <m/>
    <m/>
    <m/>
    <m/>
    <m/>
    <m/>
    <m/>
    <m/>
    <m/>
    <m/>
    <m/>
    <m/>
  </r>
  <r>
    <s v="382 - Middle East 2"/>
    <d v="2024-04-23T00:00:00"/>
    <s v="APRIL"/>
    <n v="2024"/>
    <x v="3"/>
    <s v="Deposited"/>
    <s v="PMT-S114-5936"/>
    <s v=""/>
    <s v="AED"/>
    <n v="-30086.87"/>
    <n v="-8192.4740000000002"/>
    <n v="8192.4740000000002"/>
    <n v="-318643.51400000002"/>
    <s v="DUMMY CUSTOMER_CASHAPPS 382 - Middle East 2"/>
    <s v="Manar Sultan"/>
    <s v="NONREF MDGDUB401027"/>
    <m/>
    <m/>
    <m/>
    <m/>
    <m/>
    <m/>
    <m/>
    <m/>
    <m/>
    <m/>
    <m/>
    <m/>
    <m/>
    <m/>
    <m/>
    <m/>
    <m/>
    <m/>
    <m/>
    <m/>
    <m/>
    <m/>
    <m/>
    <m/>
    <m/>
    <m/>
    <m/>
    <m/>
    <m/>
    <m/>
    <m/>
    <m/>
    <m/>
    <m/>
    <m/>
    <m/>
    <m/>
    <m/>
    <m/>
    <m/>
    <m/>
    <m/>
    <m/>
    <m/>
    <m/>
    <m/>
    <m/>
    <m/>
    <m/>
    <m/>
    <m/>
    <m/>
    <m/>
    <m/>
    <m/>
    <m/>
  </r>
  <r>
    <s v="382 - Middle East 2"/>
    <d v="2025-07-02T00:00:00"/>
    <s v="JULY"/>
    <n v="2025"/>
    <x v="3"/>
    <s v="Deposited"/>
    <s v="PMT-S114-6516"/>
    <s v=""/>
    <s v="AED"/>
    <n v="-28402.080000000002"/>
    <n v="-7733.7160000000003"/>
    <n v="7733.7160000000003"/>
    <n v="-318643.51400000002"/>
    <s v="DUMMY CUSTOMER_CASHAPPS 382 - Middle East 2"/>
    <s v="Manar Sultan"/>
    <s v="MDGAE1000439"/>
    <m/>
    <m/>
    <m/>
    <m/>
    <m/>
    <m/>
    <m/>
    <m/>
    <m/>
    <m/>
    <m/>
    <m/>
    <m/>
    <m/>
    <m/>
    <m/>
    <m/>
    <m/>
    <m/>
    <m/>
    <m/>
    <m/>
    <m/>
    <m/>
    <m/>
    <m/>
    <m/>
    <m/>
    <m/>
    <m/>
    <m/>
    <m/>
    <m/>
    <m/>
    <m/>
    <m/>
    <m/>
    <m/>
    <m/>
    <m/>
    <m/>
    <m/>
    <m/>
    <m/>
    <m/>
    <m/>
    <m/>
    <m/>
    <m/>
    <m/>
    <m/>
    <m/>
    <m/>
    <m/>
    <m/>
    <m/>
  </r>
  <r>
    <s v="382 - Middle East 2"/>
    <d v="2023-02-08T00:00:00"/>
    <s v="FEBRUARY"/>
    <n v="2023"/>
    <x v="3"/>
    <s v="Deposited"/>
    <s v="PMT-S114-5312"/>
    <s v=""/>
    <s v="AED"/>
    <n v="-24255.919999999998"/>
    <n v="-6604.741"/>
    <n v="6604.741"/>
    <n v="-318643.51400000002"/>
    <s v="DUMMY CUSTOMER_CASHAPPS 382 - Middle East 2"/>
    <s v="Manar Sultan"/>
    <s v="NONREF MDGDUB208966"/>
    <m/>
    <m/>
    <m/>
    <m/>
    <m/>
    <m/>
    <m/>
    <m/>
    <m/>
    <m/>
    <m/>
    <m/>
    <m/>
    <m/>
    <m/>
    <m/>
    <m/>
    <m/>
    <m/>
    <m/>
    <m/>
    <m/>
    <m/>
    <m/>
    <m/>
    <m/>
    <m/>
    <m/>
    <m/>
    <m/>
    <m/>
    <m/>
    <m/>
    <m/>
    <m/>
    <m/>
    <m/>
    <m/>
    <m/>
    <m/>
    <m/>
    <m/>
    <m/>
    <m/>
    <m/>
    <m/>
    <m/>
    <m/>
    <m/>
    <m/>
    <m/>
    <m/>
    <m/>
    <m/>
    <m/>
    <m/>
  </r>
  <r>
    <s v="382 - Middle East 2"/>
    <d v="2026-04-23T00:00:00"/>
    <s v="APRIL"/>
    <n v="2026"/>
    <x v="3"/>
    <s v="Deposited"/>
    <s v="PMT-S114-7017"/>
    <s v="IN-S114-408110"/>
    <s v="USD"/>
    <n v="-37058.82"/>
    <n v="-37009.178999999996"/>
    <n v="5551.375"/>
    <n v="-5551.375"/>
    <s v="Mood Design Trading Company (Single Person LLC)"/>
    <s v=""/>
    <s v="M0D FOR DESING AND COOOERCIAL COMPA /REF/OPERATIONAL EXPENSES PAYMENT O F INVOICE408110MOOD"/>
    <m/>
    <m/>
    <m/>
    <m/>
    <m/>
    <m/>
    <m/>
    <m/>
    <m/>
    <m/>
    <m/>
    <m/>
    <m/>
    <m/>
    <m/>
    <m/>
    <m/>
    <m/>
    <m/>
    <m/>
    <m/>
    <m/>
    <m/>
    <m/>
    <m/>
    <m/>
    <m/>
    <m/>
    <m/>
    <m/>
    <m/>
    <m/>
    <m/>
    <m/>
    <m/>
    <m/>
    <m/>
    <m/>
    <m/>
    <m/>
    <m/>
    <m/>
    <m/>
    <m/>
    <m/>
    <m/>
    <m/>
    <m/>
    <m/>
    <m/>
    <m/>
    <m/>
    <m/>
    <m/>
    <m/>
    <m/>
  </r>
  <r>
    <s v="382 - Middle East 2"/>
    <d v="2026-03-17T00:00:00"/>
    <s v="MARCH"/>
    <n v="2026"/>
    <x v="3"/>
    <s v="Deposited"/>
    <s v="PMT-S114-6933"/>
    <s v="IN-S114-407823"/>
    <s v="USD"/>
    <n v="-31199.73"/>
    <n v="-31199.719000000001"/>
    <n v="4699.7290000000003"/>
    <n v="43953.078999999998"/>
    <s v="Elm Company"/>
    <s v="Manar Sultan"/>
    <s v="ELM COMPANY SAUDI JOINT STOCK COMPA ADVANCE PAYMENT"/>
    <m/>
    <m/>
    <m/>
    <m/>
    <m/>
    <m/>
    <m/>
    <m/>
    <m/>
    <m/>
    <m/>
    <m/>
    <m/>
    <m/>
    <m/>
    <m/>
    <m/>
    <m/>
    <m/>
    <m/>
    <m/>
    <m/>
    <m/>
    <m/>
    <m/>
    <m/>
    <m/>
    <m/>
    <m/>
    <m/>
    <m/>
    <m/>
    <m/>
    <m/>
    <m/>
    <m/>
    <m/>
    <m/>
    <m/>
    <m/>
    <m/>
    <m/>
    <m/>
    <m/>
    <m/>
    <m/>
    <m/>
    <m/>
    <m/>
    <m/>
    <m/>
    <m/>
    <m/>
    <m/>
    <m/>
    <m/>
  </r>
  <r>
    <s v="382 - Middle East 2"/>
    <d v="2026-04-29T00:00:00"/>
    <s v="APRIL"/>
    <n v="2026"/>
    <x v="3"/>
    <s v="Deposited"/>
    <s v="PMT-S114-7034"/>
    <s v="IN-S114-408015"/>
    <s v="USD"/>
    <n v="-30956"/>
    <n v="-30791.624"/>
    <n v="4584.8649999999998"/>
    <n v="-4584.8649999999998"/>
    <s v="Fann Atheer LilDhi'ayah wal-I'lan (INVENU)"/>
    <s v="Manar Sultan"/>
    <s v="1/INVENU COMPANY LAST PAYMENT FOR MELTWATER SETTLEME NT OF BILL FX USD 30956.00 AT 3.6530000 219244593 /TMS/2026-04-29T04:17:27 GMT/MID/3.6731200"/>
    <m/>
    <m/>
    <m/>
    <m/>
    <m/>
    <m/>
    <m/>
    <m/>
    <m/>
    <m/>
    <m/>
    <m/>
    <m/>
    <m/>
    <m/>
    <m/>
    <m/>
    <m/>
    <m/>
    <m/>
    <m/>
    <m/>
    <m/>
    <m/>
    <m/>
    <m/>
    <m/>
    <m/>
    <m/>
    <m/>
    <m/>
    <m/>
    <m/>
    <m/>
    <m/>
    <m/>
    <m/>
    <m/>
    <m/>
    <m/>
    <m/>
    <m/>
    <m/>
    <m/>
    <m/>
    <m/>
    <m/>
    <m/>
    <m/>
    <m/>
    <m/>
    <m/>
    <m/>
    <m/>
    <m/>
    <m/>
  </r>
  <r>
    <s v="382 - Middle East 2"/>
    <d v="2026-03-17T00:00:00"/>
    <s v="MARCH"/>
    <n v="2026"/>
    <x v="3"/>
    <s v="Deposited"/>
    <s v="PMT-S114-6931"/>
    <s v="IN-S114-407909"/>
    <s v="USD"/>
    <n v="-43656.67"/>
    <n v="-43424.853999999999"/>
    <n v="4333.5370000000003"/>
    <n v="-4333.5370000000003"/>
    <s v="Gulf Air B.S.C"/>
    <s v="Manar Sultan"/>
    <s v="1/GULF AIR B.S.C. (C) /URI/INV NO.IN-S114-407909///ROC/AT S OF 26/03/16 FX USD 43656.67 AT 3.6530000 217013037 /TMS/2026-03-17T04:17:18 GMT/MID/3.6732000"/>
    <m/>
    <m/>
    <m/>
    <m/>
    <m/>
    <m/>
    <m/>
    <m/>
    <m/>
    <m/>
    <m/>
    <m/>
    <m/>
    <m/>
    <m/>
    <m/>
    <m/>
    <m/>
    <m/>
    <m/>
    <m/>
    <m/>
    <m/>
    <m/>
    <m/>
    <m/>
    <m/>
    <m/>
    <m/>
    <m/>
    <m/>
    <m/>
    <m/>
    <m/>
    <m/>
    <m/>
    <m/>
    <m/>
    <m/>
    <m/>
    <m/>
    <m/>
    <m/>
    <m/>
    <m/>
    <m/>
    <m/>
    <m/>
    <m/>
    <m/>
    <m/>
    <m/>
    <m/>
    <m/>
    <m/>
    <m/>
  </r>
  <r>
    <s v="382 - Middle East 2"/>
    <d v="2026-03-03T00:00:00"/>
    <s v="MARCH"/>
    <n v="2026"/>
    <x v="3"/>
    <s v="Deposited"/>
    <s v="PMT-S114-6917"/>
    <s v=""/>
    <s v="AED"/>
    <n v="-14721.59"/>
    <n v="-4008.6010000000001"/>
    <n v="4008.6010000000001"/>
    <n v="-318643.51400000002"/>
    <s v="DUMMY CUSTOMER_CASHAPPS 382 - Middle East 2"/>
    <s v="Manar Sultan"/>
    <s v="GAE1003276 0303205735000007 SWIFT NTRF 0303205735000007"/>
    <m/>
    <m/>
    <m/>
    <m/>
    <m/>
    <m/>
    <m/>
    <m/>
    <m/>
    <m/>
    <m/>
    <m/>
    <m/>
    <m/>
    <m/>
    <m/>
    <m/>
    <m/>
    <m/>
    <m/>
    <m/>
    <m/>
    <m/>
    <m/>
    <m/>
    <m/>
    <m/>
    <m/>
    <m/>
    <m/>
    <m/>
    <m/>
    <m/>
    <m/>
    <m/>
    <m/>
    <m/>
    <m/>
    <m/>
    <m/>
    <m/>
    <m/>
    <m/>
    <m/>
    <m/>
    <m/>
    <m/>
    <m/>
    <m/>
    <m/>
    <m/>
    <m/>
    <m/>
    <m/>
    <m/>
    <m/>
  </r>
  <r>
    <s v="382 - Middle East 2"/>
    <d v="2024-12-04T00:00:00"/>
    <s v="DECEMBER"/>
    <n v="2024"/>
    <x v="3"/>
    <s v="Deposited"/>
    <s v="PMT-S114-6252"/>
    <s v=""/>
    <s v="AED"/>
    <n v="-14720"/>
    <n v="-4008.1680000000001"/>
    <n v="4008.1680000000001"/>
    <n v="-318643.51400000002"/>
    <s v="DUMMY CUSTOMER_CASHAPPS 382 - Middle East 2"/>
    <s v="Manar Sultan"/>
    <s v="NONREF MDGDUB303363"/>
    <m/>
    <m/>
    <m/>
    <m/>
    <m/>
    <m/>
    <m/>
    <m/>
    <m/>
    <m/>
    <m/>
    <m/>
    <m/>
    <m/>
    <m/>
    <m/>
    <m/>
    <m/>
    <m/>
    <m/>
    <m/>
    <m/>
    <m/>
    <m/>
    <m/>
    <m/>
    <m/>
    <m/>
    <m/>
    <m/>
    <m/>
    <m/>
    <m/>
    <m/>
    <m/>
    <m/>
    <m/>
    <m/>
    <m/>
    <m/>
    <m/>
    <m/>
    <m/>
    <m/>
    <m/>
    <m/>
    <m/>
    <m/>
    <m/>
    <m/>
    <m/>
    <m/>
    <m/>
    <m/>
    <m/>
    <m/>
  </r>
  <r>
    <s v="382 - Middle East 2"/>
    <d v="2026-02-05T00:00:00"/>
    <s v="FEBRUARY"/>
    <n v="2026"/>
    <x v="3"/>
    <s v="Deposited"/>
    <s v="PMT-S114-6883"/>
    <s v="IN-S114-407858"/>
    <s v="USD"/>
    <n v="-40000"/>
    <n v="-39787.599000000002"/>
    <n v="3978.76"/>
    <n v="-4346.7950000000001"/>
    <s v="Alizz Islamic Bank SAOC"/>
    <s v="Manar Sultan"/>
    <s v="ALIZZ ISLAMIC BANK GDS VENDOR PAYMENT IN-S114-407858 FX USD 40000.00 AT 3.6530000 215325849/TMS/2026-02-05T09:43:44 GMT/MID/3.6730450"/>
    <m/>
    <m/>
    <m/>
    <m/>
    <m/>
    <m/>
    <m/>
    <m/>
    <m/>
    <m/>
    <m/>
    <m/>
    <m/>
    <m/>
    <m/>
    <m/>
    <m/>
    <m/>
    <m/>
    <m/>
    <m/>
    <m/>
    <m/>
    <m/>
    <m/>
    <m/>
    <m/>
    <m/>
    <m/>
    <m/>
    <m/>
    <m/>
    <m/>
    <m/>
    <m/>
    <m/>
    <m/>
    <m/>
    <m/>
    <m/>
    <m/>
    <m/>
    <m/>
    <m/>
    <m/>
    <m/>
    <m/>
    <m/>
    <m/>
    <m/>
    <m/>
    <m/>
    <m/>
    <m/>
    <m/>
    <m/>
  </r>
  <r>
    <s v="382 - Middle East 2"/>
    <d v="2026-03-05T00:00:00"/>
    <s v="MARCH"/>
    <n v="2026"/>
    <x v="3"/>
    <s v="Deposited"/>
    <s v="PMT-S114-6923"/>
    <s v="IN-S114-408003"/>
    <s v="USD"/>
    <n v="-18519.400000000001"/>
    <n v="-18421.062000000002"/>
    <n v="2754.6950000000002"/>
    <n v="-2754.6950000000002"/>
    <s v="Keeta Technologies Arabia Limited"/>
    <s v="Manar Sultan"/>
    <s v="&quot;KEETA TECHNOLOGIES ARABIA LIMITED BUSINESS RELATED PAYMENT PAYO202603 04000309 FX USD 18519.40 AT 3.6530000 216519287 /TMS/2026-03-05T04:16:52 GMT/MID/3.6731000&quot;"/>
    <m/>
    <m/>
    <m/>
    <m/>
    <m/>
    <m/>
    <m/>
    <m/>
    <m/>
    <m/>
    <m/>
    <m/>
    <m/>
    <m/>
    <m/>
    <m/>
    <m/>
    <m/>
    <m/>
    <m/>
    <m/>
    <m/>
    <m/>
    <m/>
    <m/>
    <m/>
    <m/>
    <m/>
    <m/>
    <m/>
    <m/>
    <m/>
    <m/>
    <m/>
    <m/>
    <m/>
    <m/>
    <m/>
    <m/>
    <m/>
    <m/>
    <m/>
    <m/>
    <m/>
    <m/>
    <m/>
    <m/>
    <m/>
    <m/>
    <m/>
    <m/>
    <m/>
    <m/>
    <m/>
    <m/>
    <m/>
  </r>
  <r>
    <s v="382 - Middle East 2"/>
    <d v="2026-01-02T00:00:00"/>
    <s v="JANUARY"/>
    <n v="2026"/>
    <x v="3"/>
    <s v="Deposited"/>
    <s v="PMT-S114-6825"/>
    <s v=""/>
    <s v="AED"/>
    <n v="-6615"/>
    <n v="-1801.2249999999999"/>
    <n v="1801.2249999999999"/>
    <n v="-318643.51400000002"/>
    <s v="DUMMY CUSTOMER_CASHAPPS 382 - Middle East 2"/>
    <s v="Manar Sultan"/>
    <s v="GAE1002334 0102201217000001 SWIFT NTRF 0102201217000001"/>
    <m/>
    <m/>
    <m/>
    <m/>
    <m/>
    <m/>
    <m/>
    <m/>
    <m/>
    <m/>
    <m/>
    <m/>
    <m/>
    <m/>
    <m/>
    <m/>
    <m/>
    <m/>
    <m/>
    <m/>
    <m/>
    <m/>
    <m/>
    <m/>
    <m/>
    <m/>
    <m/>
    <m/>
    <m/>
    <m/>
    <m/>
    <m/>
    <m/>
    <m/>
    <m/>
    <m/>
    <m/>
    <m/>
    <m/>
    <m/>
    <m/>
    <m/>
    <m/>
    <m/>
    <m/>
    <m/>
    <m/>
    <m/>
    <m/>
    <m/>
    <m/>
    <m/>
    <m/>
    <m/>
    <m/>
    <m/>
  </r>
  <r>
    <s v="382 - Middle East 2"/>
    <d v="2026-03-03T00:00:00"/>
    <s v="MARCH"/>
    <n v="2026"/>
    <x v="3"/>
    <s v="Deposited"/>
    <s v="PMT-S114-6916"/>
    <s v="IN-S114-407951"/>
    <s v="USD"/>
    <n v="-12131.48"/>
    <n v="-12067.063"/>
    <n v="1535.047"/>
    <n v="-1535.047"/>
    <s v="The King Faisal Foundation"/>
    <s v="Manar Sultan"/>
    <s v="KING FAISAL FOUNDATION INVOICE SETTLEMENT INVOICE NO. S114 .407951 FX USD 12131.48 AT 3.6530000 216430242 /TMS/2026-03-03T04:16:52 GMT/MID/3.6732200"/>
    <m/>
    <m/>
    <m/>
    <m/>
    <m/>
    <m/>
    <m/>
    <m/>
    <m/>
    <m/>
    <m/>
    <m/>
    <m/>
    <m/>
    <m/>
    <m/>
    <m/>
    <m/>
    <m/>
    <m/>
    <m/>
    <m/>
    <m/>
    <m/>
    <m/>
    <m/>
    <m/>
    <m/>
    <m/>
    <m/>
    <m/>
    <m/>
    <m/>
    <m/>
    <m/>
    <m/>
    <m/>
    <m/>
    <m/>
    <m/>
    <m/>
    <m/>
    <m/>
    <m/>
    <m/>
    <m/>
    <m/>
    <m/>
    <m/>
    <m/>
    <m/>
    <m/>
    <m/>
    <m/>
    <m/>
    <m/>
  </r>
  <r>
    <s v="382 - Middle East 2"/>
    <d v="2022-08-22T00:00:00"/>
    <s v="AUGUST"/>
    <n v="2022"/>
    <x v="3"/>
    <s v="Deposited"/>
    <s v="PMT-S114-5057"/>
    <s v=""/>
    <s v="USD"/>
    <n v="-1010"/>
    <n v="-1168.9770000000001"/>
    <n v="1168.9770000000001"/>
    <n v="-1168.9770000000001"/>
    <s v="King Abdullah University of Science &amp; Technology (KAUST)"/>
    <s v="Manar Sultan"/>
    <s v="To re-record 1010 originally recorded as 1200"/>
    <m/>
    <m/>
    <m/>
    <m/>
    <m/>
    <m/>
    <m/>
    <m/>
    <m/>
    <m/>
    <m/>
    <m/>
    <m/>
    <m/>
    <m/>
    <m/>
    <m/>
    <m/>
    <m/>
    <m/>
    <m/>
    <m/>
    <m/>
    <m/>
    <m/>
    <m/>
    <m/>
    <m/>
    <m/>
    <m/>
    <m/>
    <m/>
    <m/>
    <m/>
    <m/>
    <m/>
    <m/>
    <m/>
    <m/>
    <m/>
    <m/>
    <m/>
    <m/>
    <m/>
    <m/>
    <m/>
    <m/>
    <m/>
    <m/>
    <m/>
    <m/>
    <m/>
    <m/>
    <m/>
    <m/>
    <m/>
  </r>
  <r>
    <s v="382 - Middle East 2"/>
    <d v="2026-02-06T00:00:00"/>
    <s v="FEBRUARY"/>
    <n v="2026"/>
    <x v="3"/>
    <s v="Deposited"/>
    <s v="PMT-S114-6887"/>
    <s v="IN-S114-407931"/>
    <s v="USD"/>
    <n v="-7385.29"/>
    <n v="-7346.0730000000003"/>
    <n v="1059.6320000000001"/>
    <n v="-1059.6320000000001"/>
    <s v="albilad althaniah Company For Tourism"/>
    <s v="Manar Sultan"/>
    <s v="ALBILAD ALTHANIAH COMPANY SETTLEMENT OF BILLS IN S114 407931 FX USD 7385.29 AT 3.6530000 215357861/TMS/2026-02-06T04:16:44 GMT/MID/3.6730450"/>
    <m/>
    <m/>
    <m/>
    <m/>
    <m/>
    <m/>
    <m/>
    <m/>
    <m/>
    <m/>
    <m/>
    <m/>
    <m/>
    <m/>
    <m/>
    <m/>
    <m/>
    <m/>
    <m/>
    <m/>
    <m/>
    <m/>
    <m/>
    <m/>
    <m/>
    <m/>
    <m/>
    <m/>
    <m/>
    <m/>
    <m/>
    <m/>
    <m/>
    <m/>
    <m/>
    <m/>
    <m/>
    <m/>
    <m/>
    <m/>
    <m/>
    <m/>
    <m/>
    <m/>
    <m/>
    <m/>
    <m/>
    <m/>
    <m/>
    <m/>
    <m/>
    <m/>
    <m/>
    <m/>
    <m/>
    <m/>
  </r>
  <r>
    <s v="382 - Middle East 2"/>
    <d v="2026-03-09T00:00:00"/>
    <s v="MARCH"/>
    <n v="2026"/>
    <x v="3"/>
    <s v="Deposited"/>
    <s v="PMT-S114-6925"/>
    <s v="IN-S114-407930"/>
    <s v="USD"/>
    <n v="-5986.29"/>
    <n v="-5954.5060000000003"/>
    <n v="782.11599999999999"/>
    <n v="48970.81"/>
    <s v="Tact Digital Marketing Company"/>
    <s v="Manar Sultan"/>
    <s v="TACT DIGITAL MARKETING CO 3112 TARE /REF/Purchase/expenses/Utilities in v 407 930"/>
    <m/>
    <m/>
    <m/>
    <m/>
    <m/>
    <m/>
    <m/>
    <m/>
    <m/>
    <m/>
    <m/>
    <m/>
    <m/>
    <m/>
    <m/>
    <m/>
    <m/>
    <m/>
    <m/>
    <m/>
    <m/>
    <m/>
    <m/>
    <m/>
    <m/>
    <m/>
    <m/>
    <m/>
    <m/>
    <m/>
    <m/>
    <m/>
    <m/>
    <m/>
    <m/>
    <m/>
    <m/>
    <m/>
    <m/>
    <m/>
    <m/>
    <m/>
    <m/>
    <m/>
    <m/>
    <m/>
    <m/>
    <m/>
    <m/>
    <m/>
    <m/>
    <m/>
    <m/>
    <m/>
    <m/>
    <m/>
  </r>
  <r>
    <s v="382 - Middle East 2"/>
    <d v="2026-04-15T00:00:00"/>
    <s v="APRIL"/>
    <n v="2026"/>
    <x v="3"/>
    <s v="Deposited"/>
    <s v="PMT-S114-6999"/>
    <s v="IN-S114-408098"/>
    <s v="USD"/>
    <n v="-3700"/>
    <n v="-3680.3530000000001"/>
    <n v="368.03500000000003"/>
    <n v="-4346.7950000000001"/>
    <s v="Alizz Islamic Bank SAOC"/>
    <s v="Manar Sultan"/>
    <s v="ALIZZ ISLAMIC BANK VENDOR PAYMENT IN-S114-408098 FX USD 3700.00 AT 3.6530000 218592617/TMS/2026-04-15T12:18:30 GMT/MID/3.6731200"/>
    <m/>
    <m/>
    <m/>
    <m/>
    <m/>
    <m/>
    <m/>
    <m/>
    <m/>
    <m/>
    <m/>
    <m/>
    <m/>
    <m/>
    <m/>
    <m/>
    <m/>
    <m/>
    <m/>
    <m/>
    <m/>
    <m/>
    <m/>
    <m/>
    <m/>
    <m/>
    <m/>
    <m/>
    <m/>
    <m/>
    <m/>
    <m/>
    <m/>
    <m/>
    <m/>
    <m/>
    <m/>
    <m/>
    <m/>
    <m/>
    <m/>
    <m/>
    <m/>
    <m/>
    <m/>
    <m/>
    <m/>
    <m/>
    <m/>
    <m/>
    <m/>
    <m/>
    <m/>
    <m/>
    <m/>
    <m/>
  </r>
  <r>
    <s v="382 - Middle East 2"/>
    <d v="2026-01-07T00:00:00"/>
    <s v="JANUARY"/>
    <n v="2026"/>
    <x v="3"/>
    <s v="Deposited"/>
    <s v="PMT-S114-6836"/>
    <s v="IN-S114-407671"/>
    <s v="AED"/>
    <n v="-119420.61"/>
    <n v="-32517.516"/>
    <n v="323.35500000000002"/>
    <n v="-323.35500000000002"/>
    <s v="BOOPIN LIMITED"/>
    <s v="Manar Sultan"/>
    <s v="YY BOOPIN LIMITED FD GROUND FLOOR ACCELERATOR BLDNG MASDAR CITY AUH Abu Dhabi UAE Meltwater Middle East 2 FZ LLC DUBAI UNITED ARAB EMIRATES UNITED A RAB EMIRATES AE /REF/PMT inv407671 BOOPIN LIMITED/REF/PMT inv407671 AER070162Y0OWZUQ SWIFT S103 AER070162Y0OWZUQ"/>
    <m/>
    <m/>
    <m/>
    <m/>
    <m/>
    <m/>
    <m/>
    <m/>
    <m/>
    <m/>
    <m/>
    <m/>
    <m/>
    <m/>
    <m/>
    <m/>
    <m/>
    <m/>
    <m/>
    <m/>
    <m/>
    <m/>
    <m/>
    <m/>
    <m/>
    <m/>
    <m/>
    <m/>
    <m/>
    <m/>
    <m/>
    <m/>
    <m/>
    <m/>
    <m/>
    <m/>
    <m/>
    <m/>
    <m/>
    <m/>
    <m/>
    <m/>
    <m/>
    <m/>
    <m/>
    <m/>
    <m/>
    <m/>
    <m/>
    <m/>
    <m/>
    <m/>
    <m/>
    <m/>
    <m/>
    <m/>
  </r>
  <r>
    <s v="382 - Middle East 2"/>
    <d v="2025-03-26T00:00:00"/>
    <s v="MARCH"/>
    <n v="2025"/>
    <x v="3"/>
    <s v="Deposited"/>
    <s v="PMT-S114-6387"/>
    <s v="IN-S114-407439"/>
    <s v="AED"/>
    <n v="-50690.85"/>
    <n v="-13802.814"/>
    <n v="3.0000000000000001E-3"/>
    <n v="-3.0000000000000001E-3"/>
    <s v="Department of Culture and Tourism Abu Dhabi"/>
    <s v="Manar Sultan"/>
    <s v=""/>
    <m/>
    <m/>
    <m/>
    <m/>
    <m/>
    <m/>
    <m/>
    <m/>
    <m/>
    <m/>
    <m/>
    <m/>
    <m/>
    <m/>
    <m/>
    <m/>
    <m/>
    <m/>
    <m/>
    <m/>
    <m/>
    <m/>
    <m/>
    <m/>
    <m/>
    <m/>
    <m/>
    <m/>
    <m/>
    <m/>
    <m/>
    <m/>
    <m/>
    <m/>
    <m/>
    <m/>
    <m/>
    <m/>
    <m/>
    <m/>
    <m/>
    <m/>
    <m/>
    <m/>
    <m/>
    <m/>
    <m/>
    <m/>
    <m/>
    <m/>
    <m/>
    <m/>
    <m/>
    <m/>
    <m/>
    <m/>
  </r>
  <r>
    <s v="391 - South Africa"/>
    <d v="2023-12-06T00:00:00"/>
    <s v="DECEMBER"/>
    <n v="2023"/>
    <x v="3"/>
    <s v="Deposited"/>
    <s v="PMT-S144-10233"/>
    <s v=""/>
    <s v="ZAR"/>
    <n v="-71801"/>
    <n v="-4279.8999999999996"/>
    <n v="4279.8999999999996"/>
    <n v="-7507.7089999999998"/>
    <s v="DUMMY CUSTOMER_CASHAPPS 391 - South Africa"/>
    <s v="Jan Sutherland"/>
    <s v="ROF AS UNABE TO APPLY TT JOH3032WYMNYN FX USD 3878.00 AT 18.5149550"/>
    <m/>
    <m/>
    <m/>
    <m/>
    <m/>
    <m/>
    <m/>
    <m/>
    <m/>
    <m/>
    <m/>
    <m/>
    <m/>
    <m/>
    <m/>
    <m/>
    <m/>
    <m/>
    <m/>
    <m/>
    <m/>
    <m/>
    <m/>
    <m/>
    <m/>
    <m/>
    <m/>
    <m/>
    <m/>
    <m/>
    <m/>
    <m/>
    <m/>
    <m/>
    <m/>
    <m/>
    <m/>
    <m/>
    <m/>
    <m/>
    <m/>
    <m/>
    <m/>
    <m/>
    <m/>
    <m/>
    <m/>
    <m/>
    <m/>
    <m/>
    <m/>
    <m/>
    <m/>
    <m/>
    <m/>
    <m/>
  </r>
  <r>
    <s v="391 - South Africa"/>
    <d v="2024-01-15T00:00:00"/>
    <s v="JANUARY"/>
    <n v="2024"/>
    <x v="3"/>
    <s v="Deposited"/>
    <s v="PMT-S144-10307"/>
    <s v=""/>
    <s v="ZAR"/>
    <n v="-47311.8"/>
    <n v="-2820.152"/>
    <n v="2820.152"/>
    <n v="-7507.7089999999998"/>
    <s v="DUMMY CUSTOMER_CASHAPPS 391 - South Africa"/>
    <s v="Jan Sutherland"/>
    <s v="INYOSIED6 SURRENDER ZAHNET  3728243 BSV Standard"/>
    <m/>
    <m/>
    <m/>
    <m/>
    <m/>
    <m/>
    <m/>
    <m/>
    <m/>
    <m/>
    <m/>
    <m/>
    <m/>
    <m/>
    <m/>
    <m/>
    <m/>
    <m/>
    <m/>
    <m/>
    <m/>
    <m/>
    <m/>
    <m/>
    <m/>
    <m/>
    <m/>
    <m/>
    <m/>
    <m/>
    <m/>
    <m/>
    <m/>
    <m/>
    <m/>
    <m/>
    <m/>
    <m/>
    <m/>
    <m/>
    <m/>
    <m/>
    <m/>
    <m/>
    <m/>
    <m/>
    <m/>
    <m/>
    <m/>
    <m/>
    <m/>
    <m/>
    <m/>
    <m/>
    <m/>
    <m/>
  </r>
  <r>
    <s v="391 - South Africa"/>
    <d v="2026-01-16T00:00:00"/>
    <s v="JANUARY"/>
    <n v="2026"/>
    <x v="3"/>
    <s v="Deposited"/>
    <s v="PMT-S144-11772"/>
    <s v="IN-S144-409201"/>
    <s v="ZAR"/>
    <n v="-115000"/>
    <n v="-6854.8969999999999"/>
    <n v="1713.7239999999999"/>
    <n v="-1713.7239999999999"/>
    <s v="All Inn Management"/>
    <s v="Georgia Albutt"/>
    <s v="ALL INN - 409201 ZAHNET  5280217 BSV Standard"/>
    <m/>
    <m/>
    <m/>
    <m/>
    <m/>
    <m/>
    <m/>
    <m/>
    <m/>
    <m/>
    <m/>
    <m/>
    <m/>
    <m/>
    <m/>
    <m/>
    <m/>
    <m/>
    <m/>
    <m/>
    <m/>
    <m/>
    <m/>
    <m/>
    <m/>
    <m/>
    <m/>
    <m/>
    <m/>
    <m/>
    <m/>
    <m/>
    <m/>
    <m/>
    <m/>
    <m/>
    <m/>
    <m/>
    <m/>
    <m/>
    <m/>
    <m/>
    <m/>
    <m/>
    <m/>
    <m/>
    <m/>
    <m/>
    <m/>
    <m/>
    <m/>
    <m/>
    <m/>
    <m/>
    <m/>
    <m/>
  </r>
  <r>
    <s v="391 - South Africa"/>
    <d v="2025-07-31T00:00:00"/>
    <s v="JULY"/>
    <n v="2025"/>
    <x v="3"/>
    <s v="Not Deposited"/>
    <s v="PMT-S144-11484"/>
    <s v="IN-S144-409223"/>
    <s v="ZAR"/>
    <n v="-74750"/>
    <n v="-4455.683"/>
    <n v="1370.979"/>
    <n v="171.37200000000001"/>
    <s v="PARAMOUNT INTERNATIONAL PTY LTD"/>
    <s v="Georgia Albutt-392"/>
    <s v="Moved from PMT-S144-11402"/>
    <m/>
    <m/>
    <m/>
    <m/>
    <m/>
    <m/>
    <m/>
    <m/>
    <m/>
    <m/>
    <m/>
    <m/>
    <m/>
    <m/>
    <m/>
    <m/>
    <m/>
    <m/>
    <m/>
    <m/>
    <m/>
    <m/>
    <m/>
    <m/>
    <m/>
    <m/>
    <m/>
    <m/>
    <m/>
    <m/>
    <m/>
    <m/>
    <m/>
    <m/>
    <m/>
    <m/>
    <m/>
    <m/>
    <m/>
    <m/>
    <m/>
    <m/>
    <m/>
    <m/>
    <m/>
    <m/>
    <m/>
    <m/>
    <m/>
    <m/>
    <m/>
    <m/>
    <m/>
    <m/>
    <m/>
    <m/>
  </r>
  <r>
    <s v="391 - South Africa"/>
    <d v="2022-05-04T00:00:00"/>
    <s v="MAY"/>
    <n v="2022"/>
    <x v="3"/>
    <s v="Deposited"/>
    <s v="PMT-S144-8824"/>
    <s v="IN-S144-405792"/>
    <s v="ZAR"/>
    <n v="-10000"/>
    <n v="-596.07799999999997"/>
    <n v="536.47"/>
    <n v="-1351.905"/>
    <s v="David Tlale"/>
    <s v="Georgia Albutt-392"/>
    <s v="DAVID TLALE PTY LTD ZAHNET  2928763 BSV Standard"/>
    <m/>
    <m/>
    <m/>
    <m/>
    <m/>
    <m/>
    <m/>
    <m/>
    <m/>
    <m/>
    <m/>
    <m/>
    <m/>
    <m/>
    <m/>
    <m/>
    <m/>
    <m/>
    <m/>
    <m/>
    <m/>
    <m/>
    <m/>
    <m/>
    <m/>
    <m/>
    <m/>
    <m/>
    <m/>
    <m/>
    <m/>
    <m/>
    <m/>
    <m/>
    <m/>
    <m/>
    <m/>
    <m/>
    <m/>
    <m/>
    <m/>
    <m/>
    <m/>
    <m/>
    <m/>
    <m/>
    <m/>
    <m/>
    <m/>
    <m/>
    <m/>
    <m/>
    <m/>
    <m/>
    <m/>
    <m/>
  </r>
  <r>
    <s v="391 - South Africa"/>
    <d v="2024-10-31T00:00:00"/>
    <s v="OCTOBER"/>
    <n v="2024"/>
    <x v="3"/>
    <s v="Deposited"/>
    <s v="PMT-S144-11015"/>
    <s v="IN-S144-408707"/>
    <s v="ZAR"/>
    <n v="-65463.75"/>
    <n v="-3902.15"/>
    <n v="474.702"/>
    <n v="-474.702"/>
    <s v="Blou Bulle Maatskappy (EDMS) bpk"/>
    <s v="Georgia Albutt-392"/>
    <s v="CASHFOCUS BLUE BULLS CO ZAHNET  4226371 BSV Standard"/>
    <m/>
    <m/>
    <m/>
    <m/>
    <m/>
    <m/>
    <m/>
    <m/>
    <m/>
    <m/>
    <m/>
    <m/>
    <m/>
    <m/>
    <m/>
    <m/>
    <m/>
    <m/>
    <m/>
    <m/>
    <m/>
    <m/>
    <m/>
    <m/>
    <m/>
    <m/>
    <m/>
    <m/>
    <m/>
    <m/>
    <m/>
    <m/>
    <m/>
    <m/>
    <m/>
    <m/>
    <m/>
    <m/>
    <m/>
    <m/>
    <m/>
    <m/>
    <m/>
    <m/>
    <m/>
    <m/>
    <m/>
    <m/>
    <m/>
    <m/>
    <m/>
    <m/>
    <m/>
    <m/>
    <m/>
    <m/>
  </r>
  <r>
    <s v="391 - South Africa"/>
    <d v="2026-04-16T00:00:00"/>
    <s v="APRIL"/>
    <n v="2026"/>
    <x v="3"/>
    <s v="Deposited"/>
    <s v="PMT-S144-11906"/>
    <s v=""/>
    <s v="ZAR"/>
    <n v="-6838.99"/>
    <n v="-407.65699999999998"/>
    <n v="407.65699999999998"/>
    <n v="-7507.7089999999998"/>
    <s v="DUMMY CUSTOMER_CASHAPPS 391 - South Africa"/>
    <s v="Jan Sutherland"/>
    <s v="PAYMASTER PEOPLE SOLUTIONS PTY"/>
    <m/>
    <m/>
    <m/>
    <m/>
    <m/>
    <m/>
    <m/>
    <m/>
    <m/>
    <m/>
    <m/>
    <m/>
    <m/>
    <m/>
    <m/>
    <m/>
    <m/>
    <m/>
    <m/>
    <m/>
    <m/>
    <m/>
    <m/>
    <m/>
    <m/>
    <m/>
    <m/>
    <m/>
    <m/>
    <m/>
    <m/>
    <m/>
    <m/>
    <m/>
    <m/>
    <m/>
    <m/>
    <m/>
    <m/>
    <m/>
    <m/>
    <m/>
    <m/>
    <m/>
    <m/>
    <m/>
    <m/>
    <m/>
    <m/>
    <m/>
    <m/>
    <m/>
    <m/>
    <m/>
    <m/>
    <m/>
  </r>
  <r>
    <s v="391 - South Africa"/>
    <d v="2022-07-18T00:00:00"/>
    <s v="JULY"/>
    <n v="2022"/>
    <x v="3"/>
    <s v="Deposited"/>
    <s v="PMT-S144-9003"/>
    <s v=""/>
    <s v="ZAR"/>
    <n v="-5000"/>
    <n v="-298.03899999999999"/>
    <n v="298.03899999999999"/>
    <n v="-1351.905"/>
    <s v="David Tlale"/>
    <s v="Georgia Albutt-392"/>
    <s v="DAVID TLALE PTY LTD ZAHNET  3022778 BSV Standard"/>
    <m/>
    <m/>
    <m/>
    <m/>
    <m/>
    <m/>
    <m/>
    <m/>
    <m/>
    <m/>
    <m/>
    <m/>
    <m/>
    <m/>
    <m/>
    <m/>
    <m/>
    <m/>
    <m/>
    <m/>
    <m/>
    <m/>
    <m/>
    <m/>
    <m/>
    <m/>
    <m/>
    <m/>
    <m/>
    <m/>
    <m/>
    <m/>
    <m/>
    <m/>
    <m/>
    <m/>
    <m/>
    <m/>
    <m/>
    <m/>
    <m/>
    <m/>
    <m/>
    <m/>
    <m/>
    <m/>
    <m/>
    <m/>
    <m/>
    <m/>
    <m/>
    <m/>
    <m/>
    <m/>
    <m/>
    <m/>
  </r>
  <r>
    <s v="391 - South Africa"/>
    <d v="2022-08-29T00:00:00"/>
    <s v="AUGUST"/>
    <n v="2022"/>
    <x v="3"/>
    <s v="Deposited"/>
    <s v="PMT-S144-9128"/>
    <s v=""/>
    <s v="ZAR"/>
    <n v="-4680"/>
    <n v="-278.96499999999997"/>
    <n v="278.96499999999997"/>
    <n v="-1351.905"/>
    <s v="David Tlale"/>
    <s v="Georgia Albutt-392"/>
    <s v="DAVID TLALE PTY LTD ZAHNET  3076783 BSV Standard"/>
    <m/>
    <m/>
    <m/>
    <m/>
    <m/>
    <m/>
    <m/>
    <m/>
    <m/>
    <m/>
    <m/>
    <m/>
    <m/>
    <m/>
    <m/>
    <m/>
    <m/>
    <m/>
    <m/>
    <m/>
    <m/>
    <m/>
    <m/>
    <m/>
    <m/>
    <m/>
    <m/>
    <m/>
    <m/>
    <m/>
    <m/>
    <m/>
    <m/>
    <m/>
    <m/>
    <m/>
    <m/>
    <m/>
    <m/>
    <m/>
    <m/>
    <m/>
    <m/>
    <m/>
    <m/>
    <m/>
    <m/>
    <m/>
    <m/>
    <m/>
    <m/>
    <m/>
    <m/>
    <m/>
    <m/>
    <m/>
  </r>
  <r>
    <s v="391 - South Africa"/>
    <d v="2022-08-23T00:00:00"/>
    <s v="AUGUST"/>
    <n v="2022"/>
    <x v="3"/>
    <s v="Deposited"/>
    <s v="PMT-S144-9109"/>
    <s v=""/>
    <s v="ZAR"/>
    <n v="-4000"/>
    <n v="-238.43100000000001"/>
    <n v="238.43100000000001"/>
    <n v="-1351.905"/>
    <s v="David Tlale"/>
    <s v="Georgia Albutt-392"/>
    <s v="DAVID TLALE PTY LTD ZAHNET  3069699 BSV Standard"/>
    <m/>
    <m/>
    <m/>
    <m/>
    <m/>
    <m/>
    <m/>
    <m/>
    <m/>
    <m/>
    <m/>
    <m/>
    <m/>
    <m/>
    <m/>
    <m/>
    <m/>
    <m/>
    <m/>
    <m/>
    <m/>
    <m/>
    <m/>
    <m/>
    <m/>
    <m/>
    <m/>
    <m/>
    <m/>
    <m/>
    <m/>
    <m/>
    <m/>
    <m/>
    <m/>
    <m/>
    <m/>
    <m/>
    <m/>
    <m/>
    <m/>
    <m/>
    <m/>
    <m/>
    <m/>
    <m/>
    <m/>
    <m/>
    <m/>
    <m/>
    <m/>
    <m/>
    <m/>
    <m/>
    <m/>
    <m/>
  </r>
  <r>
    <s v="401 - India"/>
    <d v="2025-09-02T00:00:00"/>
    <s v="SEPTEMBER"/>
    <n v="2025"/>
    <x v="3"/>
    <s v="Deposited"/>
    <s v="PMT-S117-12590"/>
    <s v=""/>
    <s v="INR"/>
    <n v="-1167188.3999999999"/>
    <n v="-12278.589"/>
    <n v="12278.589"/>
    <n v="-12278.589"/>
    <s v="Kline + Company"/>
    <s v="Prabhat Aggarwal"/>
    <s v="NEFT FROM KLINE INDIA RESEARCH A ND HDFCN52025090245619618 HDFC 0001 2025/09/02 140324 HDFCH00457268120"/>
    <m/>
    <m/>
    <m/>
    <m/>
    <m/>
    <m/>
    <m/>
    <m/>
    <m/>
    <m/>
    <m/>
    <m/>
    <m/>
    <m/>
    <m/>
    <m/>
    <m/>
    <m/>
    <m/>
    <m/>
    <m/>
    <m/>
    <m/>
    <m/>
    <m/>
    <m/>
    <m/>
    <m/>
    <m/>
    <m/>
    <m/>
    <m/>
    <m/>
    <m/>
    <m/>
    <m/>
    <m/>
    <m/>
    <m/>
    <m/>
    <m/>
    <m/>
    <m/>
    <m/>
    <m/>
    <m/>
    <m/>
    <m/>
    <m/>
    <m/>
    <m/>
    <m/>
    <m/>
    <m/>
    <m/>
    <m/>
  </r>
  <r>
    <s v="401 - India"/>
    <d v="2026-04-24T00:00:00"/>
    <s v="APRIL"/>
    <n v="2026"/>
    <x v="3"/>
    <s v="Deposited"/>
    <s v="PMT-S117-13150"/>
    <s v=""/>
    <s v="INR"/>
    <n v="-490000"/>
    <n v="-5154.7020000000002"/>
    <n v="5154.7020000000002"/>
    <n v="-18718.503000000001"/>
    <s v="DUMMY CUSTOMER_CASHAPPS 401 - India"/>
    <s v="Prabhat Aggarwal"/>
    <s v="/00060330006652 LOTTEINDIACORPORATIONPRIVATELTD 2026/04/24 183004 HDFC042450066005 HDFCR52026042450066005"/>
    <m/>
    <m/>
    <m/>
    <m/>
    <m/>
    <m/>
    <m/>
    <m/>
    <m/>
    <m/>
    <m/>
    <m/>
    <m/>
    <m/>
    <m/>
    <m/>
    <m/>
    <m/>
    <m/>
    <m/>
    <m/>
    <m/>
    <m/>
    <m/>
    <m/>
    <m/>
    <m/>
    <m/>
    <m/>
    <m/>
    <m/>
    <m/>
    <m/>
    <m/>
    <m/>
    <m/>
    <m/>
    <m/>
    <m/>
    <m/>
    <m/>
    <m/>
    <m/>
    <m/>
    <m/>
    <m/>
    <m/>
    <m/>
    <m/>
    <m/>
    <m/>
    <m/>
    <m/>
    <m/>
    <m/>
    <m/>
  </r>
  <r>
    <s v="401 - India"/>
    <d v="2026-01-08T00:00:00"/>
    <s v="JANUARY"/>
    <n v="2026"/>
    <x v="3"/>
    <s v="Deposited"/>
    <s v="PMT-S117-12894"/>
    <s v=""/>
    <s v="USD"/>
    <n v="-5400"/>
    <n v="-5011.1660000000002"/>
    <n v="5011.1660000000002"/>
    <n v="-5011.1660000000002"/>
    <s v="ForethoughtPR Limited"/>
    <s v="Prabhat Aggarwal"/>
    <s v="FORETHOUGHT PR LIMITED TFR+ /URI/PAYMENT FOR ONLINE NEWS MONITO RING CHARGE,INVOICE NO.: IN- 07826,DATED 15.04.2025 FX USD 5400.00 AT 88.2139975 214209306/TMS/2026-01-08T10:07:37 GMT /MID/89.9340000"/>
    <m/>
    <m/>
    <m/>
    <m/>
    <m/>
    <m/>
    <m/>
    <m/>
    <m/>
    <m/>
    <m/>
    <m/>
    <m/>
    <m/>
    <m/>
    <m/>
    <m/>
    <m/>
    <m/>
    <m/>
    <m/>
    <m/>
    <m/>
    <m/>
    <m/>
    <m/>
    <m/>
    <m/>
    <m/>
    <m/>
    <m/>
    <m/>
    <m/>
    <m/>
    <m/>
    <m/>
    <m/>
    <m/>
    <m/>
    <m/>
    <m/>
    <m/>
    <m/>
    <m/>
    <m/>
    <m/>
    <m/>
    <m/>
    <m/>
    <m/>
    <m/>
    <m/>
    <m/>
    <m/>
    <m/>
    <m/>
  </r>
  <r>
    <s v="401 - India"/>
    <d v="2025-01-29T00:00:00"/>
    <s v="JANUARY"/>
    <n v="2025"/>
    <x v="3"/>
    <s v="Deposited"/>
    <s v="PMT-S117-11920"/>
    <s v=""/>
    <s v="INR"/>
    <n v="-463274"/>
    <n v="-4873.55"/>
    <n v="4873.55"/>
    <n v="-18718.503000000001"/>
    <s v="DUMMY CUSTOMER_CASHAPPS 401 - India"/>
    <s v="Prabhat Aggarwal"/>
    <s v="/054105001095 STAR INDIA PRIVATE LIMITED 2025/01/29 185416 ICIC012907533186 ICICR22025012907533186"/>
    <m/>
    <m/>
    <m/>
    <m/>
    <m/>
    <m/>
    <m/>
    <m/>
    <m/>
    <m/>
    <m/>
    <m/>
    <m/>
    <m/>
    <m/>
    <m/>
    <m/>
    <m/>
    <m/>
    <m/>
    <m/>
    <m/>
    <m/>
    <m/>
    <m/>
    <m/>
    <m/>
    <m/>
    <m/>
    <m/>
    <m/>
    <m/>
    <m/>
    <m/>
    <m/>
    <m/>
    <m/>
    <m/>
    <m/>
    <m/>
    <m/>
    <m/>
    <m/>
    <m/>
    <m/>
    <m/>
    <m/>
    <m/>
    <m/>
    <m/>
    <m/>
    <m/>
    <m/>
    <m/>
    <m/>
    <m/>
  </r>
  <r>
    <s v="401 - India"/>
    <d v="2025-07-21T00:00:00"/>
    <s v="JULY"/>
    <n v="2025"/>
    <x v="3"/>
    <s v="Deposited"/>
    <s v="PMT-S117-12517"/>
    <s v=""/>
    <s v="INR"/>
    <n v="-400000"/>
    <n v="-4207.92"/>
    <n v="4207.92"/>
    <n v="-18718.503000000001"/>
    <s v="DUMMY CUSTOMER_CASHAPPS 401 - India"/>
    <s v="Prabhat Aggarwal"/>
    <s v="NEFT FROM NEFT   INWARD RECEIVED REBI /NEFT/ 2025/07/21 133617"/>
    <m/>
    <m/>
    <m/>
    <m/>
    <m/>
    <m/>
    <m/>
    <m/>
    <m/>
    <m/>
    <m/>
    <m/>
    <m/>
    <m/>
    <m/>
    <m/>
    <m/>
    <m/>
    <m/>
    <m/>
    <m/>
    <m/>
    <m/>
    <m/>
    <m/>
    <m/>
    <m/>
    <m/>
    <m/>
    <m/>
    <m/>
    <m/>
    <m/>
    <m/>
    <m/>
    <m/>
    <m/>
    <m/>
    <m/>
    <m/>
    <m/>
    <m/>
    <m/>
    <m/>
    <m/>
    <m/>
    <m/>
    <m/>
    <m/>
    <m/>
    <m/>
    <m/>
    <m/>
    <m/>
    <m/>
    <m/>
  </r>
  <r>
    <s v="401 - India"/>
    <d v="2026-02-12T00:00:00"/>
    <s v="FEBRUARY"/>
    <n v="2026"/>
    <x v="3"/>
    <s v="Deposited"/>
    <s v="PMT-S117-12994"/>
    <s v=""/>
    <s v="INR"/>
    <n v="-337500"/>
    <n v="-3550.433"/>
    <n v="3550.433"/>
    <n v="-3550.433"/>
    <s v="Ting Works LLP"/>
    <s v="Prabhat Aggarwal"/>
    <s v="NEFT FROM TING WORKS LLP UTIBN62026021221792881 UTIB Meltwater India Pvt Ltd 2026/02/12 113232 AXISP00769058642"/>
    <m/>
    <m/>
    <m/>
    <m/>
    <m/>
    <m/>
    <m/>
    <m/>
    <m/>
    <m/>
    <m/>
    <m/>
    <m/>
    <m/>
    <m/>
    <m/>
    <m/>
    <m/>
    <m/>
    <m/>
    <m/>
    <m/>
    <m/>
    <m/>
    <m/>
    <m/>
    <m/>
    <m/>
    <m/>
    <m/>
    <m/>
    <m/>
    <m/>
    <m/>
    <m/>
    <m/>
    <m/>
    <m/>
    <m/>
    <m/>
    <m/>
    <m/>
    <m/>
    <m/>
    <m/>
    <m/>
    <m/>
    <m/>
    <m/>
    <m/>
    <m/>
    <m/>
    <m/>
    <m/>
    <m/>
    <m/>
  </r>
  <r>
    <s v="401 - India"/>
    <d v="2025-07-18T00:00:00"/>
    <s v="JULY"/>
    <n v="2025"/>
    <x v="3"/>
    <s v="Deposited"/>
    <s v="PMT-S117-12516"/>
    <s v=""/>
    <s v="INR"/>
    <n v="-216270"/>
    <n v="-2275.1170000000002"/>
    <n v="2275.1170000000002"/>
    <n v="13086.978999999999"/>
    <s v="Shemaroo Entertainment Private Limited"/>
    <s v="Prabhat Aggarwal"/>
    <s v="/35159527924 SHEMAROO ENTERTAINMENT LIMITED SHEMAROO ENTERTAINMENT LIMITED 2025/07/18 180641 SBIN071892589584 SBINR12025071892589584"/>
    <m/>
    <m/>
    <m/>
    <m/>
    <m/>
    <m/>
    <m/>
    <m/>
    <m/>
    <m/>
    <m/>
    <m/>
    <m/>
    <m/>
    <m/>
    <m/>
    <m/>
    <m/>
    <m/>
    <m/>
    <m/>
    <m/>
    <m/>
    <m/>
    <m/>
    <m/>
    <m/>
    <m/>
    <m/>
    <m/>
    <m/>
    <m/>
    <m/>
    <m/>
    <m/>
    <m/>
    <m/>
    <m/>
    <m/>
    <m/>
    <m/>
    <m/>
    <m/>
    <m/>
    <m/>
    <m/>
    <m/>
    <m/>
    <m/>
    <m/>
    <m/>
    <m/>
    <m/>
    <m/>
    <m/>
    <m/>
  </r>
  <r>
    <s v="401 - India"/>
    <d v="2025-07-17T00:00:00"/>
    <s v="JULY"/>
    <n v="2025"/>
    <x v="3"/>
    <s v="Deposited"/>
    <s v="PMT-S117-12508"/>
    <s v=""/>
    <s v="INR"/>
    <n v="-216000"/>
    <n v="-2272.277"/>
    <n v="2272.277"/>
    <n v="-1851.4849999999999"/>
    <s v="GENESIS ADVERTISING PRIVATE LIMITED"/>
    <s v="Prabhat Aggarwal"/>
    <s v="/00142000027806 GENESIS ADVERTISING PVT LTD 2025/07/17 181759 HDFC071791824899 HDFCR52025071791824899"/>
    <m/>
    <m/>
    <m/>
    <m/>
    <m/>
    <m/>
    <m/>
    <m/>
    <m/>
    <m/>
    <m/>
    <m/>
    <m/>
    <m/>
    <m/>
    <m/>
    <m/>
    <m/>
    <m/>
    <m/>
    <m/>
    <m/>
    <m/>
    <m/>
    <m/>
    <m/>
    <m/>
    <m/>
    <m/>
    <m/>
    <m/>
    <m/>
    <m/>
    <m/>
    <m/>
    <m/>
    <m/>
    <m/>
    <m/>
    <m/>
    <m/>
    <m/>
    <m/>
    <m/>
    <m/>
    <m/>
    <m/>
    <m/>
    <m/>
    <m/>
    <m/>
    <m/>
    <m/>
    <m/>
    <m/>
    <m/>
  </r>
  <r>
    <s v="401 - India"/>
    <d v="2026-03-13T00:00:00"/>
    <s v="MARCH"/>
    <n v="2026"/>
    <x v="3"/>
    <s v="Deposited"/>
    <s v="PMT-S117-13046"/>
    <s v=""/>
    <s v="INR"/>
    <n v="-177000"/>
    <n v="-1862.0050000000001"/>
    <n v="1862.0050000000001"/>
    <n v="-1862.0050000000001"/>
    <s v="ANJ CREATIONS PRIVATE LIMITED"/>
    <s v="Prabhat Aggarwal"/>
    <s v="NEFT FROM ANJ CREATIONS PRIVATE L IM YESBN12026031305940553 YESB 2603131917130016 ANJ CREATIONS PVT 2026/03/13 210223 YESIG60720261741"/>
    <m/>
    <m/>
    <m/>
    <m/>
    <m/>
    <m/>
    <m/>
    <m/>
    <m/>
    <m/>
    <m/>
    <m/>
    <m/>
    <m/>
    <m/>
    <m/>
    <m/>
    <m/>
    <m/>
    <m/>
    <m/>
    <m/>
    <m/>
    <m/>
    <m/>
    <m/>
    <m/>
    <m/>
    <m/>
    <m/>
    <m/>
    <m/>
    <m/>
    <m/>
    <m/>
    <m/>
    <m/>
    <m/>
    <m/>
    <m/>
    <m/>
    <m/>
    <m/>
    <m/>
    <m/>
    <m/>
    <m/>
    <m/>
    <m/>
    <m/>
    <m/>
    <m/>
    <m/>
    <m/>
    <m/>
    <m/>
  </r>
  <r>
    <s v="401 - India"/>
    <d v="2025-05-16T00:00:00"/>
    <s v="MAY"/>
    <n v="2025"/>
    <x v="3"/>
    <s v="Not Deposited"/>
    <s v="PMT-S117-12348"/>
    <s v=""/>
    <s v="INR"/>
    <n v="-154426"/>
    <n v="-1624.5309999999999"/>
    <n v="1624.5309999999999"/>
    <n v="-18718.503000000001"/>
    <s v="DUMMY CUSTOMER_CASHAPPS 401 - India"/>
    <s v="Prabhat Aggarwal"/>
    <s v="NEFT FROM STAR INDIA PRIVATE LIMITE ICIB STAR INDIA PRIVATE LIMITED 2025/05/16 193637"/>
    <m/>
    <m/>
    <m/>
    <m/>
    <m/>
    <m/>
    <m/>
    <m/>
    <m/>
    <m/>
    <m/>
    <m/>
    <m/>
    <m/>
    <m/>
    <m/>
    <m/>
    <m/>
    <m/>
    <m/>
    <m/>
    <m/>
    <m/>
    <m/>
    <m/>
    <m/>
    <m/>
    <m/>
    <m/>
    <m/>
    <m/>
    <m/>
    <m/>
    <m/>
    <m/>
    <m/>
    <m/>
    <m/>
    <m/>
    <m/>
    <m/>
    <m/>
    <m/>
    <m/>
    <m/>
    <m/>
    <m/>
    <m/>
    <m/>
    <m/>
    <m/>
    <m/>
    <m/>
    <m/>
    <m/>
    <m/>
  </r>
  <r>
    <s v="401 - India"/>
    <d v="2025-11-11T00:00:00"/>
    <s v="NOVEMBER"/>
    <n v="2025"/>
    <x v="3"/>
    <s v="Deposited"/>
    <s v="PMT-S117-12762"/>
    <s v=""/>
    <s v="INR"/>
    <n v="-102060"/>
    <n v="-1073.6510000000001"/>
    <n v="1073.6510000000001"/>
    <n v="-18718.503000000001"/>
    <s v="DUMMY CUSTOMER_CASHAPPS 401 - India"/>
    <s v="Prabhat Aggarwal"/>
    <s v="NEFT FROM JIOSTAR INDIA PRIVATE L IM ICICN22025111119808714 ICIB JIOSTAR INDIA PRIVATE LIMITED 2025/11/11 190930 IN22531519808714"/>
    <m/>
    <m/>
    <m/>
    <m/>
    <m/>
    <m/>
    <m/>
    <m/>
    <m/>
    <m/>
    <m/>
    <m/>
    <m/>
    <m/>
    <m/>
    <m/>
    <m/>
    <m/>
    <m/>
    <m/>
    <m/>
    <m/>
    <m/>
    <m/>
    <m/>
    <m/>
    <m/>
    <m/>
    <m/>
    <m/>
    <m/>
    <m/>
    <m/>
    <m/>
    <m/>
    <m/>
    <m/>
    <m/>
    <m/>
    <m/>
    <m/>
    <m/>
    <m/>
    <m/>
    <m/>
    <m/>
    <m/>
    <m/>
    <m/>
    <m/>
    <m/>
    <m/>
    <m/>
    <m/>
    <m/>
    <m/>
  </r>
  <r>
    <s v="401 - India"/>
    <d v="2025-02-04T00:00:00"/>
    <s v="FEBRUARY"/>
    <n v="2025"/>
    <x v="3"/>
    <s v="Deposited"/>
    <s v="PMT-S117-11949"/>
    <s v=""/>
    <s v="INR"/>
    <n v="-92654.82"/>
    <n v="-974.71"/>
    <n v="974.71"/>
    <n v="-18718.503000000001"/>
    <s v="DUMMY CUSTOMER_CASHAPPS 401 - India"/>
    <s v="Prabhat Aggarwal"/>
    <s v="NEFT FROM STAR INDIA PRIVATE LIMITE ICIB STAR INDIA PRIVATE LIMITED 2025/02/04 193337"/>
    <m/>
    <m/>
    <m/>
    <m/>
    <m/>
    <m/>
    <m/>
    <m/>
    <m/>
    <m/>
    <m/>
    <m/>
    <m/>
    <m/>
    <m/>
    <m/>
    <m/>
    <m/>
    <m/>
    <m/>
    <m/>
    <m/>
    <m/>
    <m/>
    <m/>
    <m/>
    <m/>
    <m/>
    <m/>
    <m/>
    <m/>
    <m/>
    <m/>
    <m/>
    <m/>
    <m/>
    <m/>
    <m/>
    <m/>
    <m/>
    <m/>
    <m/>
    <m/>
    <m/>
    <m/>
    <m/>
    <m/>
    <m/>
    <m/>
    <m/>
    <m/>
    <m/>
    <m/>
    <m/>
    <m/>
    <m/>
  </r>
  <r>
    <s v="401 - India"/>
    <d v="2024-07-29T00:00:00"/>
    <s v="JULY"/>
    <n v="2024"/>
    <x v="3"/>
    <s v="Deposited"/>
    <s v="PMT-S117-11417"/>
    <s v=""/>
    <s v="INR"/>
    <n v="-85050"/>
    <n v="-894.70899999999995"/>
    <n v="894.70899999999995"/>
    <n v="-894.70899999999995"/>
    <s v="Viacom 18 Media Private Limited"/>
    <s v="Prabhat Aggarwal"/>
    <s v="NEFT FROM VIACOM 18 MEDIA PVT LTD ICIB VIACOM 18 MEDIA PVT LTD 2024/07/29 183604"/>
    <m/>
    <m/>
    <m/>
    <m/>
    <m/>
    <m/>
    <m/>
    <m/>
    <m/>
    <m/>
    <m/>
    <m/>
    <m/>
    <m/>
    <m/>
    <m/>
    <m/>
    <m/>
    <m/>
    <m/>
    <m/>
    <m/>
    <m/>
    <m/>
    <m/>
    <m/>
    <m/>
    <m/>
    <m/>
    <m/>
    <m/>
    <m/>
    <m/>
    <m/>
    <m/>
    <m/>
    <m/>
    <m/>
    <m/>
    <m/>
    <m/>
    <m/>
    <m/>
    <m/>
    <m/>
    <m/>
    <m/>
    <m/>
    <m/>
    <m/>
    <m/>
    <m/>
    <m/>
    <m/>
    <m/>
    <m/>
  </r>
  <r>
    <s v="401 - India"/>
    <d v="2025-11-06T00:00:00"/>
    <s v="NOVEMBER"/>
    <n v="2025"/>
    <x v="3"/>
    <s v="Deposited"/>
    <s v="PMT-S117-12725"/>
    <s v="IN-S117-407871"/>
    <s v="INR"/>
    <n v="-310953.61"/>
    <n v="-3271.17"/>
    <n v="682.87800000000004"/>
    <n v="-682.87800000000004"/>
    <s v="Air India Limited"/>
    <s v="Prabhat Aggarwal"/>
    <s v="WHT as per Manar mail 11.06.2025"/>
    <m/>
    <m/>
    <m/>
    <m/>
    <m/>
    <m/>
    <m/>
    <m/>
    <m/>
    <m/>
    <m/>
    <m/>
    <m/>
    <m/>
    <m/>
    <m/>
    <m/>
    <m/>
    <m/>
    <m/>
    <m/>
    <m/>
    <m/>
    <m/>
    <m/>
    <m/>
    <m/>
    <m/>
    <m/>
    <m/>
    <m/>
    <m/>
    <m/>
    <m/>
    <m/>
    <m/>
    <m/>
    <m/>
    <m/>
    <m/>
    <m/>
    <m/>
    <m/>
    <m/>
    <m/>
    <m/>
    <m/>
    <m/>
    <m/>
    <m/>
    <m/>
    <m/>
    <m/>
    <m/>
    <m/>
    <m/>
  </r>
  <r>
    <s v="401 - India"/>
    <d v="2025-11-14T00:00:00"/>
    <s v="NOVEMBER"/>
    <n v="2025"/>
    <x v="3"/>
    <s v="Deposited"/>
    <s v="PMT-S117-12776"/>
    <s v=""/>
    <s v="INR"/>
    <n v="-35640"/>
    <n v="-374.92599999999999"/>
    <n v="374.92599999999999"/>
    <n v="-18718.503000000001"/>
    <s v="DUMMY CUSTOMER_CASHAPPS 401 - India"/>
    <s v="Prabhat Aggarwal"/>
    <s v="NEFT FROM JIOSTAR INDIA PRIVATE LI M ICICN22025111423350625 ICIB JIOSTAR INDIA PRIVATE LIMITED 2025/11/14 183622 IN22531823350625"/>
    <m/>
    <m/>
    <m/>
    <m/>
    <m/>
    <m/>
    <m/>
    <m/>
    <m/>
    <m/>
    <m/>
    <m/>
    <m/>
    <m/>
    <m/>
    <m/>
    <m/>
    <m/>
    <m/>
    <m/>
    <m/>
    <m/>
    <m/>
    <m/>
    <m/>
    <m/>
    <m/>
    <m/>
    <m/>
    <m/>
    <m/>
    <m/>
    <m/>
    <m/>
    <m/>
    <m/>
    <m/>
    <m/>
    <m/>
    <m/>
    <m/>
    <m/>
    <m/>
    <m/>
    <m/>
    <m/>
    <m/>
    <m/>
    <m/>
    <m/>
    <m/>
    <m/>
    <m/>
    <m/>
    <m/>
    <m/>
  </r>
  <r>
    <s v="401 - India"/>
    <d v="2025-05-23T00:00:00"/>
    <s v="MAY"/>
    <n v="2025"/>
    <x v="3"/>
    <s v="Deposited"/>
    <s v="PMT-S117-12358"/>
    <s v=""/>
    <s v="INR"/>
    <n v="-30885.3"/>
    <n v="-324.90699999999998"/>
    <n v="324.90699999999998"/>
    <n v="-18718.503000000001"/>
    <s v="DUMMY CUSTOMER_CASHAPPS 401 - India"/>
    <s v="Prabhat Aggarwal"/>
    <s v="NEFT FROM STAR INDIA PRIVATE LIMITE ICIB STAR INDIA PRIVATE LIMITED 2025/05/23 190655"/>
    <m/>
    <m/>
    <m/>
    <m/>
    <m/>
    <m/>
    <m/>
    <m/>
    <m/>
    <m/>
    <m/>
    <m/>
    <m/>
    <m/>
    <m/>
    <m/>
    <m/>
    <m/>
    <m/>
    <m/>
    <m/>
    <m/>
    <m/>
    <m/>
    <m/>
    <m/>
    <m/>
    <m/>
    <m/>
    <m/>
    <m/>
    <m/>
    <m/>
    <m/>
    <m/>
    <m/>
    <m/>
    <m/>
    <m/>
    <m/>
    <m/>
    <m/>
    <m/>
    <m/>
    <m/>
    <m/>
    <m/>
    <m/>
    <m/>
    <m/>
    <m/>
    <m/>
    <m/>
    <m/>
    <m/>
    <m/>
  </r>
  <r>
    <s v="401 - India"/>
    <d v="2023-11-06T00:00:00"/>
    <s v="NOVEMBER"/>
    <n v="2023"/>
    <x v="3"/>
    <s v="Deposited"/>
    <s v="PMT-S117-10741"/>
    <s v=""/>
    <s v="INR"/>
    <n v="-5550"/>
    <n v="-58.384999999999998"/>
    <n v="58.384999999999998"/>
    <n v="-18718.503000000001"/>
    <s v="DUMMY CUSTOMER_CASHAPPS 401 - India"/>
    <s v="Prabhat Aggarwal"/>
    <s v="NEFT FROM FINANCIAL SERVICES CENTER BANS PR12038268 IN S117 406893 19BG3023P 2023/11/06 040110"/>
    <m/>
    <m/>
    <m/>
    <m/>
    <m/>
    <m/>
    <m/>
    <m/>
    <m/>
    <m/>
    <m/>
    <m/>
    <m/>
    <m/>
    <m/>
    <m/>
    <m/>
    <m/>
    <m/>
    <m/>
    <m/>
    <m/>
    <m/>
    <m/>
    <m/>
    <m/>
    <m/>
    <m/>
    <m/>
    <m/>
    <m/>
    <m/>
    <m/>
    <m/>
    <m/>
    <m/>
    <m/>
    <m/>
    <m/>
    <m/>
    <m/>
    <m/>
    <m/>
    <m/>
    <m/>
    <m/>
    <m/>
    <m/>
    <m/>
    <m/>
    <m/>
    <m/>
    <m/>
    <m/>
    <m/>
    <m/>
  </r>
  <r>
    <s v="401 - India"/>
    <d v="2023-03-03T00:00:00"/>
    <s v="MARCH"/>
    <n v="2023"/>
    <x v="3"/>
    <s v="Deposited"/>
    <s v="PMT-S117-10075"/>
    <s v=""/>
    <s v="INR"/>
    <n v="-4868.07"/>
    <n v="-51.210999999999999"/>
    <n v="51.210999999999999"/>
    <n v="-18718.503000000001"/>
    <s v="DUMMY CUSTOMER_CASHAPPS 401 - India"/>
    <s v="Prabhat Aggarwal"/>
    <s v="NEFT FROM GRASIM INDUSTRIES LTD PAI HDFC DOMNEFT01 - C71677030323173807 - - 2023/03/03 200204"/>
    <m/>
    <m/>
    <m/>
    <m/>
    <m/>
    <m/>
    <m/>
    <m/>
    <m/>
    <m/>
    <m/>
    <m/>
    <m/>
    <m/>
    <m/>
    <m/>
    <m/>
    <m/>
    <m/>
    <m/>
    <m/>
    <m/>
    <m/>
    <m/>
    <m/>
    <m/>
    <m/>
    <m/>
    <m/>
    <m/>
    <m/>
    <m/>
    <m/>
    <m/>
    <m/>
    <m/>
    <m/>
    <m/>
    <m/>
    <m/>
    <m/>
    <m/>
    <m/>
    <m/>
    <m/>
    <m/>
    <m/>
    <m/>
    <m/>
    <m/>
    <m/>
    <m/>
    <m/>
    <m/>
    <m/>
    <m/>
  </r>
  <r>
    <s v="401 - India"/>
    <d v="2026-05-01T00:00:00"/>
    <s v="MAY"/>
    <n v="2026"/>
    <x v="3"/>
    <s v="Deposited"/>
    <s v="PMT-S117-13169"/>
    <s v=""/>
    <s v="INR"/>
    <n v="-1.06"/>
    <n v="-1.0999999999999999E-2"/>
    <n v="1.0999999999999999E-2"/>
    <n v="-18718.503000000001"/>
    <s v="DUMMY CUSTOMER_CASHAPPS 401 - India"/>
    <s v="Prabhat Aggarwal"/>
    <s v="IMPS 612118004444 NSDLPB Service 502000000000 BeneVal-HSBC0110005-XX8001 NSDLPB Service 502000000000/11160010000/9999999999 HSBC0110005/054466628001 IMPS/054466628001"/>
    <m/>
    <m/>
    <m/>
    <m/>
    <m/>
    <m/>
    <m/>
    <m/>
    <m/>
    <m/>
    <m/>
    <m/>
    <m/>
    <m/>
    <m/>
    <m/>
    <m/>
    <m/>
    <m/>
    <m/>
    <m/>
    <m/>
    <m/>
    <m/>
    <m/>
    <m/>
    <m/>
    <m/>
    <m/>
    <m/>
    <m/>
    <m/>
    <m/>
    <m/>
    <m/>
    <m/>
    <m/>
    <m/>
    <m/>
    <m/>
    <m/>
    <m/>
    <m/>
    <m/>
    <m/>
    <m/>
    <m/>
    <m/>
    <m/>
    <m/>
    <m/>
    <m/>
    <m/>
    <m/>
    <m/>
    <m/>
  </r>
  <r>
    <s v="412 - Sweden"/>
    <d v="2024-06-25T00:00:00"/>
    <s v="JUNE"/>
    <n v="2024"/>
    <x v="3"/>
    <s v="Not Deposited"/>
    <s v="PMT-S146-25901"/>
    <s v=""/>
    <s v="SEK"/>
    <n v="-122441.71"/>
    <n v="-13197.502"/>
    <n v="13197.502"/>
    <n v="-26993.163"/>
    <s v="DUMMY CUSTOMER_CASHAPPS 412 - Sweden"/>
    <s v="Max Hugo Larsson Ras Vidal"/>
    <s v="Moved from PMT-S108-5201 SA-S108-DA-57155 TRIFORK A/S DKK 81,375"/>
    <m/>
    <m/>
    <m/>
    <m/>
    <m/>
    <m/>
    <m/>
    <m/>
    <m/>
    <m/>
    <m/>
    <m/>
    <m/>
    <m/>
    <m/>
    <m/>
    <m/>
    <m/>
    <m/>
    <m/>
    <m/>
    <m/>
    <m/>
    <m/>
    <m/>
    <m/>
    <m/>
    <m/>
    <m/>
    <m/>
    <m/>
    <m/>
    <m/>
    <m/>
    <m/>
    <m/>
    <m/>
    <m/>
    <m/>
    <m/>
    <m/>
    <m/>
    <m/>
    <m/>
    <m/>
    <m/>
    <m/>
    <m/>
    <m/>
    <m/>
    <m/>
    <m/>
    <m/>
    <m/>
    <m/>
    <m/>
  </r>
  <r>
    <s v="412 - Sweden"/>
    <d v="2026-04-10T00:00:00"/>
    <s v="APRIL"/>
    <n v="2026"/>
    <x v="3"/>
    <s v="Deposited"/>
    <s v="PMT-S146-28090"/>
    <s v=""/>
    <s v="SEK"/>
    <n v="-120688.75"/>
    <n v="-13008.558000000001"/>
    <n v="13008.558000000001"/>
    <n v="-13008.558000000001"/>
    <s v="Aktiebolaget Stockholms Spårvägar"/>
    <s v="Max Hugo Larsson Ras Vidal"/>
    <s v="STOCKHOLMS SPÅRVÄGAR AB"/>
    <m/>
    <m/>
    <m/>
    <m/>
    <m/>
    <m/>
    <m/>
    <m/>
    <m/>
    <m/>
    <m/>
    <m/>
    <m/>
    <m/>
    <m/>
    <m/>
    <m/>
    <m/>
    <m/>
    <m/>
    <m/>
    <m/>
    <m/>
    <m/>
    <m/>
    <m/>
    <m/>
    <m/>
    <m/>
    <m/>
    <m/>
    <m/>
    <m/>
    <m/>
    <m/>
    <m/>
    <m/>
    <m/>
    <m/>
    <m/>
    <m/>
    <m/>
    <m/>
    <m/>
    <m/>
    <m/>
    <m/>
    <m/>
    <m/>
    <m/>
    <m/>
    <m/>
    <m/>
    <m/>
    <m/>
    <m/>
  </r>
  <r>
    <s v="412 - Sweden"/>
    <d v="2024-06-25T00:00:00"/>
    <s v="JUNE"/>
    <n v="2024"/>
    <x v="3"/>
    <s v="Not Deposited"/>
    <s v="PMT-S146-25898"/>
    <s v="IN-S146-428600"/>
    <s v="DKK"/>
    <n v="-72765"/>
    <n v="-11801.120999999999"/>
    <n v="11161.478999999999"/>
    <n v="-11161.478999999999"/>
    <s v="Silvan A/S"/>
    <s v="Katarina Andersson"/>
    <s v="Moved from PMT-S108-5338"/>
    <m/>
    <m/>
    <m/>
    <m/>
    <m/>
    <m/>
    <m/>
    <m/>
    <m/>
    <m/>
    <m/>
    <m/>
    <m/>
    <m/>
    <m/>
    <m/>
    <m/>
    <m/>
    <m/>
    <m/>
    <m/>
    <m/>
    <m/>
    <m/>
    <m/>
    <m/>
    <m/>
    <m/>
    <m/>
    <m/>
    <m/>
    <m/>
    <m/>
    <m/>
    <m/>
    <m/>
    <m/>
    <m/>
    <m/>
    <m/>
    <m/>
    <m/>
    <m/>
    <m/>
    <m/>
    <m/>
    <m/>
    <m/>
    <m/>
    <m/>
    <m/>
    <m/>
    <m/>
    <m/>
    <m/>
    <m/>
  </r>
  <r>
    <s v="412 - Sweden"/>
    <d v="2024-06-25T00:00:00"/>
    <s v="JUNE"/>
    <n v="2024"/>
    <x v="3"/>
    <s v="Not Deposited"/>
    <s v="PMT-S146-25899"/>
    <s v=""/>
    <s v="DKK"/>
    <n v="-66718.75"/>
    <n v="-10820.531999999999"/>
    <n v="10820.531999999999"/>
    <n v="-10820.531999999999"/>
    <s v="LESSOR A/S"/>
    <s v="Katarina Andersson"/>
    <s v="Moved from  PMT-S108-5389"/>
    <m/>
    <m/>
    <m/>
    <m/>
    <m/>
    <m/>
    <m/>
    <m/>
    <m/>
    <m/>
    <m/>
    <m/>
    <m/>
    <m/>
    <m/>
    <m/>
    <m/>
    <m/>
    <m/>
    <m/>
    <m/>
    <m/>
    <m/>
    <m/>
    <m/>
    <m/>
    <m/>
    <m/>
    <m/>
    <m/>
    <m/>
    <m/>
    <m/>
    <m/>
    <m/>
    <m/>
    <m/>
    <m/>
    <m/>
    <m/>
    <m/>
    <m/>
    <m/>
    <m/>
    <m/>
    <m/>
    <m/>
    <m/>
    <m/>
    <m/>
    <m/>
    <m/>
    <m/>
    <m/>
    <m/>
    <m/>
  </r>
  <r>
    <s v="412 - Sweden"/>
    <d v="2023-01-03T00:00:00"/>
    <s v="JANUARY"/>
    <n v="2023"/>
    <x v="3"/>
    <s v="Deposited"/>
    <s v="PMT-S146-23445"/>
    <s v=""/>
    <s v="SEK"/>
    <n v="-98750"/>
    <n v="-10643.868"/>
    <n v="10643.868"/>
    <n v="-11317.53"/>
    <s v="Högskolan i Borås"/>
    <s v="Max Hugo Larsson Ras Vidal"/>
    <s v="IN-S146-424346"/>
    <m/>
    <m/>
    <m/>
    <m/>
    <m/>
    <m/>
    <m/>
    <m/>
    <m/>
    <m/>
    <m/>
    <m/>
    <m/>
    <m/>
    <m/>
    <m/>
    <m/>
    <m/>
    <m/>
    <m/>
    <m/>
    <m/>
    <m/>
    <m/>
    <m/>
    <m/>
    <m/>
    <m/>
    <m/>
    <m/>
    <m/>
    <m/>
    <m/>
    <m/>
    <m/>
    <m/>
    <m/>
    <m/>
    <m/>
    <m/>
    <m/>
    <m/>
    <m/>
    <m/>
    <m/>
    <m/>
    <m/>
    <m/>
    <m/>
    <m/>
    <m/>
    <m/>
    <m/>
    <m/>
    <m/>
    <m/>
  </r>
  <r>
    <s v="412 - Sweden"/>
    <d v="2025-06-11T00:00:00"/>
    <s v="JUNE"/>
    <n v="2025"/>
    <x v="3"/>
    <s v="Deposited"/>
    <s v="PMT-S146-27126"/>
    <s v=""/>
    <s v="SEK"/>
    <n v="-98211.49"/>
    <n v="-10585.824000000001"/>
    <n v="10585.824000000001"/>
    <n v="-26993.163"/>
    <s v="DUMMY CUSTOMER_CASHAPPS 412 - Sweden"/>
    <s v="Max Hugo Larsson Ras Vidal"/>
    <s v="Int. adjustment"/>
    <m/>
    <m/>
    <m/>
    <m/>
    <m/>
    <m/>
    <m/>
    <m/>
    <m/>
    <m/>
    <m/>
    <m/>
    <m/>
    <m/>
    <m/>
    <m/>
    <m/>
    <m/>
    <m/>
    <m/>
    <m/>
    <m/>
    <m/>
    <m/>
    <m/>
    <m/>
    <m/>
    <m/>
    <m/>
    <m/>
    <m/>
    <m/>
    <m/>
    <m/>
    <m/>
    <m/>
    <m/>
    <m/>
    <m/>
    <m/>
    <m/>
    <m/>
    <m/>
    <m/>
    <m/>
    <m/>
    <m/>
    <m/>
    <m/>
    <m/>
    <m/>
    <m/>
    <m/>
    <m/>
    <m/>
    <m/>
  </r>
  <r>
    <s v="412 - Sweden"/>
    <d v="2024-06-25T00:00:00"/>
    <s v="JUNE"/>
    <n v="2024"/>
    <x v="3"/>
    <s v="Not Deposited"/>
    <s v="PMT-S146-25900"/>
    <s v=""/>
    <s v="DKK"/>
    <n v="-40625"/>
    <n v="-6588.6139999999996"/>
    <n v="6588.6139999999996"/>
    <n v="-6588.6139999999996"/>
    <s v="MAERSK TANKERS A/S"/>
    <s v="Katarina Andersson"/>
    <s v="Moved from PMT-S108-5297"/>
    <m/>
    <m/>
    <m/>
    <m/>
    <m/>
    <m/>
    <m/>
    <m/>
    <m/>
    <m/>
    <m/>
    <m/>
    <m/>
    <m/>
    <m/>
    <m/>
    <m/>
    <m/>
    <m/>
    <m/>
    <m/>
    <m/>
    <m/>
    <m/>
    <m/>
    <m/>
    <m/>
    <m/>
    <m/>
    <m/>
    <m/>
    <m/>
    <m/>
    <m/>
    <m/>
    <m/>
    <m/>
    <m/>
    <m/>
    <m/>
    <m/>
    <m/>
    <m/>
    <m/>
    <m/>
    <m/>
    <m/>
    <m/>
    <m/>
    <m/>
    <m/>
    <m/>
    <m/>
    <m/>
    <m/>
    <m/>
  </r>
  <r>
    <s v="412 - Sweden"/>
    <d v="2026-03-16T00:00:00"/>
    <s v="MARCH"/>
    <n v="2026"/>
    <x v="3"/>
    <s v="Deposited"/>
    <s v="PMT-S146-28000"/>
    <s v=""/>
    <s v="DKK"/>
    <n v="-39848"/>
    <n v="-6174.1440000000002"/>
    <n v="6174.1440000000002"/>
    <n v="-6174.1440000000002"/>
    <s v="LANDBRUG &amp; FØDEVARER F.M.B.A"/>
    <s v="Katarina Andersson"/>
    <s v="8 39848.00 57281.50 IBS 39848.00 DKK SEK 143.7500 LANDBRUG + FODEVARER FMBA AXELTORV 3 DK DK5020005903538025 MELTWATER SWEDEN AB BRAHEGATAN 10 SE-114 37 STOCKHOLM CH SE7491900000091950470018 SEK DNBASESXXXX DNBASESXXXX LANDBRUG   FODEVARER F.M.B.A. F IN- S146-429508 2 2026031600022094"/>
    <m/>
    <m/>
    <m/>
    <m/>
    <m/>
    <m/>
    <m/>
    <m/>
    <m/>
    <m/>
    <m/>
    <m/>
    <m/>
    <m/>
    <m/>
    <m/>
    <m/>
    <m/>
    <m/>
    <m/>
    <m/>
    <m/>
    <m/>
    <m/>
    <m/>
    <m/>
    <m/>
    <m/>
    <m/>
    <m/>
    <m/>
    <m/>
    <m/>
    <m/>
    <m/>
    <m/>
    <m/>
    <m/>
    <m/>
    <m/>
    <m/>
    <m/>
    <m/>
    <m/>
    <m/>
    <m/>
    <m/>
    <m/>
    <m/>
    <m/>
    <m/>
    <m/>
    <m/>
    <m/>
    <m/>
    <m/>
  </r>
  <r>
    <s v="412 - Sweden"/>
    <d v="2023-04-18T00:00:00"/>
    <s v="APRIL"/>
    <n v="2023"/>
    <x v="3"/>
    <s v="Deposited"/>
    <s v="PMT-S146-24038"/>
    <s v=""/>
    <s v="SEK"/>
    <n v="-49500"/>
    <n v="-5335.4070000000002"/>
    <n v="5335.4070000000002"/>
    <n v="-5335.4070000000002"/>
    <s v="Omilon Sverige AB"/>
    <s v="Max Hugo Larsson Ras Vidal"/>
    <s v=""/>
    <m/>
    <m/>
    <m/>
    <m/>
    <m/>
    <m/>
    <m/>
    <m/>
    <m/>
    <m/>
    <m/>
    <m/>
    <m/>
    <m/>
    <m/>
    <m/>
    <m/>
    <m/>
    <m/>
    <m/>
    <m/>
    <m/>
    <m/>
    <m/>
    <m/>
    <m/>
    <m/>
    <m/>
    <m/>
    <m/>
    <m/>
    <m/>
    <m/>
    <m/>
    <m/>
    <m/>
    <m/>
    <m/>
    <m/>
    <m/>
    <m/>
    <m/>
    <m/>
    <m/>
    <m/>
    <m/>
    <m/>
    <m/>
    <m/>
    <m/>
    <m/>
    <m/>
    <m/>
    <m/>
    <m/>
    <m/>
  </r>
  <r>
    <s v="412 - Sweden"/>
    <d v="2023-03-30T00:00:00"/>
    <s v="MARCH"/>
    <n v="2023"/>
    <x v="3"/>
    <s v="Deposited"/>
    <s v="PMT-S146-23932"/>
    <s v=""/>
    <s v="SEK"/>
    <n v="-46250"/>
    <n v="-4985.1030000000001"/>
    <n v="4985.1030000000001"/>
    <n v="-4985.1030000000001"/>
    <s v="Willhem AB"/>
    <s v="Max Hugo Larsson Ras Vidal"/>
    <s v=""/>
    <m/>
    <m/>
    <m/>
    <m/>
    <m/>
    <m/>
    <m/>
    <m/>
    <m/>
    <m/>
    <m/>
    <m/>
    <m/>
    <m/>
    <m/>
    <m/>
    <m/>
    <m/>
    <m/>
    <m/>
    <m/>
    <m/>
    <m/>
    <m/>
    <m/>
    <m/>
    <m/>
    <m/>
    <m/>
    <m/>
    <m/>
    <m/>
    <m/>
    <m/>
    <m/>
    <m/>
    <m/>
    <m/>
    <m/>
    <m/>
    <m/>
    <m/>
    <m/>
    <m/>
    <m/>
    <m/>
    <m/>
    <m/>
    <m/>
    <m/>
    <m/>
    <m/>
    <m/>
    <m/>
    <m/>
    <m/>
  </r>
  <r>
    <s v="412 - Sweden"/>
    <d v="2025-03-31T00:00:00"/>
    <s v="MARCH"/>
    <n v="2025"/>
    <x v="3"/>
    <s v="Deposited"/>
    <s v="PMT-S146-26915"/>
    <s v=""/>
    <s v="SEK"/>
    <n v="-42500"/>
    <n v="-4580.9049999999997"/>
    <n v="4580.9049999999997"/>
    <n v="-4580.9049999999997"/>
    <s v="Foodora AB"/>
    <s v="Max Hugo Larsson Ras Vidal"/>
    <s v="IN-S146-428384"/>
    <m/>
    <m/>
    <m/>
    <m/>
    <m/>
    <m/>
    <m/>
    <m/>
    <m/>
    <m/>
    <m/>
    <m/>
    <m/>
    <m/>
    <m/>
    <m/>
    <m/>
    <m/>
    <m/>
    <m/>
    <m/>
    <m/>
    <m/>
    <m/>
    <m/>
    <m/>
    <m/>
    <m/>
    <m/>
    <m/>
    <m/>
    <m/>
    <m/>
    <m/>
    <m/>
    <m/>
    <m/>
    <m/>
    <m/>
    <m/>
    <m/>
    <m/>
    <m/>
    <m/>
    <m/>
    <m/>
    <m/>
    <m/>
    <m/>
    <m/>
    <m/>
    <m/>
    <m/>
    <m/>
    <m/>
    <m/>
  </r>
  <r>
    <s v="412 - Sweden"/>
    <d v="2023-05-24T00:00:00"/>
    <s v="MAY"/>
    <n v="2023"/>
    <x v="3"/>
    <s v="Deposited"/>
    <s v="PMT-S146-24186"/>
    <s v=""/>
    <s v="SEK"/>
    <n v="-40250"/>
    <n v="-4338.3869999999997"/>
    <n v="4338.3869999999997"/>
    <n v="-4338.3869999999997"/>
    <s v="Medhelp Sjukvårdsrådgivning AB"/>
    <s v="Max Hugo Larsson Ras Vidal"/>
    <s v="IN-S146-423462"/>
    <m/>
    <m/>
    <m/>
    <m/>
    <m/>
    <m/>
    <m/>
    <m/>
    <m/>
    <m/>
    <m/>
    <m/>
    <m/>
    <m/>
    <m/>
    <m/>
    <m/>
    <m/>
    <m/>
    <m/>
    <m/>
    <m/>
    <m/>
    <m/>
    <m/>
    <m/>
    <m/>
    <m/>
    <m/>
    <m/>
    <m/>
    <m/>
    <m/>
    <m/>
    <m/>
    <m/>
    <m/>
    <m/>
    <m/>
    <m/>
    <m/>
    <m/>
    <m/>
    <m/>
    <m/>
    <m/>
    <m/>
    <m/>
    <m/>
    <m/>
    <m/>
    <m/>
    <m/>
    <m/>
    <m/>
    <m/>
  </r>
  <r>
    <s v="412 - Sweden"/>
    <d v="2023-01-04T00:00:00"/>
    <s v="JANUARY"/>
    <n v="2023"/>
    <x v="3"/>
    <s v="Deposited"/>
    <s v="PMT-S146-23453"/>
    <s v=""/>
    <s v="SEK"/>
    <n v="-40000"/>
    <n v="-4311.4399999999996"/>
    <n v="4311.4399999999996"/>
    <n v="-4311.4399999999996"/>
    <s v="REGION KRONOBERG"/>
    <s v="Max Hugo Larsson Ras Vidal"/>
    <s v="IN-S146-424338"/>
    <m/>
    <m/>
    <m/>
    <m/>
    <m/>
    <m/>
    <m/>
    <m/>
    <m/>
    <m/>
    <m/>
    <m/>
    <m/>
    <m/>
    <m/>
    <m/>
    <m/>
    <m/>
    <m/>
    <m/>
    <m/>
    <m/>
    <m/>
    <m/>
    <m/>
    <m/>
    <m/>
    <m/>
    <m/>
    <m/>
    <m/>
    <m/>
    <m/>
    <m/>
    <m/>
    <m/>
    <m/>
    <m/>
    <m/>
    <m/>
    <m/>
    <m/>
    <m/>
    <m/>
    <m/>
    <m/>
    <m/>
    <m/>
    <m/>
    <m/>
    <m/>
    <m/>
    <m/>
    <m/>
    <m/>
    <m/>
  </r>
  <r>
    <s v="412 - Sweden"/>
    <d v="2024-10-28T00:00:00"/>
    <s v="OCTOBER"/>
    <n v="2024"/>
    <x v="3"/>
    <s v="Deposited"/>
    <s v="PMT-S146-26273"/>
    <s v=""/>
    <s v="SEK"/>
    <n v="-38787.5"/>
    <n v="-4180.7489999999998"/>
    <n v="4180.7489999999998"/>
    <n v="-4180.7489999999998"/>
    <s v="Perstorp Holding AB"/>
    <s v="Max Hugo Larsson Ras Vidal"/>
    <s v="IN-S146-427 (duplicate)"/>
    <m/>
    <m/>
    <m/>
    <m/>
    <m/>
    <m/>
    <m/>
    <m/>
    <m/>
    <m/>
    <m/>
    <m/>
    <m/>
    <m/>
    <m/>
    <m/>
    <m/>
    <m/>
    <m/>
    <m/>
    <m/>
    <m/>
    <m/>
    <m/>
    <m/>
    <m/>
    <m/>
    <m/>
    <m/>
    <m/>
    <m/>
    <m/>
    <m/>
    <m/>
    <m/>
    <m/>
    <m/>
    <m/>
    <m/>
    <m/>
    <m/>
    <m/>
    <m/>
    <m/>
    <m/>
    <m/>
    <m/>
    <m/>
    <m/>
    <m/>
    <m/>
    <m/>
    <m/>
    <m/>
    <m/>
    <m/>
  </r>
  <r>
    <s v="412 - Sweden"/>
    <d v="2022-11-07T00:00:00"/>
    <s v="NOVEMBER"/>
    <n v="2022"/>
    <x v="3"/>
    <s v="Deposited"/>
    <s v="PMT-S146-23107"/>
    <s v=""/>
    <s v="SEK"/>
    <n v="-30937.5"/>
    <n v="-3334.6289999999999"/>
    <n v="3334.6289999999999"/>
    <n v="-3334.6289999999999"/>
    <s v="Permobil Aktiebolag"/>
    <s v="Max Hugo Larsson Ras Vidal"/>
    <s v="IN-S146-423983"/>
    <m/>
    <m/>
    <m/>
    <m/>
    <m/>
    <m/>
    <m/>
    <m/>
    <m/>
    <m/>
    <m/>
    <m/>
    <m/>
    <m/>
    <m/>
    <m/>
    <m/>
    <m/>
    <m/>
    <m/>
    <m/>
    <m/>
    <m/>
    <m/>
    <m/>
    <m/>
    <m/>
    <m/>
    <m/>
    <m/>
    <m/>
    <m/>
    <m/>
    <m/>
    <m/>
    <m/>
    <m/>
    <m/>
    <m/>
    <m/>
    <m/>
    <m/>
    <m/>
    <m/>
    <m/>
    <m/>
    <m/>
    <m/>
    <m/>
    <m/>
    <m/>
    <m/>
    <m/>
    <m/>
    <m/>
    <m/>
  </r>
  <r>
    <s v="412 - Sweden"/>
    <d v="2022-11-29T00:00:00"/>
    <s v="NOVEMBER"/>
    <n v="2022"/>
    <x v="3"/>
    <s v="Deposited"/>
    <s v="PMT-S146-23239"/>
    <s v="IN-S146-424113"/>
    <s v="SEK"/>
    <n v="-54337.5"/>
    <n v="-5856.8220000000001"/>
    <n v="2928.4110000000001"/>
    <n v="-2928.4110000000001"/>
    <s v="Linköpings Universitet"/>
    <s v="Max Hugo Larsson Ras Vidal"/>
    <s v="IN-S146-424113"/>
    <m/>
    <m/>
    <m/>
    <m/>
    <m/>
    <m/>
    <m/>
    <m/>
    <m/>
    <m/>
    <m/>
    <m/>
    <m/>
    <m/>
    <m/>
    <m/>
    <m/>
    <m/>
    <m/>
    <m/>
    <m/>
    <m/>
    <m/>
    <m/>
    <m/>
    <m/>
    <m/>
    <m/>
    <m/>
    <m/>
    <m/>
    <m/>
    <m/>
    <m/>
    <m/>
    <m/>
    <m/>
    <m/>
    <m/>
    <m/>
    <m/>
    <m/>
    <m/>
    <m/>
    <m/>
    <m/>
    <m/>
    <m/>
    <m/>
    <m/>
    <m/>
    <m/>
    <m/>
    <m/>
    <m/>
    <m/>
  </r>
  <r>
    <s v="412 - Sweden"/>
    <d v="2025-06-04T00:00:00"/>
    <s v="JUNE"/>
    <n v="2025"/>
    <x v="3"/>
    <s v="Deposited"/>
    <s v="PMT-S146-27111"/>
    <s v=""/>
    <s v="SEK"/>
    <n v="-16928"/>
    <n v="-1824.6010000000001"/>
    <n v="1824.6010000000001"/>
    <n v="-26993.163"/>
    <s v="DUMMY CUSTOMER_CASHAPPS 412 - Sweden"/>
    <s v="Max Hugo Larsson Ras Vidal"/>
    <s v="990543 »TERBET AZA"/>
    <m/>
    <m/>
    <m/>
    <m/>
    <m/>
    <m/>
    <m/>
    <m/>
    <m/>
    <m/>
    <m/>
    <m/>
    <m/>
    <m/>
    <m/>
    <m/>
    <m/>
    <m/>
    <m/>
    <m/>
    <m/>
    <m/>
    <m/>
    <m/>
    <m/>
    <m/>
    <m/>
    <m/>
    <m/>
    <m/>
    <m/>
    <m/>
    <m/>
    <m/>
    <m/>
    <m/>
    <m/>
    <m/>
    <m/>
    <m/>
    <m/>
    <m/>
    <m/>
    <m/>
    <m/>
    <m/>
    <m/>
    <m/>
    <m/>
    <m/>
    <m/>
    <m/>
    <m/>
    <m/>
    <m/>
    <m/>
  </r>
  <r>
    <s v="412 - Sweden"/>
    <d v="2023-09-22T00:00:00"/>
    <s v="SEPTEMBER"/>
    <n v="2023"/>
    <x v="3"/>
    <s v="Deposited"/>
    <s v="PMT-S146-24586"/>
    <s v=""/>
    <s v="SEK"/>
    <n v="-15000"/>
    <n v="-1616.79"/>
    <n v="1616.79"/>
    <n v="-1616.79"/>
    <s v="Ölands Kultur och Nöjespark AB"/>
    <s v="Max Hugo Larsson Ras Vidal"/>
    <s v="IN-S146-425613"/>
    <m/>
    <m/>
    <m/>
    <m/>
    <m/>
    <m/>
    <m/>
    <m/>
    <m/>
    <m/>
    <m/>
    <m/>
    <m/>
    <m/>
    <m/>
    <m/>
    <m/>
    <m/>
    <m/>
    <m/>
    <m/>
    <m/>
    <m/>
    <m/>
    <m/>
    <m/>
    <m/>
    <m/>
    <m/>
    <m/>
    <m/>
    <m/>
    <m/>
    <m/>
    <m/>
    <m/>
    <m/>
    <m/>
    <m/>
    <m/>
    <m/>
    <m/>
    <m/>
    <m/>
    <m/>
    <m/>
    <m/>
    <m/>
    <m/>
    <m/>
    <m/>
    <m/>
    <m/>
    <m/>
    <m/>
    <m/>
  </r>
  <r>
    <s v="412 - Sweden"/>
    <d v="2022-07-20T00:00:00"/>
    <s v="JULY"/>
    <n v="2022"/>
    <x v="3"/>
    <s v="Deposited"/>
    <s v="PMT-S146-22583"/>
    <s v="IN-S146-423537"/>
    <s v="SEK"/>
    <n v="-18750"/>
    <n v="-2020.9880000000001"/>
    <n v="1347.325"/>
    <n v="-1347.325"/>
    <s v="Karlstads Kommun"/>
    <s v="Max Hugo Larsson Ras Vidal"/>
    <s v=""/>
    <m/>
    <m/>
    <m/>
    <m/>
    <m/>
    <m/>
    <m/>
    <m/>
    <m/>
    <m/>
    <m/>
    <m/>
    <m/>
    <m/>
    <m/>
    <m/>
    <m/>
    <m/>
    <m/>
    <m/>
    <m/>
    <m/>
    <m/>
    <m/>
    <m/>
    <m/>
    <m/>
    <m/>
    <m/>
    <m/>
    <m/>
    <m/>
    <m/>
    <m/>
    <m/>
    <m/>
    <m/>
    <m/>
    <m/>
    <m/>
    <m/>
    <m/>
    <m/>
    <m/>
    <m/>
    <m/>
    <m/>
    <m/>
    <m/>
    <m/>
    <m/>
    <m/>
    <m/>
    <m/>
    <m/>
    <m/>
  </r>
  <r>
    <s v="412 - Sweden"/>
    <d v="2022-11-07T00:00:00"/>
    <s v="NOVEMBER"/>
    <n v="2022"/>
    <x v="3"/>
    <s v="Deposited"/>
    <s v="PMT-S146-23136"/>
    <s v=""/>
    <s v="SEK"/>
    <n v="-12265"/>
    <n v="-1321.9949999999999"/>
    <n v="1321.9949999999999"/>
    <n v="-26993.163"/>
    <s v="DUMMY CUSTOMER_CASHAPPS 412 - Sweden"/>
    <s v="Max Hugo Larsson Ras Vidal"/>
    <s v="Erroneous Receipt from Städbranschen Sverige förlag AB"/>
    <m/>
    <m/>
    <m/>
    <m/>
    <m/>
    <m/>
    <m/>
    <m/>
    <m/>
    <m/>
    <m/>
    <m/>
    <m/>
    <m/>
    <m/>
    <m/>
    <m/>
    <m/>
    <m/>
    <m/>
    <m/>
    <m/>
    <m/>
    <m/>
    <m/>
    <m/>
    <m/>
    <m/>
    <m/>
    <m/>
    <m/>
    <m/>
    <m/>
    <m/>
    <m/>
    <m/>
    <m/>
    <m/>
    <m/>
    <m/>
    <m/>
    <m/>
    <m/>
    <m/>
    <m/>
    <m/>
    <m/>
    <m/>
    <m/>
    <m/>
    <m/>
    <m/>
    <m/>
    <m/>
    <m/>
    <m/>
  </r>
  <r>
    <s v="412 - Sweden"/>
    <d v="2022-09-05T00:00:00"/>
    <s v="SEPTEMBER"/>
    <n v="2022"/>
    <x v="3"/>
    <s v="Deposited"/>
    <s v="PMT-S146-22745"/>
    <s v="IN-S146-423513"/>
    <s v="SEK"/>
    <n v="-21938"/>
    <n v="-2364.6089999999999"/>
    <n v="1182.3320000000001"/>
    <n v="-1182.3320000000001"/>
    <s v="Effektiva Media i Stockholm Aktiebolag"/>
    <s v="Max Hugo Larsson Ras Vidal"/>
    <s v=""/>
    <m/>
    <m/>
    <m/>
    <m/>
    <m/>
    <m/>
    <m/>
    <m/>
    <m/>
    <m/>
    <m/>
    <m/>
    <m/>
    <m/>
    <m/>
    <m/>
    <m/>
    <m/>
    <m/>
    <m/>
    <m/>
    <m/>
    <m/>
    <m/>
    <m/>
    <m/>
    <m/>
    <m/>
    <m/>
    <m/>
    <m/>
    <m/>
    <m/>
    <m/>
    <m/>
    <m/>
    <m/>
    <m/>
    <m/>
    <m/>
    <m/>
    <m/>
    <m/>
    <m/>
    <m/>
    <m/>
    <m/>
    <m/>
    <m/>
    <m/>
    <m/>
    <m/>
    <m/>
    <m/>
    <m/>
    <m/>
  </r>
  <r>
    <s v="412 - Sweden"/>
    <d v="2022-08-19T00:00:00"/>
    <s v="AUGUST"/>
    <n v="2022"/>
    <x v="3"/>
    <s v="Deposited"/>
    <s v="PMT-S146-22681"/>
    <s v=""/>
    <s v="EUR"/>
    <n v="-937.5"/>
    <n v="-1065.596"/>
    <n v="1065.596"/>
    <n v="58108.741000000002"/>
    <s v="AB Tetra Pak"/>
    <s v="Amy Tyler"/>
    <s v=""/>
    <m/>
    <m/>
    <m/>
    <m/>
    <m/>
    <m/>
    <m/>
    <m/>
    <m/>
    <m/>
    <m/>
    <m/>
    <m/>
    <m/>
    <m/>
    <m/>
    <m/>
    <m/>
    <m/>
    <m/>
    <m/>
    <m/>
    <m/>
    <m/>
    <m/>
    <m/>
    <m/>
    <m/>
    <m/>
    <m/>
    <m/>
    <m/>
    <m/>
    <m/>
    <m/>
    <m/>
    <m/>
    <m/>
    <m/>
    <m/>
    <m/>
    <m/>
    <m/>
    <m/>
    <m/>
    <m/>
    <m/>
    <m/>
    <m/>
    <m/>
    <m/>
    <m/>
    <m/>
    <m/>
    <m/>
    <m/>
  </r>
  <r>
    <s v="412 - Sweden"/>
    <d v="2023-04-05T00:00:00"/>
    <s v="APRIL"/>
    <n v="2023"/>
    <x v="3"/>
    <s v="Deposited"/>
    <s v="PMT-S146-23972"/>
    <s v=""/>
    <s v="SEK"/>
    <n v="-6250"/>
    <n v="-673.66300000000001"/>
    <n v="673.66300000000001"/>
    <n v="-11317.53"/>
    <s v="Högskolan i Borås"/>
    <s v="Max Hugo Larsson Ras Vidal"/>
    <s v="IN-S146-424949"/>
    <m/>
    <m/>
    <m/>
    <m/>
    <m/>
    <m/>
    <m/>
    <m/>
    <m/>
    <m/>
    <m/>
    <m/>
    <m/>
    <m/>
    <m/>
    <m/>
    <m/>
    <m/>
    <m/>
    <m/>
    <m/>
    <m/>
    <m/>
    <m/>
    <m/>
    <m/>
    <m/>
    <m/>
    <m/>
    <m/>
    <m/>
    <m/>
    <m/>
    <m/>
    <m/>
    <m/>
    <m/>
    <m/>
    <m/>
    <m/>
    <m/>
    <m/>
    <m/>
    <m/>
    <m/>
    <m/>
    <m/>
    <m/>
    <m/>
    <m/>
    <m/>
    <m/>
    <m/>
    <m/>
    <m/>
    <m/>
  </r>
  <r>
    <s v="412 - Sweden"/>
    <d v="2025-08-27T00:00:00"/>
    <s v="AUGUST"/>
    <n v="2025"/>
    <x v="3"/>
    <s v="Deposited"/>
    <s v="PMT-S146-27338"/>
    <s v=""/>
    <s v="SEK"/>
    <n v="-586.72"/>
    <n v="-63.24"/>
    <n v="63.24"/>
    <n v="-26993.163"/>
    <s v="DUMMY CUSTOMER_CASHAPPS 412 - Sweden"/>
    <s v="Max Hugo Larsson Ras Vidal"/>
    <s v="Meltwater Sweden AB  Kontantavi"/>
    <m/>
    <m/>
    <m/>
    <m/>
    <m/>
    <m/>
    <m/>
    <m/>
    <m/>
    <m/>
    <m/>
    <m/>
    <m/>
    <m/>
    <m/>
    <m/>
    <m/>
    <m/>
    <m/>
    <m/>
    <m/>
    <m/>
    <m/>
    <m/>
    <m/>
    <m/>
    <m/>
    <m/>
    <m/>
    <m/>
    <m/>
    <m/>
    <m/>
    <m/>
    <m/>
    <m/>
    <m/>
    <m/>
    <m/>
    <m/>
    <m/>
    <m/>
    <m/>
    <m/>
    <m/>
    <m/>
    <m/>
    <m/>
    <m/>
    <m/>
    <m/>
    <m/>
    <m/>
    <m/>
    <m/>
    <m/>
  </r>
  <r>
    <s v="421 - Finland"/>
    <d v="2024-12-31T00:00:00"/>
    <s v="DECEMBER"/>
    <n v="2024"/>
    <x v="3"/>
    <s v="Deposited"/>
    <s v="PMT-S115-31371"/>
    <s v="IN-S115-432263"/>
    <s v="EUR"/>
    <n v="-16315"/>
    <n v="-19079.577000000001"/>
    <n v="14676.598"/>
    <n v="-14676.598"/>
    <s v="Drama Queen Communications Oy"/>
    <s v="Katarina Andersson"/>
    <s v="DRAMA QUEEN COMMUNICATION /51095008 MELTWATER FINLAND OYSCOR 211930000 4322632"/>
    <m/>
    <m/>
    <m/>
    <m/>
    <m/>
    <m/>
    <m/>
    <m/>
    <m/>
    <m/>
    <m/>
    <m/>
    <m/>
    <m/>
    <m/>
    <m/>
    <m/>
    <m/>
    <m/>
    <m/>
    <m/>
    <m/>
    <m/>
    <m/>
    <m/>
    <m/>
    <m/>
    <m/>
    <m/>
    <m/>
    <m/>
    <m/>
    <m/>
    <m/>
    <m/>
    <m/>
    <m/>
    <m/>
    <m/>
    <m/>
    <m/>
    <m/>
    <m/>
    <m/>
    <m/>
    <m/>
    <m/>
    <m/>
    <m/>
    <m/>
    <m/>
    <m/>
    <m/>
    <m/>
    <m/>
    <m/>
  </r>
  <r>
    <s v="421 - Finland"/>
    <d v="2022-09-30T00:00:00"/>
    <s v="SEPTEMBER"/>
    <n v="2022"/>
    <x v="3"/>
    <s v="Deposited"/>
    <s v="PMT-S115-26181"/>
    <s v=""/>
    <s v="EUR"/>
    <n v="-9920"/>
    <n v="-11600.944"/>
    <n v="11600.944"/>
    <n v="-11600.944"/>
    <s v="Bou Oy"/>
    <s v="Katarina Andersson"/>
    <s v=""/>
    <m/>
    <m/>
    <m/>
    <m/>
    <m/>
    <m/>
    <m/>
    <m/>
    <m/>
    <m/>
    <m/>
    <m/>
    <m/>
    <m/>
    <m/>
    <m/>
    <m/>
    <m/>
    <m/>
    <m/>
    <m/>
    <m/>
    <m/>
    <m/>
    <m/>
    <m/>
    <m/>
    <m/>
    <m/>
    <m/>
    <m/>
    <m/>
    <m/>
    <m/>
    <m/>
    <m/>
    <m/>
    <m/>
    <m/>
    <m/>
    <m/>
    <m/>
    <m/>
    <m/>
    <m/>
    <m/>
    <m/>
    <m/>
    <m/>
    <m/>
    <m/>
    <m/>
    <m/>
    <m/>
    <m/>
    <m/>
  </r>
  <r>
    <s v="421 - Finland"/>
    <d v="2023-11-06T00:00:00"/>
    <s v="NOVEMBER"/>
    <n v="2023"/>
    <x v="3"/>
    <s v="Deposited"/>
    <s v="PMT-S115-28988"/>
    <s v=""/>
    <s v="EUR"/>
    <n v="-8332.7999999999993"/>
    <n v="-9744.7929999999997"/>
    <n v="9744.7929999999997"/>
    <n v="-9744.7929999999997"/>
    <s v="Liikenteenohjausyhtiö Fintraffic Oy"/>
    <s v="Katarina Andersson"/>
    <s v="IN-S115-429379, 2023-11-06 11:41:14"/>
    <m/>
    <m/>
    <m/>
    <m/>
    <m/>
    <m/>
    <m/>
    <m/>
    <m/>
    <m/>
    <m/>
    <m/>
    <m/>
    <m/>
    <m/>
    <m/>
    <m/>
    <m/>
    <m/>
    <m/>
    <m/>
    <m/>
    <m/>
    <m/>
    <m/>
    <m/>
    <m/>
    <m/>
    <m/>
    <m/>
    <m/>
    <m/>
    <m/>
    <m/>
    <m/>
    <m/>
    <m/>
    <m/>
    <m/>
    <m/>
    <m/>
    <m/>
    <m/>
    <m/>
    <m/>
    <m/>
    <m/>
    <m/>
    <m/>
    <m/>
    <m/>
    <m/>
    <m/>
    <m/>
    <m/>
    <m/>
  </r>
  <r>
    <s v="421 - Finland"/>
    <d v="2025-10-15T00:00:00"/>
    <s v="OCTOBER"/>
    <n v="2025"/>
    <x v="3"/>
    <s v="Deposited"/>
    <s v="PMT-S115-32650"/>
    <s v=""/>
    <s v="EUR"/>
    <n v="-6212.25"/>
    <n v="-7264.9160000000002"/>
    <n v="7264.9160000000002"/>
    <n v="-7264.9160000000002"/>
    <s v="Aisti Corporation Oy"/>
    <s v="Katarina Andersson"/>
    <s v="AISTI CORPORATION OY/EREF/L01833/ORDP//NAME/AISTI CORPORATION OY/REMI//CDTRREFTP//CD/SCOR/CDTRREF/2119300004335409AISTI CORPORATION OY"/>
    <m/>
    <m/>
    <m/>
    <m/>
    <m/>
    <m/>
    <m/>
    <m/>
    <m/>
    <m/>
    <m/>
    <m/>
    <m/>
    <m/>
    <m/>
    <m/>
    <m/>
    <m/>
    <m/>
    <m/>
    <m/>
    <m/>
    <m/>
    <m/>
    <m/>
    <m/>
    <m/>
    <m/>
    <m/>
    <m/>
    <m/>
    <m/>
    <m/>
    <m/>
    <m/>
    <m/>
    <m/>
    <m/>
    <m/>
    <m/>
    <m/>
    <m/>
    <m/>
    <m/>
    <m/>
    <m/>
    <m/>
    <m/>
    <m/>
    <m/>
    <m/>
    <m/>
    <m/>
    <m/>
    <m/>
    <m/>
  </r>
  <r>
    <s v="421 - Finland"/>
    <d v="2025-01-30T00:00:00"/>
    <s v="JANUARY"/>
    <n v="2025"/>
    <x v="3"/>
    <s v="Deposited"/>
    <s v="PMT-S115-31621"/>
    <s v="IN-S115-432351"/>
    <s v="EUR"/>
    <n v="-19954.5"/>
    <n v="-23335.79"/>
    <n v="6914.1629999999996"/>
    <n v="-6914.1629999999996"/>
    <s v="Numera Palvelut Oy"/>
    <s v="Katarina Andersson"/>
    <s v="NUMERA PALVELUT OY /51095008 MELTWA TER FINLAND OYSCOR 0000211930000432 3518"/>
    <m/>
    <m/>
    <m/>
    <m/>
    <m/>
    <m/>
    <m/>
    <m/>
    <m/>
    <m/>
    <m/>
    <m/>
    <m/>
    <m/>
    <m/>
    <m/>
    <m/>
    <m/>
    <m/>
    <m/>
    <m/>
    <m/>
    <m/>
    <m/>
    <m/>
    <m/>
    <m/>
    <m/>
    <m/>
    <m/>
    <m/>
    <m/>
    <m/>
    <m/>
    <m/>
    <m/>
    <m/>
    <m/>
    <m/>
    <m/>
    <m/>
    <m/>
    <m/>
    <m/>
    <m/>
    <m/>
    <m/>
    <m/>
    <m/>
    <m/>
    <m/>
    <m/>
    <m/>
    <m/>
    <m/>
    <m/>
  </r>
  <r>
    <s v="421 - Finland"/>
    <d v="2023-03-07T00:00:00"/>
    <s v="MARCH"/>
    <n v="2023"/>
    <x v="3"/>
    <s v="Deposited"/>
    <s v="PMT-S115-27571"/>
    <s v=""/>
    <s v="EUR"/>
    <n v="-5580"/>
    <n v="-6525.5309999999999"/>
    <n v="6525.5309999999999"/>
    <n v="-13051.062"/>
    <s v="Nordic Ren-Gas Oy"/>
    <s v="Katarina Andersson"/>
    <s v="NORDIC REN-GAS OY"/>
    <m/>
    <m/>
    <m/>
    <m/>
    <m/>
    <m/>
    <m/>
    <m/>
    <m/>
    <m/>
    <m/>
    <m/>
    <m/>
    <m/>
    <m/>
    <m/>
    <m/>
    <m/>
    <m/>
    <m/>
    <m/>
    <m/>
    <m/>
    <m/>
    <m/>
    <m/>
    <m/>
    <m/>
    <m/>
    <m/>
    <m/>
    <m/>
    <m/>
    <m/>
    <m/>
    <m/>
    <m/>
    <m/>
    <m/>
    <m/>
    <m/>
    <m/>
    <m/>
    <m/>
    <m/>
    <m/>
    <m/>
    <m/>
    <m/>
    <m/>
    <m/>
    <m/>
    <m/>
    <m/>
    <m/>
    <m/>
  </r>
  <r>
    <s v="421 - Finland"/>
    <d v="2023-03-09T00:00:00"/>
    <s v="MARCH"/>
    <n v="2023"/>
    <x v="3"/>
    <s v="Deposited"/>
    <s v="PMT-S115-27585"/>
    <s v=""/>
    <s v="EUR"/>
    <n v="-5580"/>
    <n v="-6525.5309999999999"/>
    <n v="6525.5309999999999"/>
    <n v="-13051.062"/>
    <s v="Nordic Ren-Gas Oy"/>
    <s v="Katarina Andersson"/>
    <s v="NORDIC REN-GAS OY"/>
    <m/>
    <m/>
    <m/>
    <m/>
    <m/>
    <m/>
    <m/>
    <m/>
    <m/>
    <m/>
    <m/>
    <m/>
    <m/>
    <m/>
    <m/>
    <m/>
    <m/>
    <m/>
    <m/>
    <m/>
    <m/>
    <m/>
    <m/>
    <m/>
    <m/>
    <m/>
    <m/>
    <m/>
    <m/>
    <m/>
    <m/>
    <m/>
    <m/>
    <m/>
    <m/>
    <m/>
    <m/>
    <m/>
    <m/>
    <m/>
    <m/>
    <m/>
    <m/>
    <m/>
    <m/>
    <m/>
    <m/>
    <m/>
    <m/>
    <m/>
    <m/>
    <m/>
    <m/>
    <m/>
    <m/>
    <m/>
  </r>
  <r>
    <s v="421 - Finland"/>
    <d v="2023-06-26T00:00:00"/>
    <s v="JUNE"/>
    <n v="2023"/>
    <x v="3"/>
    <s v="Deposited"/>
    <s v="PMT-S115-28226"/>
    <s v=""/>
    <s v="EUR"/>
    <n v="-5208"/>
    <n v="-6090.4960000000001"/>
    <n v="6090.4960000000001"/>
    <n v="-6090.4960000000001"/>
    <s v="Coolbrook Oy"/>
    <s v="Katarina Andersson"/>
    <s v="COOLBROOK OY /51095008 MELTWATER FI NLAND OYSCOR 00002119300004287434"/>
    <m/>
    <m/>
    <m/>
    <m/>
    <m/>
    <m/>
    <m/>
    <m/>
    <m/>
    <m/>
    <m/>
    <m/>
    <m/>
    <m/>
    <m/>
    <m/>
    <m/>
    <m/>
    <m/>
    <m/>
    <m/>
    <m/>
    <m/>
    <m/>
    <m/>
    <m/>
    <m/>
    <m/>
    <m/>
    <m/>
    <m/>
    <m/>
    <m/>
    <m/>
    <m/>
    <m/>
    <m/>
    <m/>
    <m/>
    <m/>
    <m/>
    <m/>
    <m/>
    <m/>
    <m/>
    <m/>
    <m/>
    <m/>
    <m/>
    <m/>
    <m/>
    <m/>
    <m/>
    <m/>
    <m/>
    <m/>
  </r>
  <r>
    <s v="421 - Finland"/>
    <d v="2025-03-07T00:00:00"/>
    <s v="MARCH"/>
    <n v="2025"/>
    <x v="3"/>
    <s v="Deposited"/>
    <s v="PMT-S115-31821"/>
    <s v="IN-S115-432671"/>
    <s v="EUR"/>
    <n v="-6977.8"/>
    <n v="-8160.1880000000001"/>
    <n v="6090.4960000000001"/>
    <n v="-6090.4960000000001"/>
    <s v="Liikennevirta Oy"/>
    <s v="Katarina Andersson"/>
    <s v="LIIKENNEVIRTA OY /51095008 MELTWATE R FINLAND OYSCOR 000021193000043267 19"/>
    <m/>
    <m/>
    <m/>
    <m/>
    <m/>
    <m/>
    <m/>
    <m/>
    <m/>
    <m/>
    <m/>
    <m/>
    <m/>
    <m/>
    <m/>
    <m/>
    <m/>
    <m/>
    <m/>
    <m/>
    <m/>
    <m/>
    <m/>
    <m/>
    <m/>
    <m/>
    <m/>
    <m/>
    <m/>
    <m/>
    <m/>
    <m/>
    <m/>
    <m/>
    <m/>
    <m/>
    <m/>
    <m/>
    <m/>
    <m/>
    <m/>
    <m/>
    <m/>
    <m/>
    <m/>
    <m/>
    <m/>
    <m/>
    <m/>
    <m/>
    <m/>
    <m/>
    <m/>
    <m/>
    <m/>
    <m/>
  </r>
  <r>
    <s v="421 - Finland"/>
    <d v="2022-12-12T00:00:00"/>
    <s v="DECEMBER"/>
    <n v="2022"/>
    <x v="3"/>
    <s v="Deposited"/>
    <s v="PMT-S115-26809"/>
    <s v=""/>
    <s v="EUR"/>
    <n v="-4774"/>
    <n v="-5582.9539999999997"/>
    <n v="5582.9539999999997"/>
    <n v="-5582.9539999999997"/>
    <s v="Keskustaksi Oy"/>
    <s v="Katarina Andersson"/>
    <s v=""/>
    <m/>
    <m/>
    <m/>
    <m/>
    <m/>
    <m/>
    <m/>
    <m/>
    <m/>
    <m/>
    <m/>
    <m/>
    <m/>
    <m/>
    <m/>
    <m/>
    <m/>
    <m/>
    <m/>
    <m/>
    <m/>
    <m/>
    <m/>
    <m/>
    <m/>
    <m/>
    <m/>
    <m/>
    <m/>
    <m/>
    <m/>
    <m/>
    <m/>
    <m/>
    <m/>
    <m/>
    <m/>
    <m/>
    <m/>
    <m/>
    <m/>
    <m/>
    <m/>
    <m/>
    <m/>
    <m/>
    <m/>
    <m/>
    <m/>
    <m/>
    <m/>
    <m/>
    <m/>
    <m/>
    <m/>
    <m/>
  </r>
  <r>
    <s v="421 - Finland"/>
    <d v="2023-03-07T00:00:00"/>
    <s v="MARCH"/>
    <n v="2023"/>
    <x v="3"/>
    <s v="Deposited"/>
    <s v="PMT-S115-27568"/>
    <s v=""/>
    <s v="EUR"/>
    <n v="-4526"/>
    <n v="-5292.9309999999996"/>
    <n v="5292.9309999999996"/>
    <n v="-5680.1120000000001"/>
    <s v="Diktamen Oy"/>
    <s v="Katarina Andersson"/>
    <s v="overpaid - CM"/>
    <m/>
    <m/>
    <m/>
    <m/>
    <m/>
    <m/>
    <m/>
    <m/>
    <m/>
    <m/>
    <m/>
    <m/>
    <m/>
    <m/>
    <m/>
    <m/>
    <m/>
    <m/>
    <m/>
    <m/>
    <m/>
    <m/>
    <m/>
    <m/>
    <m/>
    <m/>
    <m/>
    <m/>
    <m/>
    <m/>
    <m/>
    <m/>
    <m/>
    <m/>
    <m/>
    <m/>
    <m/>
    <m/>
    <m/>
    <m/>
    <m/>
    <m/>
    <m/>
    <m/>
    <m/>
    <m/>
    <m/>
    <m/>
    <m/>
    <m/>
    <m/>
    <m/>
    <m/>
    <m/>
    <m/>
    <m/>
  </r>
  <r>
    <s v="421 - Finland"/>
    <d v="2023-08-08T00:00:00"/>
    <s v="AUGUST"/>
    <n v="2023"/>
    <x v="3"/>
    <s v="Deposited"/>
    <s v="PMT-S115-28427"/>
    <s v=""/>
    <s v="EUR"/>
    <n v="-4077.12"/>
    <n v="-4767.9880000000003"/>
    <n v="4767.9880000000003"/>
    <n v="-4767.9880000000003"/>
    <s v="0136082-5"/>
    <s v="Katarina Andersson"/>
    <s v="PARAISTEN KAUPUNKI /51095008 MELTWA TER FINLAND OYSCOR 0000211930000428 9306"/>
    <m/>
    <m/>
    <m/>
    <m/>
    <m/>
    <m/>
    <m/>
    <m/>
    <m/>
    <m/>
    <m/>
    <m/>
    <m/>
    <m/>
    <m/>
    <m/>
    <m/>
    <m/>
    <m/>
    <m/>
    <m/>
    <m/>
    <m/>
    <m/>
    <m/>
    <m/>
    <m/>
    <m/>
    <m/>
    <m/>
    <m/>
    <m/>
    <m/>
    <m/>
    <m/>
    <m/>
    <m/>
    <m/>
    <m/>
    <m/>
    <m/>
    <m/>
    <m/>
    <m/>
    <m/>
    <m/>
    <m/>
    <m/>
    <m/>
    <m/>
    <m/>
    <m/>
    <m/>
    <m/>
    <m/>
    <m/>
  </r>
  <r>
    <s v="421 - Finland"/>
    <d v="2022-05-02T00:00:00"/>
    <s v="MAY"/>
    <n v="2022"/>
    <x v="3"/>
    <s v="Deposited"/>
    <s v="PMT-S115-25248"/>
    <s v=""/>
    <s v="EUR"/>
    <n v="-3286"/>
    <n v="-3842.8130000000001"/>
    <n v="3842.8130000000001"/>
    <n v="-3842.8130000000001"/>
    <s v="Grafia ry"/>
    <s v="Katarina Andersson"/>
    <s v=""/>
    <m/>
    <m/>
    <m/>
    <m/>
    <m/>
    <m/>
    <m/>
    <m/>
    <m/>
    <m/>
    <m/>
    <m/>
    <m/>
    <m/>
    <m/>
    <m/>
    <m/>
    <m/>
    <m/>
    <m/>
    <m/>
    <m/>
    <m/>
    <m/>
    <m/>
    <m/>
    <m/>
    <m/>
    <m/>
    <m/>
    <m/>
    <m/>
    <m/>
    <m/>
    <m/>
    <m/>
    <m/>
    <m/>
    <m/>
    <m/>
    <m/>
    <m/>
    <m/>
    <m/>
    <m/>
    <m/>
    <m/>
    <m/>
    <m/>
    <m/>
    <m/>
    <m/>
    <m/>
    <m/>
    <m/>
    <m/>
  </r>
  <r>
    <s v="421 - Finland"/>
    <d v="2025-01-09T00:00:00"/>
    <s v="JANUARY"/>
    <n v="2025"/>
    <x v="3"/>
    <s v="Deposited"/>
    <s v="PMT-S115-31457"/>
    <s v="IN-S115-431831"/>
    <s v="EUR"/>
    <n v="-118547.31"/>
    <n v="-138635.152"/>
    <n v="3749.8649999999998"/>
    <n v="-3749.8649999999998"/>
    <s v="Neste Oyj"/>
    <s v="Katarina Andersson"/>
    <s v="NESTE OYJ /51095008 MELTWATER FINLA ND OYSCOR 2119300004318316"/>
    <m/>
    <m/>
    <m/>
    <m/>
    <m/>
    <m/>
    <m/>
    <m/>
    <m/>
    <m/>
    <m/>
    <m/>
    <m/>
    <m/>
    <m/>
    <m/>
    <m/>
    <m/>
    <m/>
    <m/>
    <m/>
    <m/>
    <m/>
    <m/>
    <m/>
    <m/>
    <m/>
    <m/>
    <m/>
    <m/>
    <m/>
    <m/>
    <m/>
    <m/>
    <m/>
    <m/>
    <m/>
    <m/>
    <m/>
    <m/>
    <m/>
    <m/>
    <m/>
    <m/>
    <m/>
    <m/>
    <m/>
    <m/>
    <m/>
    <m/>
    <m/>
    <m/>
    <m/>
    <m/>
    <m/>
    <m/>
  </r>
  <r>
    <s v="421 - Finland"/>
    <d v="2023-08-21T00:00:00"/>
    <s v="AUGUST"/>
    <n v="2023"/>
    <x v="3"/>
    <s v="Deposited"/>
    <s v="PMT-S115-28478"/>
    <s v=""/>
    <s v="EUR"/>
    <n v="-2046"/>
    <n v="-2392.6950000000002"/>
    <n v="2392.6950000000002"/>
    <n v="-2392.6950000000002"/>
    <s v="Tuska Festival Oy"/>
    <s v="Katarina Andersson"/>
    <s v="TUSKA FESTIVAL OY /51095008 MELTWAT ER FINLAND OYSCOR 2119300004290188"/>
    <m/>
    <m/>
    <m/>
    <m/>
    <m/>
    <m/>
    <m/>
    <m/>
    <m/>
    <m/>
    <m/>
    <m/>
    <m/>
    <m/>
    <m/>
    <m/>
    <m/>
    <m/>
    <m/>
    <m/>
    <m/>
    <m/>
    <m/>
    <m/>
    <m/>
    <m/>
    <m/>
    <m/>
    <m/>
    <m/>
    <m/>
    <m/>
    <m/>
    <m/>
    <m/>
    <m/>
    <m/>
    <m/>
    <m/>
    <m/>
    <m/>
    <m/>
    <m/>
    <m/>
    <m/>
    <m/>
    <m/>
    <m/>
    <m/>
    <m/>
    <m/>
    <m/>
    <m/>
    <m/>
    <m/>
    <m/>
  </r>
  <r>
    <s v="421 - Finland"/>
    <d v="2026-01-02T00:00:00"/>
    <s v="JANUARY"/>
    <n v="2026"/>
    <x v="3"/>
    <s v="Deposited"/>
    <s v="PMT-S115-33052"/>
    <s v=""/>
    <s v="EUR"/>
    <n v="-2008"/>
    <n v="-2348.2559999999999"/>
    <n v="2348.2559999999999"/>
    <n v="-2348.2559999999999"/>
    <s v="Spin18 Oy"/>
    <s v="Katarina Andersson"/>
    <s v="SPIN18 OY/EREF/E320999B197104/ORDP//NAME/SPIN18 OY/REMI//CDTRREFTP//CD/SCOR/CDTRREF/2119300004336877SPIN18 OY"/>
    <m/>
    <m/>
    <m/>
    <m/>
    <m/>
    <m/>
    <m/>
    <m/>
    <m/>
    <m/>
    <m/>
    <m/>
    <m/>
    <m/>
    <m/>
    <m/>
    <m/>
    <m/>
    <m/>
    <m/>
    <m/>
    <m/>
    <m/>
    <m/>
    <m/>
    <m/>
    <m/>
    <m/>
    <m/>
    <m/>
    <m/>
    <m/>
    <m/>
    <m/>
    <m/>
    <m/>
    <m/>
    <m/>
    <m/>
    <m/>
    <m/>
    <m/>
    <m/>
    <m/>
    <m/>
    <m/>
    <m/>
    <m/>
    <m/>
    <m/>
    <m/>
    <m/>
    <m/>
    <m/>
    <m/>
    <m/>
  </r>
  <r>
    <s v="421 - Finland"/>
    <d v="2022-07-29T00:00:00"/>
    <s v="JULY"/>
    <n v="2022"/>
    <x v="3"/>
    <s v="Deposited"/>
    <s v="PMT-S115-25775"/>
    <s v=""/>
    <s v="EUR"/>
    <n v="-1860"/>
    <n v="-2175.1770000000001"/>
    <n v="2175.1770000000001"/>
    <n v="-2175.1770000000001"/>
    <s v="Proscreen Finland Oy"/>
    <s v="Katarina Andersson"/>
    <s v=""/>
    <m/>
    <m/>
    <m/>
    <m/>
    <m/>
    <m/>
    <m/>
    <m/>
    <m/>
    <m/>
    <m/>
    <m/>
    <m/>
    <m/>
    <m/>
    <m/>
    <m/>
    <m/>
    <m/>
    <m/>
    <m/>
    <m/>
    <m/>
    <m/>
    <m/>
    <m/>
    <m/>
    <m/>
    <m/>
    <m/>
    <m/>
    <m/>
    <m/>
    <m/>
    <m/>
    <m/>
    <m/>
    <m/>
    <m/>
    <m/>
    <m/>
    <m/>
    <m/>
    <m/>
    <m/>
    <m/>
    <m/>
    <m/>
    <m/>
    <m/>
    <m/>
    <m/>
    <m/>
    <m/>
    <m/>
    <m/>
  </r>
  <r>
    <s v="421 - Finland"/>
    <d v="2022-08-25T00:00:00"/>
    <s v="AUGUST"/>
    <n v="2022"/>
    <x v="3"/>
    <s v="Deposited"/>
    <s v="PMT-S115-25891"/>
    <s v=""/>
    <s v="EUR"/>
    <n v="-1655.4"/>
    <n v="-1935.9079999999999"/>
    <n v="1935.9079999999999"/>
    <n v="-1935.9079999999999"/>
    <s v="Jones Lang LaSalle Finland Oy"/>
    <s v="Katarina Andersson"/>
    <s v="ACH CONCENTRATION CREDIT ACH CASH CONCENTRATION JLL AMERICAS-EDI/EFTPMT"/>
    <m/>
    <m/>
    <m/>
    <m/>
    <m/>
    <m/>
    <m/>
    <m/>
    <m/>
    <m/>
    <m/>
    <m/>
    <m/>
    <m/>
    <m/>
    <m/>
    <m/>
    <m/>
    <m/>
    <m/>
    <m/>
    <m/>
    <m/>
    <m/>
    <m/>
    <m/>
    <m/>
    <m/>
    <m/>
    <m/>
    <m/>
    <m/>
    <m/>
    <m/>
    <m/>
    <m/>
    <m/>
    <m/>
    <m/>
    <m/>
    <m/>
    <m/>
    <m/>
    <m/>
    <m/>
    <m/>
    <m/>
    <m/>
    <m/>
    <m/>
    <m/>
    <m/>
    <m/>
    <m/>
    <m/>
    <m/>
  </r>
  <r>
    <s v="421 - Finland"/>
    <d v="2025-06-30T00:00:00"/>
    <s v="JUNE"/>
    <n v="2025"/>
    <x v="3"/>
    <s v="Not Deposited"/>
    <s v="PMT-S115-32230"/>
    <s v="IN-S115-433181"/>
    <s v="EUR"/>
    <n v="-3720"/>
    <n v="-4350.3540000000003"/>
    <n v="1796.626"/>
    <n v="-3287.768"/>
    <s v="Wolt Oy"/>
    <s v="Katarina Andersson"/>
    <s v="Moved from CM-S115-1949"/>
    <m/>
    <m/>
    <m/>
    <m/>
    <m/>
    <m/>
    <m/>
    <m/>
    <m/>
    <m/>
    <m/>
    <m/>
    <m/>
    <m/>
    <m/>
    <m/>
    <m/>
    <m/>
    <m/>
    <m/>
    <m/>
    <m/>
    <m/>
    <m/>
    <m/>
    <m/>
    <m/>
    <m/>
    <m/>
    <m/>
    <m/>
    <m/>
    <m/>
    <m/>
    <m/>
    <m/>
    <m/>
    <m/>
    <m/>
    <m/>
    <m/>
    <m/>
    <m/>
    <m/>
    <m/>
    <m/>
    <m/>
    <m/>
    <m/>
    <m/>
    <m/>
    <m/>
    <m/>
    <m/>
    <m/>
    <m/>
  </r>
  <r>
    <s v="421 - Finland"/>
    <d v="2024-03-20T00:00:00"/>
    <s v="MARCH"/>
    <n v="2024"/>
    <x v="3"/>
    <s v="Deposited"/>
    <s v="PMT-S115-29987"/>
    <s v=""/>
    <s v="EUR"/>
    <n v="-1426"/>
    <n v="-1667.636"/>
    <n v="1667.636"/>
    <n v="-1667.636"/>
    <s v="ProPellet Oy"/>
    <s v="Katarina Andersson"/>
    <s v="PROPELLET OY /51095008 MELTWATER FINLAND OYSCOR 00002119300004307071"/>
    <m/>
    <m/>
    <m/>
    <m/>
    <m/>
    <m/>
    <m/>
    <m/>
    <m/>
    <m/>
    <m/>
    <m/>
    <m/>
    <m/>
    <m/>
    <m/>
    <m/>
    <m/>
    <m/>
    <m/>
    <m/>
    <m/>
    <m/>
    <m/>
    <m/>
    <m/>
    <m/>
    <m/>
    <m/>
    <m/>
    <m/>
    <m/>
    <m/>
    <m/>
    <m/>
    <m/>
    <m/>
    <m/>
    <m/>
    <m/>
    <m/>
    <m/>
    <m/>
    <m/>
    <m/>
    <m/>
    <m/>
    <m/>
    <m/>
    <m/>
    <m/>
    <m/>
    <m/>
    <m/>
    <m/>
    <m/>
  </r>
  <r>
    <s v="421 - Finland"/>
    <d v="2025-05-15T00:00:00"/>
    <s v="MAY"/>
    <n v="2025"/>
    <x v="3"/>
    <s v="Deposited"/>
    <s v="PMT-S115-32090"/>
    <s v=""/>
    <s v="EUR"/>
    <n v="-1255"/>
    <n v="-1467.66"/>
    <n v="1467.66"/>
    <n v="-1467.66"/>
    <s v="Wolfcom Oy"/>
    <s v="Katarina Andersson"/>
    <s v="IN-S115-432925"/>
    <m/>
    <m/>
    <m/>
    <m/>
    <m/>
    <m/>
    <m/>
    <m/>
    <m/>
    <m/>
    <m/>
    <m/>
    <m/>
    <m/>
    <m/>
    <m/>
    <m/>
    <m/>
    <m/>
    <m/>
    <m/>
    <m/>
    <m/>
    <m/>
    <m/>
    <m/>
    <m/>
    <m/>
    <m/>
    <m/>
    <m/>
    <m/>
    <m/>
    <m/>
    <m/>
    <m/>
    <m/>
    <m/>
    <m/>
    <m/>
    <m/>
    <m/>
    <m/>
    <m/>
    <m/>
    <m/>
    <m/>
    <m/>
    <m/>
    <m/>
    <m/>
    <m/>
    <m/>
    <m/>
    <m/>
    <m/>
  </r>
  <r>
    <s v="421 - Finland"/>
    <d v="2023-08-21T00:00:00"/>
    <s v="AUGUST"/>
    <n v="2023"/>
    <x v="3"/>
    <s v="Deposited"/>
    <s v="PMT-S115-28473"/>
    <s v=""/>
    <s v="EUR"/>
    <n v="-1178"/>
    <n v="-1377.6120000000001"/>
    <n v="1377.6120000000001"/>
    <n v="-1377.6120000000001"/>
    <s v="Suomen Arkkitehtiliitto - Finlands Arkitektförbund ry"/>
    <s v="Katarina Andersson"/>
    <s v="SUOMEN ARKKITEHTILIITTO - /51095008 MELTWATER FINLAND OYSCOR 211930000 4290395"/>
    <m/>
    <m/>
    <m/>
    <m/>
    <m/>
    <m/>
    <m/>
    <m/>
    <m/>
    <m/>
    <m/>
    <m/>
    <m/>
    <m/>
    <m/>
    <m/>
    <m/>
    <m/>
    <m/>
    <m/>
    <m/>
    <m/>
    <m/>
    <m/>
    <m/>
    <m/>
    <m/>
    <m/>
    <m/>
    <m/>
    <m/>
    <m/>
    <m/>
    <m/>
    <m/>
    <m/>
    <m/>
    <m/>
    <m/>
    <m/>
    <m/>
    <m/>
    <m/>
    <m/>
    <m/>
    <m/>
    <m/>
    <m/>
    <m/>
    <m/>
    <m/>
    <m/>
    <m/>
    <m/>
    <m/>
    <m/>
  </r>
  <r>
    <s v="421 - Finland"/>
    <d v="2024-12-17T00:00:00"/>
    <s v="DECEMBER"/>
    <n v="2024"/>
    <x v="3"/>
    <s v="Deposited"/>
    <s v="PMT-S115-31313"/>
    <s v=""/>
    <s v="EUR"/>
    <n v="-1008.8"/>
    <n v="-1179.741"/>
    <n v="1179.741"/>
    <n v="-1179.741"/>
    <s v="Imaqen Oy"/>
    <s v="Katarina Andersson"/>
    <s v="Bankruptcy settlement: IMAQEN OY KONKURSSIPESÄ /51095008 M ELTWATER FINLAND OYSA-S115-FI-18488"/>
    <m/>
    <m/>
    <m/>
    <m/>
    <m/>
    <m/>
    <m/>
    <m/>
    <m/>
    <m/>
    <m/>
    <m/>
    <m/>
    <m/>
    <m/>
    <m/>
    <m/>
    <m/>
    <m/>
    <m/>
    <m/>
    <m/>
    <m/>
    <m/>
    <m/>
    <m/>
    <m/>
    <m/>
    <m/>
    <m/>
    <m/>
    <m/>
    <m/>
    <m/>
    <m/>
    <m/>
    <m/>
    <m/>
    <m/>
    <m/>
    <m/>
    <m/>
    <m/>
    <m/>
    <m/>
    <m/>
    <m/>
    <m/>
    <m/>
    <m/>
    <m/>
    <m/>
    <m/>
    <m/>
    <m/>
    <m/>
  </r>
  <r>
    <s v="421 - Finland"/>
    <d v="2026-05-04T00:00:00"/>
    <s v="MAY"/>
    <n v="2026"/>
    <x v="3"/>
    <s v="Deposited"/>
    <s v="PMT-S115-33604"/>
    <s v=""/>
    <s v="EUR"/>
    <n v="-840.85"/>
    <n v="-983.33199999999999"/>
    <n v="983.33199999999999"/>
    <n v="-1722.4480000000001"/>
    <s v="Bluet Oy Ltd"/>
    <s v="Katarina Andersson"/>
    <s v="Bluet Oy Ltd Scor000021193000043451147000120000008748"/>
    <m/>
    <m/>
    <m/>
    <m/>
    <m/>
    <m/>
    <m/>
    <m/>
    <m/>
    <m/>
    <m/>
    <m/>
    <m/>
    <m/>
    <m/>
    <m/>
    <m/>
    <m/>
    <m/>
    <m/>
    <m/>
    <m/>
    <m/>
    <m/>
    <m/>
    <m/>
    <m/>
    <m/>
    <m/>
    <m/>
    <m/>
    <m/>
    <m/>
    <m/>
    <m/>
    <m/>
    <m/>
    <m/>
    <m/>
    <m/>
    <m/>
    <m/>
    <m/>
    <m/>
    <m/>
    <m/>
    <m/>
    <m/>
    <m/>
    <m/>
    <m/>
    <m/>
    <m/>
    <m/>
    <m/>
    <m/>
  </r>
  <r>
    <s v="421 - Finland"/>
    <d v="2024-09-12T00:00:00"/>
    <s v="SEPTEMBER"/>
    <n v="2024"/>
    <x v="3"/>
    <s v="Deposited"/>
    <s v="PMT-S115-30730"/>
    <s v=""/>
    <s v="EUR"/>
    <n v="-830.8"/>
    <n v="-971.57899999999995"/>
    <n v="971.57899999999995"/>
    <n v="-1943.1579999999999"/>
    <s v="Bamla Agency Oy"/>
    <s v="Katarina Andersson"/>
    <s v="BAMLA AGENCY OY /51095008 MELTWATER FINLAND OY06.09.2024 CM-S115-2009"/>
    <m/>
    <m/>
    <m/>
    <m/>
    <m/>
    <m/>
    <m/>
    <m/>
    <m/>
    <m/>
    <m/>
    <m/>
    <m/>
    <m/>
    <m/>
    <m/>
    <m/>
    <m/>
    <m/>
    <m/>
    <m/>
    <m/>
    <m/>
    <m/>
    <m/>
    <m/>
    <m/>
    <m/>
    <m/>
    <m/>
    <m/>
    <m/>
    <m/>
    <m/>
    <m/>
    <m/>
    <m/>
    <m/>
    <m/>
    <m/>
    <m/>
    <m/>
    <m/>
    <m/>
    <m/>
    <m/>
    <m/>
    <m/>
    <m/>
    <m/>
    <m/>
    <m/>
    <m/>
    <m/>
    <m/>
    <m/>
  </r>
  <r>
    <s v="421 - Finland"/>
    <d v="2024-09-20T00:00:00"/>
    <s v="SEPTEMBER"/>
    <n v="2024"/>
    <x v="3"/>
    <s v="Deposited"/>
    <s v="PMT-S115-30773"/>
    <s v="IN-S115-431652"/>
    <s v="EUR"/>
    <n v="-840.85"/>
    <n v="-983.33199999999999"/>
    <n v="971.57899999999995"/>
    <n v="-1943.1579999999999"/>
    <s v="Bamla Agency Oy"/>
    <s v="Katarina Andersson"/>
    <s v="IN-S115-431652"/>
    <m/>
    <m/>
    <m/>
    <m/>
    <m/>
    <m/>
    <m/>
    <m/>
    <m/>
    <m/>
    <m/>
    <m/>
    <m/>
    <m/>
    <m/>
    <m/>
    <m/>
    <m/>
    <m/>
    <m/>
    <m/>
    <m/>
    <m/>
    <m/>
    <m/>
    <m/>
    <m/>
    <m/>
    <m/>
    <m/>
    <m/>
    <m/>
    <m/>
    <m/>
    <m/>
    <m/>
    <m/>
    <m/>
    <m/>
    <m/>
    <m/>
    <m/>
    <m/>
    <m/>
    <m/>
    <m/>
    <m/>
    <m/>
    <m/>
    <m/>
    <m/>
    <m/>
    <m/>
    <m/>
    <m/>
    <m/>
  </r>
  <r>
    <s v="421 - Finland"/>
    <d v="2025-08-07T00:00:00"/>
    <s v="AUGUST"/>
    <n v="2025"/>
    <x v="3"/>
    <s v="Deposited"/>
    <s v="PMT-S115-32424"/>
    <s v="IN-S115-433340"/>
    <s v="EUR"/>
    <n v="-1302.69"/>
    <n v="-1523.431"/>
    <n v="877.66099999999994"/>
    <n v="-3287.768"/>
    <s v="Wolt Oy"/>
    <s v="Katarina Andersson"/>
    <s v="WOLT OY/EREF/001DOGF030417/ORDP//NAME/WOLT OY/REMI//CDTRREFTP//CD/SCOR/CDTRREF/2119300004332680WOLT OY"/>
    <m/>
    <m/>
    <m/>
    <m/>
    <m/>
    <m/>
    <m/>
    <m/>
    <m/>
    <m/>
    <m/>
    <m/>
    <m/>
    <m/>
    <m/>
    <m/>
    <m/>
    <m/>
    <m/>
    <m/>
    <m/>
    <m/>
    <m/>
    <m/>
    <m/>
    <m/>
    <m/>
    <m/>
    <m/>
    <m/>
    <m/>
    <m/>
    <m/>
    <m/>
    <m/>
    <m/>
    <m/>
    <m/>
    <m/>
    <m/>
    <m/>
    <m/>
    <m/>
    <m/>
    <m/>
    <m/>
    <m/>
    <m/>
    <m/>
    <m/>
    <m/>
    <m/>
    <m/>
    <m/>
    <m/>
    <m/>
  </r>
  <r>
    <s v="421 - Finland"/>
    <d v="2023-10-05T00:00:00"/>
    <s v="OCTOBER"/>
    <n v="2023"/>
    <x v="3"/>
    <s v="Deposited"/>
    <s v="PMT-S115-28761"/>
    <s v=""/>
    <s v="EUR"/>
    <n v="-723.34"/>
    <n v="-845.91"/>
    <n v="845.91"/>
    <n v="-845.91"/>
    <s v="Nomade Collection Ab"/>
    <s v="Katarina Andersson"/>
    <s v="NOMADE COLLECTION AB /51095008 MELT WATER FINLAND OYSCOR 00002119300004 270946"/>
    <m/>
    <m/>
    <m/>
    <m/>
    <m/>
    <m/>
    <m/>
    <m/>
    <m/>
    <m/>
    <m/>
    <m/>
    <m/>
    <m/>
    <m/>
    <m/>
    <m/>
    <m/>
    <m/>
    <m/>
    <m/>
    <m/>
    <m/>
    <m/>
    <m/>
    <m/>
    <m/>
    <m/>
    <m/>
    <m/>
    <m/>
    <m/>
    <m/>
    <m/>
    <m/>
    <m/>
    <m/>
    <m/>
    <m/>
    <m/>
    <m/>
    <m/>
    <m/>
    <m/>
    <m/>
    <m/>
    <m/>
    <m/>
    <m/>
    <m/>
    <m/>
    <m/>
    <m/>
    <m/>
    <m/>
    <m/>
  </r>
  <r>
    <s v="421 - Finland"/>
    <d v="2025-10-02T00:00:00"/>
    <s v="OCTOBER"/>
    <n v="2025"/>
    <x v="3"/>
    <s v="Deposited"/>
    <s v="PMT-S115-32610"/>
    <s v="IN-S115-434511"/>
    <s v="EUR"/>
    <n v="-1472.87"/>
    <n v="-1722.4480000000001"/>
    <n v="739.11599999999999"/>
    <n v="-1722.4480000000001"/>
    <s v="Bluet Oy Ltd"/>
    <s v="Katarina Andersson"/>
    <s v="BLUET OY LTD/EREF/0000023087000120000007989/ORDP//NAME/BLUET OY LTD/REMI//CDTRREFTP//CD/SCOR/CDTRREF/2119300004333139BLUET OY LTD"/>
    <m/>
    <m/>
    <m/>
    <m/>
    <m/>
    <m/>
    <m/>
    <m/>
    <m/>
    <m/>
    <m/>
    <m/>
    <m/>
    <m/>
    <m/>
    <m/>
    <m/>
    <m/>
    <m/>
    <m/>
    <m/>
    <m/>
    <m/>
    <m/>
    <m/>
    <m/>
    <m/>
    <m/>
    <m/>
    <m/>
    <m/>
    <m/>
    <m/>
    <m/>
    <m/>
    <m/>
    <m/>
    <m/>
    <m/>
    <m/>
    <m/>
    <m/>
    <m/>
    <m/>
    <m/>
    <m/>
    <m/>
    <m/>
    <m/>
    <m/>
    <m/>
    <m/>
    <m/>
    <m/>
    <m/>
    <m/>
  </r>
  <r>
    <s v="421 - Finland"/>
    <d v="2023-04-17T00:00:00"/>
    <s v="APRIL"/>
    <n v="2023"/>
    <x v="3"/>
    <s v="Deposited"/>
    <s v="PMT-S115-27832"/>
    <s v="IN-S115-428404"/>
    <s v="EUR"/>
    <n v="-9765"/>
    <n v="-11419.679"/>
    <n v="725.04700000000003"/>
    <n v="-725.04700000000003"/>
    <s v="Helen Oy"/>
    <s v="Katarina Andersson"/>
    <s v=""/>
    <m/>
    <m/>
    <m/>
    <m/>
    <m/>
    <m/>
    <m/>
    <m/>
    <m/>
    <m/>
    <m/>
    <m/>
    <m/>
    <m/>
    <m/>
    <m/>
    <m/>
    <m/>
    <m/>
    <m/>
    <m/>
    <m/>
    <m/>
    <m/>
    <m/>
    <m/>
    <m/>
    <m/>
    <m/>
    <m/>
    <m/>
    <m/>
    <m/>
    <m/>
    <m/>
    <m/>
    <m/>
    <m/>
    <m/>
    <m/>
    <m/>
    <m/>
    <m/>
    <m/>
    <m/>
    <m/>
    <m/>
    <m/>
    <m/>
    <m/>
    <m/>
    <m/>
    <m/>
    <m/>
    <m/>
    <m/>
  </r>
  <r>
    <s v="421 - Finland"/>
    <d v="2025-09-30T00:00:00"/>
    <s v="SEPTEMBER"/>
    <n v="2025"/>
    <x v="3"/>
    <s v="Deposited"/>
    <s v="PMT-S115-32588"/>
    <s v=""/>
    <s v="EUR"/>
    <n v="-552.20000000000005"/>
    <n v="-645.77"/>
    <n v="645.77"/>
    <n v="-3287.768"/>
    <s v="Wolt Oy"/>
    <s v="Katarina Andersson"/>
    <s v="WOLT OY/EREF/001DOGF031878/ORDP//NAME/WOLT OY/REMI//CDTRREFTP//CD/SCOR/CDTRREF/2119300004334646WOLT OY"/>
    <m/>
    <m/>
    <m/>
    <m/>
    <m/>
    <m/>
    <m/>
    <m/>
    <m/>
    <m/>
    <m/>
    <m/>
    <m/>
    <m/>
    <m/>
    <m/>
    <m/>
    <m/>
    <m/>
    <m/>
    <m/>
    <m/>
    <m/>
    <m/>
    <m/>
    <m/>
    <m/>
    <m/>
    <m/>
    <m/>
    <m/>
    <m/>
    <m/>
    <m/>
    <m/>
    <m/>
    <m/>
    <m/>
    <m/>
    <m/>
    <m/>
    <m/>
    <m/>
    <m/>
    <m/>
    <m/>
    <m/>
    <m/>
    <m/>
    <m/>
    <m/>
    <m/>
    <m/>
    <m/>
    <m/>
    <m/>
  </r>
  <r>
    <s v="421 - Finland"/>
    <d v="2025-09-30T00:00:00"/>
    <s v="SEPTEMBER"/>
    <n v="2025"/>
    <x v="3"/>
    <s v="Deposited"/>
    <s v="PMT-S115-32589"/>
    <s v=""/>
    <s v="EUR"/>
    <n v="-552.20000000000005"/>
    <n v="-645.77"/>
    <n v="645.77"/>
    <n v="-3287.768"/>
    <s v="Wolt Oy"/>
    <s v="Katarina Andersson"/>
    <s v="WOLT OY/EREF/001DOGF031836/ORDP//NAME/WOLT OY/REMI//CDTRREFTP//CD/SCOR/CDTRREF/2119300004333401WOLT OY"/>
    <m/>
    <m/>
    <m/>
    <m/>
    <m/>
    <m/>
    <m/>
    <m/>
    <m/>
    <m/>
    <m/>
    <m/>
    <m/>
    <m/>
    <m/>
    <m/>
    <m/>
    <m/>
    <m/>
    <m/>
    <m/>
    <m/>
    <m/>
    <m/>
    <m/>
    <m/>
    <m/>
    <m/>
    <m/>
    <m/>
    <m/>
    <m/>
    <m/>
    <m/>
    <m/>
    <m/>
    <m/>
    <m/>
    <m/>
    <m/>
    <m/>
    <m/>
    <m/>
    <m/>
    <m/>
    <m/>
    <m/>
    <m/>
    <m/>
    <m/>
    <m/>
    <m/>
    <m/>
    <m/>
    <m/>
    <m/>
  </r>
  <r>
    <s v="421 - Finland"/>
    <d v="2025-03-06T00:00:00"/>
    <s v="MARCH"/>
    <n v="2025"/>
    <x v="3"/>
    <s v="Deposited"/>
    <s v="PMT-S115-31820"/>
    <s v="IN-S115-432373"/>
    <s v="EUR"/>
    <n v="-3983.01"/>
    <n v="-4657.9309999999996"/>
    <n v="404.65300000000002"/>
    <n v="-404.65300000000002"/>
    <s v="Drop Design Pool Oy"/>
    <s v="Katarina Andersson"/>
    <s v="INTRUM OY /51095008 MELTWATER FINLA ND OYTilityserittely 06.03.2025 toi meksiantajanumero 3268350"/>
    <m/>
    <m/>
    <m/>
    <m/>
    <m/>
    <m/>
    <m/>
    <m/>
    <m/>
    <m/>
    <m/>
    <m/>
    <m/>
    <m/>
    <m/>
    <m/>
    <m/>
    <m/>
    <m/>
    <m/>
    <m/>
    <m/>
    <m/>
    <m/>
    <m/>
    <m/>
    <m/>
    <m/>
    <m/>
    <m/>
    <m/>
    <m/>
    <m/>
    <m/>
    <m/>
    <m/>
    <m/>
    <m/>
    <m/>
    <m/>
    <m/>
    <m/>
    <m/>
    <m/>
    <m/>
    <m/>
    <m/>
    <m/>
    <m/>
    <m/>
    <m/>
    <m/>
    <m/>
    <m/>
    <m/>
    <m/>
  </r>
  <r>
    <s v="421 - Finland"/>
    <d v="2023-03-01T00:00:00"/>
    <s v="MARCH"/>
    <n v="2023"/>
    <x v="3"/>
    <s v="Deposited"/>
    <s v="PMT-S115-27528"/>
    <s v="IN-S115-428097"/>
    <s v="EUR"/>
    <n v="-4857.08"/>
    <n v="-5680.1120000000001"/>
    <n v="387.18200000000002"/>
    <n v="-5680.1120000000001"/>
    <s v="Diktamen Oy"/>
    <s v="Katarina Andersson"/>
    <s v="overpaid - CM"/>
    <m/>
    <m/>
    <m/>
    <m/>
    <m/>
    <m/>
    <m/>
    <m/>
    <m/>
    <m/>
    <m/>
    <m/>
    <m/>
    <m/>
    <m/>
    <m/>
    <m/>
    <m/>
    <m/>
    <m/>
    <m/>
    <m/>
    <m/>
    <m/>
    <m/>
    <m/>
    <m/>
    <m/>
    <m/>
    <m/>
    <m/>
    <m/>
    <m/>
    <m/>
    <m/>
    <m/>
    <m/>
    <m/>
    <m/>
    <m/>
    <m/>
    <m/>
    <m/>
    <m/>
    <m/>
    <m/>
    <m/>
    <m/>
    <m/>
    <m/>
    <m/>
    <m/>
    <m/>
    <m/>
    <m/>
    <m/>
  </r>
  <r>
    <s v="421 - Finland"/>
    <d v="2025-07-16T00:00:00"/>
    <s v="JULY"/>
    <n v="2025"/>
    <x v="3"/>
    <s v="Deposited"/>
    <s v="PMT-S115-32343"/>
    <s v="IN-S115-433268"/>
    <s v="EUR"/>
    <n v="-1631.5"/>
    <n v="-1907.9580000000001"/>
    <n v="384.52699999999999"/>
    <n v="-384.52699999999999"/>
    <s v="Wolt Enterprises Oy"/>
    <s v="Katarina Andersson"/>
    <s v="IN-S115-433180"/>
    <m/>
    <m/>
    <m/>
    <m/>
    <m/>
    <m/>
    <m/>
    <m/>
    <m/>
    <m/>
    <m/>
    <m/>
    <m/>
    <m/>
    <m/>
    <m/>
    <m/>
    <m/>
    <m/>
    <m/>
    <m/>
    <m/>
    <m/>
    <m/>
    <m/>
    <m/>
    <m/>
    <m/>
    <m/>
    <m/>
    <m/>
    <m/>
    <m/>
    <m/>
    <m/>
    <m/>
    <m/>
    <m/>
    <m/>
    <m/>
    <m/>
    <m/>
    <m/>
    <m/>
    <m/>
    <m/>
    <m/>
    <m/>
    <m/>
    <m/>
    <m/>
    <m/>
    <m/>
    <m/>
    <m/>
    <m/>
  </r>
  <r>
    <s v="421 - Finland"/>
    <d v="2023-12-13T00:00:00"/>
    <s v="DECEMBER"/>
    <n v="2023"/>
    <x v="3"/>
    <s v="Deposited"/>
    <s v="PMT-S115-29244"/>
    <s v=""/>
    <s v="EUR"/>
    <n v="-240.66"/>
    <n v="-281.44"/>
    <n v="281.44"/>
    <n v="-281.44"/>
    <s v="Jolla Oy"/>
    <s v="Katarina Andersson"/>
    <s v="JOLLA OY /51095008 MELTWATER FINLAN D OYJolla Oy (Y: 2399817-6) saneera usohjelma maksuosuus."/>
    <m/>
    <m/>
    <m/>
    <m/>
    <m/>
    <m/>
    <m/>
    <m/>
    <m/>
    <m/>
    <m/>
    <m/>
    <m/>
    <m/>
    <m/>
    <m/>
    <m/>
    <m/>
    <m/>
    <m/>
    <m/>
    <m/>
    <m/>
    <m/>
    <m/>
    <m/>
    <m/>
    <m/>
    <m/>
    <m/>
    <m/>
    <m/>
    <m/>
    <m/>
    <m/>
    <m/>
    <m/>
    <m/>
    <m/>
    <m/>
    <m/>
    <m/>
    <m/>
    <m/>
    <m/>
    <m/>
    <m/>
    <m/>
    <m/>
    <m/>
    <m/>
    <m/>
    <m/>
    <m/>
    <m/>
    <m/>
  </r>
  <r>
    <s v="421 - Finland"/>
    <d v="2025-12-17T00:00:00"/>
    <s v="DECEMBER"/>
    <n v="2025"/>
    <x v="3"/>
    <s v="Deposited"/>
    <s v="PMT-S115-32903"/>
    <s v="IN-S115-433707"/>
    <s v="EUR"/>
    <n v="-10667.5"/>
    <n v="-12475.108"/>
    <n v="172.41200000000001"/>
    <n v="-172.41200000000001"/>
    <s v="Intrum Oy"/>
    <s v="Katarina Andersson"/>
    <s v="INTRUM OY/EREF/EFTPMT 00302537/ORDP//NAME/INTRUM OY/REMI//CDTRREFTP//CD/SCOR/CDTRREF/2119300004337070INTRUM OY"/>
    <m/>
    <m/>
    <m/>
    <m/>
    <m/>
    <m/>
    <m/>
    <m/>
    <m/>
    <m/>
    <m/>
    <m/>
    <m/>
    <m/>
    <m/>
    <m/>
    <m/>
    <m/>
    <m/>
    <m/>
    <m/>
    <m/>
    <m/>
    <m/>
    <m/>
    <m/>
    <m/>
    <m/>
    <m/>
    <m/>
    <m/>
    <m/>
    <m/>
    <m/>
    <m/>
    <m/>
    <m/>
    <m/>
    <m/>
    <m/>
    <m/>
    <m/>
    <m/>
    <m/>
    <m/>
    <m/>
    <m/>
    <m/>
    <m/>
    <m/>
    <m/>
    <m/>
    <m/>
    <m/>
    <m/>
    <m/>
  </r>
  <r>
    <s v="421 - Finland"/>
    <d v="2022-07-14T00:00:00"/>
    <s v="JULY"/>
    <n v="2022"/>
    <x v="3"/>
    <s v="Deposited"/>
    <s v="PMT-S115-25724"/>
    <s v=""/>
    <s v="EUR"/>
    <n v="-114.61"/>
    <n v="-134.03100000000001"/>
    <n v="134.03100000000001"/>
    <n v="7644.5659999999998"/>
    <s v="Lännen Tractors Oy"/>
    <s v="Katarina Andersson"/>
    <s v=""/>
    <m/>
    <m/>
    <m/>
    <m/>
    <m/>
    <m/>
    <m/>
    <m/>
    <m/>
    <m/>
    <m/>
    <m/>
    <m/>
    <m/>
    <m/>
    <m/>
    <m/>
    <m/>
    <m/>
    <m/>
    <m/>
    <m/>
    <m/>
    <m/>
    <m/>
    <m/>
    <m/>
    <m/>
    <m/>
    <m/>
    <m/>
    <m/>
    <m/>
    <m/>
    <m/>
    <m/>
    <m/>
    <m/>
    <m/>
    <m/>
    <m/>
    <m/>
    <m/>
    <m/>
    <m/>
    <m/>
    <m/>
    <m/>
    <m/>
    <m/>
    <m/>
    <m/>
    <m/>
    <m/>
    <m/>
    <m/>
  </r>
  <r>
    <s v="431 - Norway"/>
    <d v="2025-01-24T00:00:00"/>
    <s v="JANUARY"/>
    <n v="2025"/>
    <x v="3"/>
    <s v="Deposited"/>
    <s v="PMT-S127-13685"/>
    <s v=""/>
    <s v="NOK"/>
    <n v="-116550"/>
    <n v="-12475.046"/>
    <n v="12475.046"/>
    <n v="-12475.046"/>
    <s v="Manta Marine Technologies AS"/>
    <s v="Katarina Andersson"/>
    <s v="FAKTURA IN-S127-413698 116.550,00"/>
    <m/>
    <m/>
    <m/>
    <m/>
    <m/>
    <m/>
    <m/>
    <m/>
    <m/>
    <m/>
    <m/>
    <m/>
    <m/>
    <m/>
    <m/>
    <m/>
    <m/>
    <m/>
    <m/>
    <m/>
    <m/>
    <m/>
    <m/>
    <m/>
    <m/>
    <m/>
    <m/>
    <m/>
    <m/>
    <m/>
    <m/>
    <m/>
    <m/>
    <m/>
    <m/>
    <m/>
    <m/>
    <m/>
    <m/>
    <m/>
    <m/>
    <m/>
    <m/>
    <m/>
    <m/>
    <m/>
    <m/>
    <m/>
    <m/>
    <m/>
    <m/>
    <m/>
    <m/>
    <m/>
    <m/>
    <m/>
  </r>
  <r>
    <s v="431 - Norway"/>
    <d v="2024-01-11T00:00:00"/>
    <s v="JANUARY"/>
    <n v="2024"/>
    <x v="3"/>
    <s v="Deposited"/>
    <s v="PMT-S127-13123"/>
    <s v="IN-S127-413125"/>
    <s v="NOK"/>
    <n v="-109911.25"/>
    <n v="-11764.460999999999"/>
    <n v="10229.966"/>
    <n v="-10229.966"/>
    <s v="AKVA GROUP ASA"/>
    <s v="Katarina Andersson"/>
    <s v="IN-S127-413125 11.01.2024 109.911,25"/>
    <m/>
    <m/>
    <m/>
    <m/>
    <m/>
    <m/>
    <m/>
    <m/>
    <m/>
    <m/>
    <m/>
    <m/>
    <m/>
    <m/>
    <m/>
    <m/>
    <m/>
    <m/>
    <m/>
    <m/>
    <m/>
    <m/>
    <m/>
    <m/>
    <m/>
    <m/>
    <m/>
    <m/>
    <m/>
    <m/>
    <m/>
    <m/>
    <m/>
    <m/>
    <m/>
    <m/>
    <m/>
    <m/>
    <m/>
    <m/>
    <m/>
    <m/>
    <m/>
    <m/>
    <m/>
    <m/>
    <m/>
    <m/>
    <m/>
    <m/>
    <m/>
    <m/>
    <m/>
    <m/>
    <m/>
    <m/>
  </r>
  <r>
    <s v="431 - Norway"/>
    <d v="2022-08-01T00:00:00"/>
    <s v="AUGUST"/>
    <n v="2022"/>
    <x v="3"/>
    <s v="Deposited"/>
    <s v="PMT-S127-12138"/>
    <s v="IN-S127-412026"/>
    <s v="NOK"/>
    <n v="-162750"/>
    <n v="-17420.109"/>
    <n v="8710.0550000000003"/>
    <n v="-8710.0550000000003"/>
    <s v="AGDER KOLLEKTIVTRAFIKK AS"/>
    <s v="Katarina Andersson"/>
    <s v=""/>
    <m/>
    <m/>
    <m/>
    <m/>
    <m/>
    <m/>
    <m/>
    <m/>
    <m/>
    <m/>
    <m/>
    <m/>
    <m/>
    <m/>
    <m/>
    <m/>
    <m/>
    <m/>
    <m/>
    <m/>
    <m/>
    <m/>
    <m/>
    <m/>
    <m/>
    <m/>
    <m/>
    <m/>
    <m/>
    <m/>
    <m/>
    <m/>
    <m/>
    <m/>
    <m/>
    <m/>
    <m/>
    <m/>
    <m/>
    <m/>
    <m/>
    <m/>
    <m/>
    <m/>
    <m/>
    <m/>
    <m/>
    <m/>
    <m/>
    <m/>
    <m/>
    <m/>
    <m/>
    <m/>
    <m/>
    <m/>
  </r>
  <r>
    <s v="431 - Norway"/>
    <d v="2023-01-16T00:00:00"/>
    <s v="JANUARY"/>
    <n v="2023"/>
    <x v="3"/>
    <s v="Deposited"/>
    <s v="PMT-S127-12526"/>
    <s v=""/>
    <s v="NOK"/>
    <n v="-76187.5"/>
    <n v="-8154.8050000000003"/>
    <n v="8154.8050000000003"/>
    <n v="-8154.8050000000003"/>
    <s v="TAMPNET AS"/>
    <s v="Katarina Andersson"/>
    <s v="TAMPNET AS"/>
    <m/>
    <m/>
    <m/>
    <m/>
    <m/>
    <m/>
    <m/>
    <m/>
    <m/>
    <m/>
    <m/>
    <m/>
    <m/>
    <m/>
    <m/>
    <m/>
    <m/>
    <m/>
    <m/>
    <m/>
    <m/>
    <m/>
    <m/>
    <m/>
    <m/>
    <m/>
    <m/>
    <m/>
    <m/>
    <m/>
    <m/>
    <m/>
    <m/>
    <m/>
    <m/>
    <m/>
    <m/>
    <m/>
    <m/>
    <m/>
    <m/>
    <m/>
    <m/>
    <m/>
    <m/>
    <m/>
    <m/>
    <m/>
    <m/>
    <m/>
    <m/>
    <m/>
    <m/>
    <m/>
    <m/>
    <m/>
  </r>
  <r>
    <s v="431 - Norway"/>
    <d v="2025-03-07T00:00:00"/>
    <s v="MARCH"/>
    <n v="2025"/>
    <x v="3"/>
    <s v="Deposited"/>
    <s v="PMT-S127-13732"/>
    <s v=""/>
    <s v="NOK"/>
    <n v="-42655"/>
    <n v="-4565.6210000000001"/>
    <n v="4565.6210000000001"/>
    <n v="-12141.629000000001"/>
    <s v="Ergon Nordic AS"/>
    <s v="Katarina Andersson"/>
    <s v="413786 01.01.0001 42.655,00"/>
    <m/>
    <m/>
    <m/>
    <m/>
    <m/>
    <m/>
    <m/>
    <m/>
    <m/>
    <m/>
    <m/>
    <m/>
    <m/>
    <m/>
    <m/>
    <m/>
    <m/>
    <m/>
    <m/>
    <m/>
    <m/>
    <m/>
    <m/>
    <m/>
    <m/>
    <m/>
    <m/>
    <m/>
    <m/>
    <m/>
    <m/>
    <m/>
    <m/>
    <m/>
    <m/>
    <m/>
    <m/>
    <m/>
    <m/>
    <m/>
    <m/>
    <m/>
    <m/>
    <m/>
    <m/>
    <m/>
    <m/>
    <m/>
    <m/>
    <m/>
    <m/>
    <m/>
    <m/>
    <m/>
    <m/>
    <m/>
  </r>
  <r>
    <s v="431 - Norway"/>
    <d v="2025-03-11T00:00:00"/>
    <s v="MARCH"/>
    <n v="2025"/>
    <x v="3"/>
    <s v="Deposited"/>
    <s v="PMT-S127-13740"/>
    <s v=""/>
    <s v="NOK"/>
    <n v="-42655"/>
    <n v="-4565.6210000000001"/>
    <n v="4565.6210000000001"/>
    <n v="-12141.629000000001"/>
    <s v="Ergon Nordic AS"/>
    <s v="Katarina Andersson"/>
    <s v="IN-S127-413786 01.01.0001 42.655,00"/>
    <m/>
    <m/>
    <m/>
    <m/>
    <m/>
    <m/>
    <m/>
    <m/>
    <m/>
    <m/>
    <m/>
    <m/>
    <m/>
    <m/>
    <m/>
    <m/>
    <m/>
    <m/>
    <m/>
    <m/>
    <m/>
    <m/>
    <m/>
    <m/>
    <m/>
    <m/>
    <m/>
    <m/>
    <m/>
    <m/>
    <m/>
    <m/>
    <m/>
    <m/>
    <m/>
    <m/>
    <m/>
    <m/>
    <m/>
    <m/>
    <m/>
    <m/>
    <m/>
    <m/>
    <m/>
    <m/>
    <m/>
    <m/>
    <m/>
    <m/>
    <m/>
    <m/>
    <m/>
    <m/>
    <m/>
    <m/>
  </r>
  <r>
    <s v="431 - Norway"/>
    <d v="2023-06-12T00:00:00"/>
    <s v="JUNE"/>
    <n v="2023"/>
    <x v="3"/>
    <s v="Deposited"/>
    <s v="PMT-S127-12770"/>
    <s v=""/>
    <s v="NOK"/>
    <n v="-36584"/>
    <n v="-3915.8049999999998"/>
    <n v="3915.8049999999998"/>
    <n v="-3915.8049999999998"/>
    <s v="BETONGPARK ANLEGG AS"/>
    <s v="Katarina Andersson"/>
    <s v="LOWELL NORGE AS"/>
    <m/>
    <m/>
    <m/>
    <m/>
    <m/>
    <m/>
    <m/>
    <m/>
    <m/>
    <m/>
    <m/>
    <m/>
    <m/>
    <m/>
    <m/>
    <m/>
    <m/>
    <m/>
    <m/>
    <m/>
    <m/>
    <m/>
    <m/>
    <m/>
    <m/>
    <m/>
    <m/>
    <m/>
    <m/>
    <m/>
    <m/>
    <m/>
    <m/>
    <m/>
    <m/>
    <m/>
    <m/>
    <m/>
    <m/>
    <m/>
    <m/>
    <m/>
    <m/>
    <m/>
    <m/>
    <m/>
    <m/>
    <m/>
    <m/>
    <m/>
    <m/>
    <m/>
    <m/>
    <m/>
    <m/>
    <m/>
  </r>
  <r>
    <s v="431 - Norway"/>
    <d v="2026-04-22T00:00:00"/>
    <s v="APRIL"/>
    <n v="2026"/>
    <x v="3"/>
    <s v="Deposited"/>
    <s v="PMT-S127-14174"/>
    <s v=""/>
    <s v="NOK"/>
    <n v="-34500"/>
    <n v="-3692.7420000000002"/>
    <n v="3692.7420000000002"/>
    <n v="-9499.4449999999997"/>
    <s v="Epax Norway AS"/>
    <s v="Katarina Andersson"/>
    <s v="6535 079740586535 34500.00 34500.00 IBS 34500.00 EPAX NORWAY AS 5805 NO POSTBOKS 444 5805 BERGEN 15039928652 BBAN Meltwater News AS 0158 NO Nedre Vollgate 3 0158 OSLO 50100542177 BBAN CINV IN -S127-414250 34500.00 2026-04-22T00:00:00+02:00 2026-04-22 1 Overføring innland E86535"/>
    <m/>
    <m/>
    <m/>
    <m/>
    <m/>
    <m/>
    <m/>
    <m/>
    <m/>
    <m/>
    <m/>
    <m/>
    <m/>
    <m/>
    <m/>
    <m/>
    <m/>
    <m/>
    <m/>
    <m/>
    <m/>
    <m/>
    <m/>
    <m/>
    <m/>
    <m/>
    <m/>
    <m/>
    <m/>
    <m/>
    <m/>
    <m/>
    <m/>
    <m/>
    <m/>
    <m/>
    <m/>
    <m/>
    <m/>
    <m/>
    <m/>
    <m/>
    <m/>
    <m/>
    <m/>
    <m/>
    <m/>
    <m/>
    <m/>
    <m/>
    <m/>
    <m/>
    <m/>
    <m/>
    <m/>
    <m/>
  </r>
  <r>
    <s v="431 - Norway"/>
    <d v="2022-04-04T00:00:00"/>
    <s v="APRIL"/>
    <n v="2022"/>
    <x v="3"/>
    <s v="Deposited"/>
    <s v="PMT-S127-11927"/>
    <s v="IN-S127-411797"/>
    <s v="NOK"/>
    <n v="-62500"/>
    <n v="-6689.75"/>
    <n v="3344.875"/>
    <n v="-9499.4449999999997"/>
    <s v="Epax Norway AS"/>
    <s v="Katarina Andersson"/>
    <s v=""/>
    <m/>
    <m/>
    <m/>
    <m/>
    <m/>
    <m/>
    <m/>
    <m/>
    <m/>
    <m/>
    <m/>
    <m/>
    <m/>
    <m/>
    <m/>
    <m/>
    <m/>
    <m/>
    <m/>
    <m/>
    <m/>
    <m/>
    <m/>
    <m/>
    <m/>
    <m/>
    <m/>
    <m/>
    <m/>
    <m/>
    <m/>
    <m/>
    <m/>
    <m/>
    <m/>
    <m/>
    <m/>
    <m/>
    <m/>
    <m/>
    <m/>
    <m/>
    <m/>
    <m/>
    <m/>
    <m/>
    <m/>
    <m/>
    <m/>
    <m/>
    <m/>
    <m/>
    <m/>
    <m/>
    <m/>
    <m/>
  </r>
  <r>
    <s v="431 - Norway"/>
    <d v="2023-09-19T00:00:00"/>
    <s v="SEPTEMBER"/>
    <n v="2023"/>
    <x v="3"/>
    <s v="Deposited"/>
    <s v="PMT-S127-12919"/>
    <s v=""/>
    <s v="NOK"/>
    <n v="-28750"/>
    <n v="-3077.2849999999999"/>
    <n v="3077.2849999999999"/>
    <n v="-3077.2849999999999"/>
    <s v="MO INDUSTRIPARK AS"/>
    <s v="Katarina Andersson"/>
    <s v="FAKTURA 412897 28.750,00 (duplicate)"/>
    <m/>
    <m/>
    <m/>
    <m/>
    <m/>
    <m/>
    <m/>
    <m/>
    <m/>
    <m/>
    <m/>
    <m/>
    <m/>
    <m/>
    <m/>
    <m/>
    <m/>
    <m/>
    <m/>
    <m/>
    <m/>
    <m/>
    <m/>
    <m/>
    <m/>
    <m/>
    <m/>
    <m/>
    <m/>
    <m/>
    <m/>
    <m/>
    <m/>
    <m/>
    <m/>
    <m/>
    <m/>
    <m/>
    <m/>
    <m/>
    <m/>
    <m/>
    <m/>
    <m/>
    <m/>
    <m/>
    <m/>
    <m/>
    <m/>
    <m/>
    <m/>
    <m/>
    <m/>
    <m/>
    <m/>
    <m/>
  </r>
  <r>
    <s v="431 - Norway"/>
    <d v="2025-12-09T00:00:00"/>
    <s v="DECEMBER"/>
    <n v="2025"/>
    <x v="3"/>
    <s v="Deposited"/>
    <s v="PMT-S127-14028"/>
    <s v=""/>
    <s v="NOK"/>
    <n v="-28125"/>
    <n v="-3010.3879999999999"/>
    <n v="3010.3879999999999"/>
    <n v="-12141.629000000001"/>
    <s v="Ergon Nordic AS"/>
    <s v="Katarina Andersson"/>
    <s v="0176 28125.00 28125.00 IBS 28125.00 NORSK ENERGIGJENVINNING AS 4628 NO MJÅVANNSVEIEN 118 4628 KRISTIANSAND S 73250510966 BBAN Meltwater News AS 0158 NO Nedre Vollgate 3 0158 OSLO 50100542177 BBAN CINV IN-S127-414098 28125.00 2025-12-09T00:00:00+01:00 2025-12-09 2 B70176"/>
    <m/>
    <m/>
    <m/>
    <m/>
    <m/>
    <m/>
    <m/>
    <m/>
    <m/>
    <m/>
    <m/>
    <m/>
    <m/>
    <m/>
    <m/>
    <m/>
    <m/>
    <m/>
    <m/>
    <m/>
    <m/>
    <m/>
    <m/>
    <m/>
    <m/>
    <m/>
    <m/>
    <m/>
    <m/>
    <m/>
    <m/>
    <m/>
    <m/>
    <m/>
    <m/>
    <m/>
    <m/>
    <m/>
    <m/>
    <m/>
    <m/>
    <m/>
    <m/>
    <m/>
    <m/>
    <m/>
    <m/>
    <m/>
    <m/>
    <m/>
    <m/>
    <m/>
    <m/>
    <m/>
    <m/>
    <m/>
  </r>
  <r>
    <s v="431 - Norway"/>
    <d v="2025-03-07T00:00:00"/>
    <s v="MARCH"/>
    <n v="2025"/>
    <x v="3"/>
    <s v="Deposited"/>
    <s v="PMT-S127-13733"/>
    <s v="IN-S127-413757"/>
    <s v="NOK"/>
    <n v="-54450"/>
    <n v="-5828.11"/>
    <n v="2914.0549999999998"/>
    <n v="-2914.0549999999998"/>
    <s v="RYSTAD ENERGY AS"/>
    <s v="Katarina Andersson"/>
    <s v="FAKTURA IN-S127-413757 27.225,00 FAKTURA 413757 27.225,00"/>
    <m/>
    <m/>
    <m/>
    <m/>
    <m/>
    <m/>
    <m/>
    <m/>
    <m/>
    <m/>
    <m/>
    <m/>
    <m/>
    <m/>
    <m/>
    <m/>
    <m/>
    <m/>
    <m/>
    <m/>
    <m/>
    <m/>
    <m/>
    <m/>
    <m/>
    <m/>
    <m/>
    <m/>
    <m/>
    <m/>
    <m/>
    <m/>
    <m/>
    <m/>
    <m/>
    <m/>
    <m/>
    <m/>
    <m/>
    <m/>
    <m/>
    <m/>
    <m/>
    <m/>
    <m/>
    <m/>
    <m/>
    <m/>
    <m/>
    <m/>
    <m/>
    <m/>
    <m/>
    <m/>
    <m/>
    <m/>
  </r>
  <r>
    <s v="431 - Norway"/>
    <d v="2026-04-30T00:00:00"/>
    <s v="APRIL"/>
    <n v="2026"/>
    <x v="3"/>
    <s v="Deposited"/>
    <s v="PMT-S127-14184"/>
    <s v=""/>
    <s v="NOK"/>
    <n v="-25987.5"/>
    <n v="-2781.598"/>
    <n v="2781.598"/>
    <n v="-2781.598"/>
    <s v="EB MARINE AS"/>
    <s v="Katarina Andersson"/>
    <s v="613 25987.50 EB MARINE AS MIDTG$RDVEIEN 16 4031 60750573188 BBAN 50100542177 BBAN EB MARINE AS 2026-04-30 2 Overføring innland 66761127059"/>
    <m/>
    <m/>
    <m/>
    <m/>
    <m/>
    <m/>
    <m/>
    <m/>
    <m/>
    <m/>
    <m/>
    <m/>
    <m/>
    <m/>
    <m/>
    <m/>
    <m/>
    <m/>
    <m/>
    <m/>
    <m/>
    <m/>
    <m/>
    <m/>
    <m/>
    <m/>
    <m/>
    <m/>
    <m/>
    <m/>
    <m/>
    <m/>
    <m/>
    <m/>
    <m/>
    <m/>
    <m/>
    <m/>
    <m/>
    <m/>
    <m/>
    <m/>
    <m/>
    <m/>
    <m/>
    <m/>
    <m/>
    <m/>
    <m/>
    <m/>
    <m/>
    <m/>
    <m/>
    <m/>
    <m/>
    <m/>
  </r>
  <r>
    <s v="431 - Norway"/>
    <d v="2023-01-11T00:00:00"/>
    <s v="JANUARY"/>
    <n v="2023"/>
    <x v="3"/>
    <s v="Deposited"/>
    <s v="PMT-S127-12514"/>
    <s v=""/>
    <s v="NOK"/>
    <n v="-24500"/>
    <n v="-2622.3820000000001"/>
    <n v="2622.3820000000001"/>
    <n v="-2622.3820000000001"/>
    <s v="Longyearbyen lokalstyre"/>
    <s v="Katarina Andersson"/>
    <s v="FAKTURA IN-S127-412409 24.500,00"/>
    <m/>
    <m/>
    <m/>
    <m/>
    <m/>
    <m/>
    <m/>
    <m/>
    <m/>
    <m/>
    <m/>
    <m/>
    <m/>
    <m/>
    <m/>
    <m/>
    <m/>
    <m/>
    <m/>
    <m/>
    <m/>
    <m/>
    <m/>
    <m/>
    <m/>
    <m/>
    <m/>
    <m/>
    <m/>
    <m/>
    <m/>
    <m/>
    <m/>
    <m/>
    <m/>
    <m/>
    <m/>
    <m/>
    <m/>
    <m/>
    <m/>
    <m/>
    <m/>
    <m/>
    <m/>
    <m/>
    <m/>
    <m/>
    <m/>
    <m/>
    <m/>
    <m/>
    <m/>
    <m/>
    <m/>
    <m/>
  </r>
  <r>
    <s v="431 - Norway"/>
    <d v="2025-04-02T00:00:00"/>
    <s v="APRIL"/>
    <n v="2025"/>
    <x v="3"/>
    <s v="Deposited"/>
    <s v="PMT-S127-13768"/>
    <s v="IN-S127-414250"/>
    <s v="NOK"/>
    <n v="-57500"/>
    <n v="-6154.57"/>
    <n v="2461.828"/>
    <n v="-9499.4449999999997"/>
    <s v="Epax Norway AS"/>
    <s v="Katarina Andersson"/>
    <s v="IN -S127-413802 01.01.0001 28.750,00 IN-S127-413802 01.01.0001 28.750,00"/>
    <m/>
    <m/>
    <m/>
    <m/>
    <m/>
    <m/>
    <m/>
    <m/>
    <m/>
    <m/>
    <m/>
    <m/>
    <m/>
    <m/>
    <m/>
    <m/>
    <m/>
    <m/>
    <m/>
    <m/>
    <m/>
    <m/>
    <m/>
    <m/>
    <m/>
    <m/>
    <m/>
    <m/>
    <m/>
    <m/>
    <m/>
    <m/>
    <m/>
    <m/>
    <m/>
    <m/>
    <m/>
    <m/>
    <m/>
    <m/>
    <m/>
    <m/>
    <m/>
    <m/>
    <m/>
    <m/>
    <m/>
    <m/>
    <m/>
    <m/>
    <m/>
    <m/>
    <m/>
    <m/>
    <m/>
    <m/>
  </r>
  <r>
    <s v="431 - Norway"/>
    <d v="2022-08-23T00:00:00"/>
    <s v="AUGUST"/>
    <n v="2022"/>
    <x v="3"/>
    <s v="Deposited"/>
    <s v="PMT-S127-12187"/>
    <s v=""/>
    <s v="NOK"/>
    <n v="-20267.5"/>
    <n v="-2169.3519999999999"/>
    <n v="2169.3519999999999"/>
    <n v="-2169.3519999999999"/>
    <s v="NETKEM AS"/>
    <s v="Katarina Andersson"/>
    <s v="IN-S127-412059"/>
    <m/>
    <m/>
    <m/>
    <m/>
    <m/>
    <m/>
    <m/>
    <m/>
    <m/>
    <m/>
    <m/>
    <m/>
    <m/>
    <m/>
    <m/>
    <m/>
    <m/>
    <m/>
    <m/>
    <m/>
    <m/>
    <m/>
    <m/>
    <m/>
    <m/>
    <m/>
    <m/>
    <m/>
    <m/>
    <m/>
    <m/>
    <m/>
    <m/>
    <m/>
    <m/>
    <m/>
    <m/>
    <m/>
    <m/>
    <m/>
    <m/>
    <m/>
    <m/>
    <m/>
    <m/>
    <m/>
    <m/>
    <m/>
    <m/>
    <m/>
    <m/>
    <m/>
    <m/>
    <m/>
    <m/>
    <m/>
  </r>
  <r>
    <s v="431 - Norway"/>
    <d v="2022-09-20T00:00:00"/>
    <s v="SEPTEMBER"/>
    <n v="2022"/>
    <x v="3"/>
    <s v="Deposited"/>
    <s v="PMT-S127-12244"/>
    <s v=""/>
    <s v="NOK"/>
    <n v="-18800"/>
    <n v="-2012.277"/>
    <n v="2012.277"/>
    <n v="-2012.277"/>
    <s v="Høyskolen Kristiania - Ernst g Mortensens Stiftelse"/>
    <s v="Katarina Andersson"/>
    <s v=""/>
    <m/>
    <m/>
    <m/>
    <m/>
    <m/>
    <m/>
    <m/>
    <m/>
    <m/>
    <m/>
    <m/>
    <m/>
    <m/>
    <m/>
    <m/>
    <m/>
    <m/>
    <m/>
    <m/>
    <m/>
    <m/>
    <m/>
    <m/>
    <m/>
    <m/>
    <m/>
    <m/>
    <m/>
    <m/>
    <m/>
    <m/>
    <m/>
    <m/>
    <m/>
    <m/>
    <m/>
    <m/>
    <m/>
    <m/>
    <m/>
    <m/>
    <m/>
    <m/>
    <m/>
    <m/>
    <m/>
    <m/>
    <m/>
    <m/>
    <m/>
    <m/>
    <m/>
    <m/>
    <m/>
    <m/>
    <m/>
  </r>
  <r>
    <s v="431 - Norway"/>
    <d v="2023-12-29T00:00:00"/>
    <s v="DECEMBER"/>
    <n v="2023"/>
    <x v="3"/>
    <s v="Deposited"/>
    <s v="PMT-S127-13103"/>
    <s v=""/>
    <s v="NOK"/>
    <n v="-15048.75"/>
    <n v="-1610.758"/>
    <n v="1610.758"/>
    <n v="-1979.731"/>
    <s v="DUMMY CUSTOMER_CASHAPPS 431 - Norway"/>
    <s v="Katarina Andersson"/>
    <s v="050554 28.12.2023 15.048,75"/>
    <m/>
    <m/>
    <m/>
    <m/>
    <m/>
    <m/>
    <m/>
    <m/>
    <m/>
    <m/>
    <m/>
    <m/>
    <m/>
    <m/>
    <m/>
    <m/>
    <m/>
    <m/>
    <m/>
    <m/>
    <m/>
    <m/>
    <m/>
    <m/>
    <m/>
    <m/>
    <m/>
    <m/>
    <m/>
    <m/>
    <m/>
    <m/>
    <m/>
    <m/>
    <m/>
    <m/>
    <m/>
    <m/>
    <m/>
    <m/>
    <m/>
    <m/>
    <m/>
    <m/>
    <m/>
    <m/>
    <m/>
    <m/>
    <m/>
    <m/>
    <m/>
    <m/>
    <m/>
    <m/>
    <m/>
    <m/>
  </r>
  <r>
    <s v="431 - Norway"/>
    <d v="2025-09-26T00:00:00"/>
    <s v="SEPTEMBER"/>
    <n v="2025"/>
    <x v="3"/>
    <s v="Deposited"/>
    <s v="PMT-S127-13942"/>
    <s v=""/>
    <s v="NOK"/>
    <n v="-15000"/>
    <n v="-1605.54"/>
    <n v="1605.54"/>
    <n v="-1605.54"/>
    <s v="Relokator AS"/>
    <s v="Katarina Andersson"/>
    <s v="RELOKATOR AS"/>
    <m/>
    <m/>
    <m/>
    <m/>
    <m/>
    <m/>
    <m/>
    <m/>
    <m/>
    <m/>
    <m/>
    <m/>
    <m/>
    <m/>
    <m/>
    <m/>
    <m/>
    <m/>
    <m/>
    <m/>
    <m/>
    <m/>
    <m/>
    <m/>
    <m/>
    <m/>
    <m/>
    <m/>
    <m/>
    <m/>
    <m/>
    <m/>
    <m/>
    <m/>
    <m/>
    <m/>
    <m/>
    <m/>
    <m/>
    <m/>
    <m/>
    <m/>
    <m/>
    <m/>
    <m/>
    <m/>
    <m/>
    <m/>
    <m/>
    <m/>
    <m/>
    <m/>
    <m/>
    <m/>
    <m/>
    <m/>
  </r>
  <r>
    <s v="431 - Norway"/>
    <d v="2022-06-03T00:00:00"/>
    <s v="JUNE"/>
    <n v="2022"/>
    <x v="3"/>
    <s v="Deposited"/>
    <s v="PMT-S127-12049"/>
    <s v=""/>
    <s v="NOK"/>
    <n v="-12500"/>
    <n v="-1337.95"/>
    <n v="1337.95"/>
    <n v="-2675.9"/>
    <s v="NORGES BOKSEFORBUND"/>
    <s v="Katarina Andersson"/>
    <s v="IN-S127-411920 01.01.0001 12.500,00"/>
    <m/>
    <m/>
    <m/>
    <m/>
    <m/>
    <m/>
    <m/>
    <m/>
    <m/>
    <m/>
    <m/>
    <m/>
    <m/>
    <m/>
    <m/>
    <m/>
    <m/>
    <m/>
    <m/>
    <m/>
    <m/>
    <m/>
    <m/>
    <m/>
    <m/>
    <m/>
    <m/>
    <m/>
    <m/>
    <m/>
    <m/>
    <m/>
    <m/>
    <m/>
    <m/>
    <m/>
    <m/>
    <m/>
    <m/>
    <m/>
    <m/>
    <m/>
    <m/>
    <m/>
    <m/>
    <m/>
    <m/>
    <m/>
    <m/>
    <m/>
    <m/>
    <m/>
    <m/>
    <m/>
    <m/>
    <m/>
  </r>
  <r>
    <s v="431 - Norway"/>
    <d v="2023-05-15T00:00:00"/>
    <s v="MAY"/>
    <n v="2023"/>
    <x v="3"/>
    <s v="Deposited"/>
    <s v="PMT-S127-12722"/>
    <s v=""/>
    <s v="NOK"/>
    <n v="-12500"/>
    <n v="-1337.95"/>
    <n v="1337.95"/>
    <n v="-2675.9"/>
    <s v="NORGES BOKSEFORBUND"/>
    <s v="Katarina Andersson"/>
    <s v="IN-S127-412702 01.01.0001 12.500,00"/>
    <m/>
    <m/>
    <m/>
    <m/>
    <m/>
    <m/>
    <m/>
    <m/>
    <m/>
    <m/>
    <m/>
    <m/>
    <m/>
    <m/>
    <m/>
    <m/>
    <m/>
    <m/>
    <m/>
    <m/>
    <m/>
    <m/>
    <m/>
    <m/>
    <m/>
    <m/>
    <m/>
    <m/>
    <m/>
    <m/>
    <m/>
    <m/>
    <m/>
    <m/>
    <m/>
    <m/>
    <m/>
    <m/>
    <m/>
    <m/>
    <m/>
    <m/>
    <m/>
    <m/>
    <m/>
    <m/>
    <m/>
    <m/>
    <m/>
    <m/>
    <m/>
    <m/>
    <m/>
    <m/>
    <m/>
    <m/>
  </r>
  <r>
    <s v="431 - Norway"/>
    <d v="2023-04-04T00:00:00"/>
    <s v="APRIL"/>
    <n v="2023"/>
    <x v="3"/>
    <s v="Deposited"/>
    <s v="PMT-S127-12644"/>
    <s v=""/>
    <s v="NOK"/>
    <n v="-8036.25"/>
    <n v="-860.16800000000001"/>
    <n v="860.16800000000001"/>
    <n v="-860.16800000000001"/>
    <s v="BALSFJORD KOMMUNE"/>
    <s v="Katarina Andersson"/>
    <s v="Overføring innland nr.3930003 Balsfjord Kommune"/>
    <m/>
    <m/>
    <m/>
    <m/>
    <m/>
    <m/>
    <m/>
    <m/>
    <m/>
    <m/>
    <m/>
    <m/>
    <m/>
    <m/>
    <m/>
    <m/>
    <m/>
    <m/>
    <m/>
    <m/>
    <m/>
    <m/>
    <m/>
    <m/>
    <m/>
    <m/>
    <m/>
    <m/>
    <m/>
    <m/>
    <m/>
    <m/>
    <m/>
    <m/>
    <m/>
    <m/>
    <m/>
    <m/>
    <m/>
    <m/>
    <m/>
    <m/>
    <m/>
    <m/>
    <m/>
    <m/>
    <m/>
    <m/>
    <m/>
    <m/>
    <m/>
    <m/>
    <m/>
    <m/>
    <m/>
    <m/>
  </r>
  <r>
    <s v="431 - Norway"/>
    <d v="2025-04-14T00:00:00"/>
    <s v="APRIL"/>
    <n v="2025"/>
    <x v="3"/>
    <s v="Deposited"/>
    <s v="PMT-S127-13787"/>
    <s v=""/>
    <s v="NOK"/>
    <n v="-5208.75"/>
    <n v="-557.524"/>
    <n v="557.524"/>
    <n v="-557.524"/>
    <s v="Norsk Toppfotball"/>
    <s v="Katarina Andersson"/>
    <s v="IN-S127-413841 01.01.0001 5.208,75"/>
    <m/>
    <m/>
    <m/>
    <m/>
    <m/>
    <m/>
    <m/>
    <m/>
    <m/>
    <m/>
    <m/>
    <m/>
    <m/>
    <m/>
    <m/>
    <m/>
    <m/>
    <m/>
    <m/>
    <m/>
    <m/>
    <m/>
    <m/>
    <m/>
    <m/>
    <m/>
    <m/>
    <m/>
    <m/>
    <m/>
    <m/>
    <m/>
    <m/>
    <m/>
    <m/>
    <m/>
    <m/>
    <m/>
    <m/>
    <m/>
    <m/>
    <m/>
    <m/>
    <m/>
    <m/>
    <m/>
    <m/>
    <m/>
    <m/>
    <m/>
    <m/>
    <m/>
    <m/>
    <m/>
    <m/>
    <m/>
  </r>
  <r>
    <s v="431 - Norway"/>
    <d v="2025-09-01T00:00:00"/>
    <s v="SEPTEMBER"/>
    <n v="2025"/>
    <x v="3"/>
    <s v="Deposited"/>
    <s v="PMT-S127-13920"/>
    <s v=""/>
    <s v="NOK"/>
    <n v="-3004"/>
    <n v="-321.536"/>
    <n v="321.536"/>
    <n v="-1979.731"/>
    <s v="DUMMY CUSTOMER_CASHAPPS 431 - Norway"/>
    <s v="Katarina Andersson"/>
    <s v="NAV Norwegian Labour and Welfare Administration"/>
    <m/>
    <m/>
    <m/>
    <m/>
    <m/>
    <m/>
    <m/>
    <m/>
    <m/>
    <m/>
    <m/>
    <m/>
    <m/>
    <m/>
    <m/>
    <m/>
    <m/>
    <m/>
    <m/>
    <m/>
    <m/>
    <m/>
    <m/>
    <m/>
    <m/>
    <m/>
    <m/>
    <m/>
    <m/>
    <m/>
    <m/>
    <m/>
    <m/>
    <m/>
    <m/>
    <m/>
    <m/>
    <m/>
    <m/>
    <m/>
    <m/>
    <m/>
    <m/>
    <m/>
    <m/>
    <m/>
    <m/>
    <m/>
    <m/>
    <m/>
    <m/>
    <m/>
    <m/>
    <m/>
    <m/>
    <m/>
  </r>
  <r>
    <s v="431 - Norway"/>
    <d v="2023-06-26T00:00:00"/>
    <s v="JUNE"/>
    <n v="2023"/>
    <x v="3"/>
    <s v="Deposited"/>
    <s v="PMT-S127-12788"/>
    <s v=""/>
    <s v="NOK"/>
    <n v="-443.19"/>
    <n v="-47.436999999999998"/>
    <n v="47.436999999999998"/>
    <n v="-1979.731"/>
    <s v="DUMMY CUSTOMER_CASHAPPS 431 - Norway"/>
    <s v="Katarina Andersson"/>
    <s v="8576914 Lowell Norge AS"/>
    <m/>
    <m/>
    <m/>
    <m/>
    <m/>
    <m/>
    <m/>
    <m/>
    <m/>
    <m/>
    <m/>
    <m/>
    <m/>
    <m/>
    <m/>
    <m/>
    <m/>
    <m/>
    <m/>
    <m/>
    <m/>
    <m/>
    <m/>
    <m/>
    <m/>
    <m/>
    <m/>
    <m/>
    <m/>
    <m/>
    <m/>
    <m/>
    <m/>
    <m/>
    <m/>
    <m/>
    <m/>
    <m/>
    <m/>
    <m/>
    <m/>
    <m/>
    <m/>
    <m/>
    <m/>
    <m/>
    <m/>
    <m/>
    <m/>
    <m/>
    <m/>
    <m/>
    <m/>
    <m/>
    <m/>
    <m/>
  </r>
  <r>
    <s v="Total"/>
    <s v=""/>
    <s v=""/>
    <e v="#VALUE!"/>
    <x v="4"/>
    <s v=""/>
    <s v=""/>
    <s v=""/>
    <s v=""/>
    <n v="-14611696.16"/>
    <n v="-6776077.2599999998"/>
    <n v="3256517.25"/>
    <n v="-14871008.34"/>
    <s v=""/>
    <s v=""/>
    <s v=""/>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r>
    <m/>
    <m/>
    <m/>
    <m/>
    <x v="5"/>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s v="102 - US"/>
    <d v="2025-03-20T00:00:00"/>
    <s v="MARCH"/>
    <n v="2025"/>
    <x v="0"/>
    <s v="Deposited"/>
    <s v="PMT-S151-202999"/>
    <s v=""/>
    <s v="USD"/>
    <n v="-81229.11"/>
    <n v="-81229.11"/>
    <n v="81229.11"/>
    <n v="-250567.82"/>
    <s v="DUMMY CUSTOMER_CASHAPPS 102 - US"/>
    <s v=""/>
    <s v="ACH CONCENTRATION CREDIT ACH CORP TRADE PAYMENT FROM MICROSOFT MICROSOFT 0004992933 68251185441010"/>
    <m/>
    <m/>
    <m/>
    <m/>
    <m/>
    <m/>
    <m/>
    <m/>
    <m/>
    <m/>
    <m/>
    <m/>
    <m/>
    <m/>
    <m/>
    <m/>
    <m/>
    <m/>
    <m/>
    <m/>
    <m/>
    <m/>
    <m/>
    <m/>
    <m/>
    <m/>
    <m/>
    <m/>
    <m/>
    <m/>
    <m/>
    <m/>
    <m/>
    <m/>
    <m/>
    <m/>
  </r>
  <r>
    <s v="102 - US"/>
    <d v="2025-09-22T00:00:00"/>
    <s v="SEPTEMBER"/>
    <n v="2025"/>
    <x v="0"/>
    <s v="Deposited"/>
    <s v="PMT-S151-211138"/>
    <s v=""/>
    <s v="USD"/>
    <n v="-54445.55"/>
    <n v="-54445.55"/>
    <n v="54445.55"/>
    <n v="-50095.55"/>
    <s v="Microsoft Corporation"/>
    <s v=""/>
    <s v="ACH CONCENTRATION CREDIT ACH CORP TRADE PAYMENT FROM MICROSOFT MICROSOFT 0005317824 68550845931010"/>
    <m/>
    <m/>
    <m/>
    <m/>
    <m/>
    <m/>
    <m/>
    <m/>
    <m/>
    <m/>
    <m/>
    <m/>
    <m/>
    <m/>
    <m/>
    <m/>
    <m/>
    <m/>
    <m/>
    <m/>
    <m/>
    <m/>
    <m/>
    <m/>
    <m/>
    <m/>
    <m/>
    <m/>
    <m/>
    <m/>
    <m/>
    <m/>
    <m/>
    <m/>
    <m/>
    <m/>
  </r>
  <r>
    <s v="102 - US"/>
    <d v="2026-02-18T00:00:00"/>
    <s v="FEBRUARY"/>
    <n v="2026"/>
    <x v="0"/>
    <s v="Deposited"/>
    <s v="PMT-S151-219775"/>
    <s v=""/>
    <s v="USD"/>
    <n v="-35534"/>
    <n v="-35534"/>
    <n v="35534"/>
    <n v="-35534"/>
    <s v="Brick Media"/>
    <s v=""/>
    <s v="INCOMING MONEY TRANSFER 53RECD FED JPMORGAN CHASE BANK*ORG:BRICK MEDIA LLC,RO CKY RIVER OH 44116-1815 US,19885 DETRO*OGB:JPMORGAN CHASE BANK,TAMPA,10410 HI GHLAND MANOR DRIVE*BNF:MELTWATER NEWS US INC,REDWOOD CITY         CA/US,275 S HO*STFEDSEQ:B1Q8982R000363*TIME:0341*YOUR REF:WTH OF 26/02/18*OUR REF:0490937 10"/>
    <m/>
    <m/>
    <m/>
    <m/>
    <m/>
    <m/>
    <m/>
    <m/>
    <m/>
    <m/>
    <m/>
    <m/>
    <m/>
    <m/>
    <m/>
    <m/>
    <m/>
    <m/>
    <m/>
    <m/>
    <m/>
    <m/>
    <m/>
    <m/>
    <m/>
    <m/>
    <m/>
    <m/>
    <m/>
    <m/>
    <m/>
    <m/>
    <m/>
    <m/>
    <m/>
    <m/>
  </r>
  <r>
    <s v="102 - US"/>
    <d v="2025-02-03T00:00:00"/>
    <s v="FEBRUARY"/>
    <n v="2025"/>
    <x v="0"/>
    <s v="Deposited"/>
    <s v="PMT-S151-200395"/>
    <s v=""/>
    <s v="USD"/>
    <n v="-32613.85"/>
    <n v="-32613.85"/>
    <n v="32613.85"/>
    <n v="-250567.82"/>
    <s v="DUMMY CUSTOMER_CASHAPPS 102 - US"/>
    <s v=""/>
    <s v="ACH CONCENTRATION CREDIT ACH CORP TRADE PAYMENT FROM MICROSOFT MICROSOFT 0004890122 68550745441010"/>
    <m/>
    <m/>
    <m/>
    <m/>
    <m/>
    <m/>
    <m/>
    <m/>
    <m/>
    <m/>
    <m/>
    <m/>
    <m/>
    <m/>
    <m/>
    <m/>
    <m/>
    <m/>
    <m/>
    <m/>
    <m/>
    <m/>
    <m/>
    <m/>
    <m/>
    <m/>
    <m/>
    <m/>
    <m/>
    <m/>
    <m/>
    <m/>
    <m/>
    <m/>
    <m/>
    <m/>
  </r>
  <r>
    <s v="102 - US"/>
    <d v="2022-10-17T00:00:00"/>
    <s v="OCTOBER"/>
    <n v="2022"/>
    <x v="0"/>
    <s v="Deposited"/>
    <s v="PMT-S151-156272"/>
    <s v=""/>
    <s v="USD"/>
    <n v="-27218.77"/>
    <n v="-27218.77"/>
    <n v="27218.77"/>
    <n v="-27218.77"/>
    <s v="ComplySci"/>
    <s v=""/>
    <s v="ACH CONCENTRATION CREDIT ACH CASH CONCENTRATION COMPLYSCI-PAYMENT ComplySci Payment 46810"/>
    <m/>
    <m/>
    <m/>
    <m/>
    <m/>
    <m/>
    <m/>
    <m/>
    <m/>
    <m/>
    <m/>
    <m/>
    <m/>
    <m/>
    <m/>
    <m/>
    <m/>
    <m/>
    <m/>
    <m/>
    <m/>
    <m/>
    <m/>
    <m/>
    <m/>
    <m/>
    <m/>
    <m/>
    <m/>
    <m/>
    <m/>
    <m/>
    <m/>
    <m/>
    <m/>
    <m/>
  </r>
  <r>
    <s v="102 - US"/>
    <d v="2025-07-18T00:00:00"/>
    <s v="JULY"/>
    <n v="2025"/>
    <x v="0"/>
    <s v="Deposited"/>
    <s v="PMT-S151-208003"/>
    <s v=""/>
    <s v="USD"/>
    <n v="-25699.72"/>
    <n v="-25699.72"/>
    <n v="25699.72"/>
    <n v="-250567.82"/>
    <s v="DUMMY CUSTOMER_CASHAPPS 102 - US"/>
    <s v=""/>
    <s v="ACH CONCENTRATION CREDIT ACH CASH CONCENTRATION ENVIOLOL-PAYMENTS ENVIOLOL  PAYMENTS 0000010593"/>
    <m/>
    <m/>
    <m/>
    <m/>
    <m/>
    <m/>
    <m/>
    <m/>
    <m/>
    <m/>
    <m/>
    <m/>
    <m/>
    <m/>
    <m/>
    <m/>
    <m/>
    <m/>
    <m/>
    <m/>
    <m/>
    <m/>
    <m/>
    <m/>
    <m/>
    <m/>
    <m/>
    <m/>
    <m/>
    <m/>
    <m/>
    <m/>
    <m/>
    <m/>
    <m/>
    <m/>
  </r>
  <r>
    <s v="102 - US"/>
    <d v="2025-06-30T00:00:00"/>
    <s v="JUNE"/>
    <n v="2025"/>
    <x v="0"/>
    <s v="Deposited"/>
    <s v="PMT-S151-207105"/>
    <s v=""/>
    <s v="USD"/>
    <n v="-24128"/>
    <n v="-24128"/>
    <n v="24128"/>
    <n v="-250567.82"/>
    <s v="DUMMY CUSTOMER_CASHAPPS 102 - US"/>
    <s v=""/>
    <s v="ACH CONCENTRATION CREDIT ACH CORP TRADE PAYMENT FROM MICROSOFT MICROSOFT 0005162418 68500854311010"/>
    <m/>
    <m/>
    <m/>
    <m/>
    <m/>
    <m/>
    <m/>
    <m/>
    <m/>
    <m/>
    <m/>
    <m/>
    <m/>
    <m/>
    <m/>
    <m/>
    <m/>
    <m/>
    <m/>
    <m/>
    <m/>
    <m/>
    <m/>
    <m/>
    <m/>
    <m/>
    <m/>
    <m/>
    <m/>
    <m/>
    <m/>
    <m/>
    <m/>
    <m/>
    <m/>
    <m/>
  </r>
  <r>
    <s v="102 - US"/>
    <d v="2026-04-06T00:00:00"/>
    <s v="APRIL"/>
    <n v="2026"/>
    <x v="0"/>
    <s v="Deposited"/>
    <s v="PMT-S151-222326"/>
    <s v=""/>
    <s v="USD"/>
    <n v="-20913.77"/>
    <n v="-20913.77"/>
    <n v="20913.77"/>
    <n v="-20913.77"/>
    <s v="Camp Chef"/>
    <s v=""/>
    <s v="ACH CONCENTRATION CREDIT ACH CASH CONCENTRATION BUSHNELL OPER-PAYMENT BUSHNELL  PAYMENT 2021416"/>
    <m/>
    <m/>
    <m/>
    <m/>
    <m/>
    <m/>
    <m/>
    <m/>
    <m/>
    <m/>
    <m/>
    <m/>
    <m/>
    <m/>
    <m/>
    <m/>
    <m/>
    <m/>
    <m/>
    <m/>
    <m/>
    <m/>
    <m/>
    <m/>
    <m/>
    <m/>
    <m/>
    <m/>
    <m/>
    <m/>
    <m/>
    <m/>
    <m/>
    <m/>
    <m/>
    <m/>
  </r>
  <r>
    <s v="102 - US"/>
    <d v="2026-04-15T00:00:00"/>
    <s v="APRIL"/>
    <n v="2026"/>
    <x v="0"/>
    <s v="Deposited"/>
    <s v="PMT-S151-222780"/>
    <s v=""/>
    <s v="USD"/>
    <n v="-20698"/>
    <n v="-20698"/>
    <n v="20698"/>
    <n v="-20698"/>
    <s v="Culloton + Bauer Luce"/>
    <s v=""/>
    <s v="ACH CONCENTRATION CREDIT ACH CASH CONCENTRATION CULLOTON STRATEG-ACH PAYMEN Culloton  ACH Paymen 95267"/>
    <m/>
    <m/>
    <m/>
    <m/>
    <m/>
    <m/>
    <m/>
    <m/>
    <m/>
    <m/>
    <m/>
    <m/>
    <m/>
    <m/>
    <m/>
    <m/>
    <m/>
    <m/>
    <m/>
    <m/>
    <m/>
    <m/>
    <m/>
    <m/>
    <m/>
    <m/>
    <m/>
    <m/>
    <m/>
    <m/>
    <m/>
    <m/>
    <m/>
    <m/>
    <m/>
    <m/>
  </r>
  <r>
    <s v="102 - US"/>
    <d v="2025-08-20T00:00:00"/>
    <s v="AUGUST"/>
    <n v="2025"/>
    <x v="0"/>
    <s v="Deposited"/>
    <s v="PMT-S151-209700"/>
    <s v=""/>
    <s v="USD"/>
    <n v="-20000"/>
    <n v="-20000"/>
    <n v="20000"/>
    <n v="-50095.55"/>
    <s v="Microsoft Corporation"/>
    <s v=""/>
    <s v="ACH CONCENTRATION CREDIT ACH CORP TRADE PAYMENT FROM MICROSOFT MICROSOFT 0005263117 68151120631010"/>
    <m/>
    <m/>
    <m/>
    <m/>
    <m/>
    <m/>
    <m/>
    <m/>
    <m/>
    <m/>
    <m/>
    <m/>
    <m/>
    <m/>
    <m/>
    <m/>
    <m/>
    <m/>
    <m/>
    <m/>
    <m/>
    <m/>
    <m/>
    <m/>
    <m/>
    <m/>
    <m/>
    <m/>
    <m/>
    <m/>
    <m/>
    <m/>
    <m/>
    <m/>
    <m/>
    <m/>
  </r>
  <r>
    <s v="102 - US"/>
    <d v="2026-03-27T00:00:00"/>
    <s v="MARCH"/>
    <n v="2026"/>
    <x v="0"/>
    <s v="Deposited"/>
    <s v="PMT-S151-221843"/>
    <s v="PMT-S151-221843"/>
    <s v="USD"/>
    <n v="-39600"/>
    <n v="-39600"/>
    <n v="19800"/>
    <n v="-19800"/>
    <s v="Blue Learning"/>
    <s v=""/>
    <s v="ACH CONCENTRATION CREDIT ACH CASH CONCENTRATION BLUE LEARNING OP-CORP PAY BLUE LEAR CORP PAY 10957"/>
    <m/>
    <m/>
    <m/>
    <m/>
    <m/>
    <m/>
    <m/>
    <m/>
    <m/>
    <m/>
    <m/>
    <m/>
    <m/>
    <m/>
    <m/>
    <m/>
    <m/>
    <m/>
    <m/>
    <m/>
    <m/>
    <m/>
    <m/>
    <m/>
    <m/>
    <m/>
    <m/>
    <m/>
    <m/>
    <m/>
    <m/>
    <m/>
    <m/>
    <m/>
    <m/>
    <m/>
  </r>
  <r>
    <s v="102 - US"/>
    <d v="2026-04-27T00:00:00"/>
    <s v="APRIL"/>
    <n v="2026"/>
    <x v="0"/>
    <s v="Deposited"/>
    <s v="PMT-S151-223322"/>
    <s v=""/>
    <s v="USD"/>
    <n v="-19350"/>
    <n v="-19350"/>
    <n v="19350"/>
    <n v="-19350"/>
    <s v="Gaudenzia, Inc"/>
    <s v=""/>
    <s v=""/>
    <m/>
    <m/>
    <m/>
    <m/>
    <m/>
    <m/>
    <m/>
    <m/>
    <m/>
    <m/>
    <m/>
    <m/>
    <m/>
    <m/>
    <m/>
    <m/>
    <m/>
    <m/>
    <m/>
    <m/>
    <m/>
    <m/>
    <m/>
    <m/>
    <m/>
    <m/>
    <m/>
    <m/>
    <m/>
    <m/>
    <m/>
    <m/>
    <m/>
    <m/>
    <m/>
    <m/>
  </r>
  <r>
    <s v="102 - US"/>
    <d v="2023-05-03T00:00:00"/>
    <s v="MAY"/>
    <n v="2023"/>
    <x v="0"/>
    <s v="Deposited"/>
    <s v="PMT-S151-167535"/>
    <s v=""/>
    <s v="USD"/>
    <n v="-18060"/>
    <n v="-18060"/>
    <n v="18060"/>
    <n v="-18060"/>
    <s v="Sun Valley Resort"/>
    <s v=""/>
    <s v="CHECK"/>
    <m/>
    <m/>
    <m/>
    <m/>
    <m/>
    <m/>
    <m/>
    <m/>
    <m/>
    <m/>
    <m/>
    <m/>
    <m/>
    <m/>
    <m/>
    <m/>
    <m/>
    <m/>
    <m/>
    <m/>
    <m/>
    <m/>
    <m/>
    <m/>
    <m/>
    <m/>
    <m/>
    <m/>
    <m/>
    <m/>
    <m/>
    <m/>
    <m/>
    <m/>
    <m/>
    <m/>
  </r>
  <r>
    <s v="102 - US"/>
    <d v="2022-04-01T00:00:00"/>
    <s v="APRIL"/>
    <n v="2022"/>
    <x v="0"/>
    <s v="Deposited"/>
    <s v="PMT-S151-145279"/>
    <s v=""/>
    <s v="USD"/>
    <n v="-17850.400000000001"/>
    <n v="-17850.400000000001"/>
    <n v="17850.400000000001"/>
    <n v="-17850.400000000001"/>
    <s v="Netchoice"/>
    <s v=""/>
    <s v="FOREIGN REMITTANCE CREDIT 33RECD CHIP WELLS FARGO BANK,SAN FRANCISCO,CA*O RG:NETCHOICE,US 20005-3417,WASHINGTON           DC,1401 K S*BNF:MELTWATER NEW S US INC,SAN FRANCISCO        CA/US,STE 100*OBI:INVOICE S151 535230*STCHIPSEQ :0499781*TIME:1511*YOUR REF:643*OUR REF:091587415"/>
    <m/>
    <m/>
    <m/>
    <m/>
    <m/>
    <m/>
    <m/>
    <m/>
    <m/>
    <m/>
    <m/>
    <m/>
    <m/>
    <m/>
    <m/>
    <m/>
    <m/>
    <m/>
    <m/>
    <m/>
    <m/>
    <m/>
    <m/>
    <m/>
    <m/>
    <m/>
    <m/>
    <m/>
    <m/>
    <m/>
    <m/>
    <m/>
    <m/>
    <m/>
    <m/>
    <m/>
  </r>
  <r>
    <s v="102 - US"/>
    <d v="2026-04-20T00:00:00"/>
    <s v="APRIL"/>
    <n v="2026"/>
    <x v="0"/>
    <s v="Deposited"/>
    <s v="PMT-S151-223019"/>
    <s v=""/>
    <s v="USD"/>
    <n v="-17200"/>
    <n v="-17200"/>
    <n v="17200"/>
    <n v="0"/>
    <s v="Gordon State College"/>
    <s v=""/>
    <s v="ACH CONCENTRATION CREDIT ACH CORP TRADE PAYMENT FROM Gordon State Col Gordon St CTX 0000039074"/>
    <m/>
    <m/>
    <m/>
    <m/>
    <m/>
    <m/>
    <m/>
    <m/>
    <m/>
    <m/>
    <m/>
    <m/>
    <m/>
    <m/>
    <m/>
    <m/>
    <m/>
    <m/>
    <m/>
    <m/>
    <m/>
    <m/>
    <m/>
    <m/>
    <m/>
    <m/>
    <m/>
    <m/>
    <m/>
    <m/>
    <m/>
    <m/>
    <m/>
    <m/>
    <m/>
    <m/>
  </r>
  <r>
    <s v="102 - US"/>
    <d v="2022-12-12T00:00:00"/>
    <s v="DECEMBER"/>
    <n v="2022"/>
    <x v="0"/>
    <s v="Deposited"/>
    <s v="PMT-S151-159463"/>
    <s v=""/>
    <s v="USD"/>
    <n v="-16500"/>
    <n v="-16500"/>
    <n v="16500"/>
    <n v="3500"/>
    <s v="Bayhealth Medical Center"/>
    <s v=""/>
    <s v="CHECK"/>
    <m/>
    <m/>
    <m/>
    <m/>
    <m/>
    <m/>
    <m/>
    <m/>
    <m/>
    <m/>
    <m/>
    <m/>
    <m/>
    <m/>
    <m/>
    <m/>
    <m/>
    <m/>
    <m/>
    <m/>
    <m/>
    <m/>
    <m/>
    <m/>
    <m/>
    <m/>
    <m/>
    <m/>
    <m/>
    <m/>
    <m/>
    <m/>
    <m/>
    <m/>
    <m/>
    <m/>
  </r>
  <r>
    <s v="102 - US"/>
    <d v="2026-05-01T00:00:00"/>
    <s v="MAY"/>
    <n v="2026"/>
    <x v="0"/>
    <s v="Deposited"/>
    <s v="PMT-S151-223708"/>
    <s v=""/>
    <s v="USD"/>
    <n v="-16483"/>
    <n v="-16483"/>
    <n v="16483"/>
    <n v="-16483"/>
    <s v="Washington Times Global Media Group"/>
    <s v="Jordan Irvine"/>
    <s v="ACH CREDIT ACH DEPOSIT FROM WASHINGTON TIMES-CREDITS WASHINGTO CREDITS    TWT-22920"/>
    <m/>
    <m/>
    <m/>
    <m/>
    <m/>
    <m/>
    <m/>
    <m/>
    <m/>
    <m/>
    <m/>
    <m/>
    <m/>
    <m/>
    <m/>
    <m/>
    <m/>
    <m/>
    <m/>
    <m/>
    <m/>
    <m/>
    <m/>
    <m/>
    <m/>
    <m/>
    <m/>
    <m/>
    <m/>
    <m/>
    <m/>
    <m/>
    <m/>
    <m/>
    <m/>
    <m/>
  </r>
  <r>
    <s v="102 - US"/>
    <d v="2026-02-03T00:00:00"/>
    <s v="FEBRUARY"/>
    <n v="2026"/>
    <x v="0"/>
    <s v="Deposited"/>
    <s v="PMT-S151-218617"/>
    <s v="IN-S151-589402"/>
    <s v="USD"/>
    <n v="-16000"/>
    <n v="-16000"/>
    <n v="15999.84"/>
    <n v="-15999.84"/>
    <s v="West Palm Beach Downtown Development Authority"/>
    <s v="Jose Castellanos"/>
    <s v=""/>
    <m/>
    <m/>
    <m/>
    <m/>
    <m/>
    <m/>
    <m/>
    <m/>
    <m/>
    <m/>
    <m/>
    <m/>
    <m/>
    <m/>
    <m/>
    <m/>
    <m/>
    <m/>
    <m/>
    <m/>
    <m/>
    <m/>
    <m/>
    <m/>
    <m/>
    <m/>
    <m/>
    <m/>
    <m/>
    <m/>
    <m/>
    <m/>
    <m/>
    <m/>
    <m/>
    <m/>
  </r>
  <r>
    <s v="102 - US"/>
    <d v="2022-04-29T00:00:00"/>
    <s v="APRIL"/>
    <n v="2022"/>
    <x v="0"/>
    <s v="Deposited"/>
    <s v="PMT-S151-146709"/>
    <s v=""/>
    <s v="USD"/>
    <n v="-15750"/>
    <n v="-15750"/>
    <n v="15750"/>
    <n v="-15750"/>
    <s v="Kean University"/>
    <s v="Kristin Walsh"/>
    <s v=""/>
    <m/>
    <m/>
    <m/>
    <m/>
    <m/>
    <m/>
    <m/>
    <m/>
    <m/>
    <m/>
    <m/>
    <m/>
    <m/>
    <m/>
    <m/>
    <m/>
    <m/>
    <m/>
    <m/>
    <m/>
    <m/>
    <m/>
    <m/>
    <m/>
    <m/>
    <m/>
    <m/>
    <m/>
    <m/>
    <m/>
    <m/>
    <m/>
    <m/>
    <m/>
    <m/>
    <m/>
  </r>
  <r>
    <s v="102 - US"/>
    <d v="2026-04-27T00:00:00"/>
    <s v="APRIL"/>
    <n v="2026"/>
    <x v="0"/>
    <s v="Deposited"/>
    <s v="PMT-S151-223397"/>
    <s v=""/>
    <s v="USD"/>
    <n v="-15000"/>
    <n v="-15000"/>
    <n v="15000"/>
    <n v="-15000"/>
    <s v="Nautilus Solar Energy, LLC"/>
    <s v=""/>
    <s v="ACH CONCENTRATION CREDIT ACH CASH CONCENTRATION NAUTILUS SOLAR E-ACH PMT NAUTILUS  ACH Pmt 11216430243"/>
    <m/>
    <m/>
    <m/>
    <m/>
    <m/>
    <m/>
    <m/>
    <m/>
    <m/>
    <m/>
    <m/>
    <m/>
    <m/>
    <m/>
    <m/>
    <m/>
    <m/>
    <m/>
    <m/>
    <m/>
    <m/>
    <m/>
    <m/>
    <m/>
    <m/>
    <m/>
    <m/>
    <m/>
    <m/>
    <m/>
    <m/>
    <m/>
    <m/>
    <m/>
    <m/>
    <m/>
  </r>
  <r>
    <s v="102 - US"/>
    <d v="2025-12-05T00:00:00"/>
    <s v="DECEMBER"/>
    <n v="2025"/>
    <x v="0"/>
    <s v="Deposited"/>
    <s v="PMT-S151-215069"/>
    <s v=""/>
    <s v="USD"/>
    <n v="-14145.99"/>
    <n v="-14145.99"/>
    <n v="14145.99"/>
    <n v="154725.09"/>
    <s v="Amazon.com Services LLC"/>
    <s v=""/>
    <s v="ACH CONCENTRATION CREDIT ACH CASH CONCENTRATION AMAZON.COM-EDI PYMNTS AMAZON.CO EDI PYMNTS DAS4VG6U2FWEEBQ"/>
    <m/>
    <m/>
    <m/>
    <m/>
    <m/>
    <m/>
    <m/>
    <m/>
    <m/>
    <m/>
    <m/>
    <m/>
    <m/>
    <m/>
    <m/>
    <m/>
    <m/>
    <m/>
    <m/>
    <m/>
    <m/>
    <m/>
    <m/>
    <m/>
    <m/>
    <m/>
    <m/>
    <m/>
    <m/>
    <m/>
    <m/>
    <m/>
    <m/>
    <m/>
    <m/>
    <m/>
  </r>
  <r>
    <s v="102 - US"/>
    <d v="2024-11-18T00:00:00"/>
    <s v="NOVEMBER"/>
    <n v="2024"/>
    <x v="0"/>
    <s v="Deposited"/>
    <s v="PMT-S151-196679"/>
    <s v=""/>
    <s v="USD"/>
    <n v="-13975"/>
    <n v="-13975"/>
    <n v="13975"/>
    <n v="-250567.82"/>
    <s v="DUMMY CUSTOMER_CASHAPPS 102 - US"/>
    <s v=""/>
    <s v="FOREIGN REMITTANCE CREDIT 33RECD CHIP JPMORGAN CHASE BANK*ORG:BYTECHIP LLC,UNITED STATES,US ,8 THE GREEN, SUITE B, DOVE*OGB:RD WALLET TECHNOLOGIES LIMITED,CAUSEWAY BAY,535 JAFFE RO*BNF:MELTWATER NEWS US INC,REDWOOD CITY CA/US,STE 165*OBI:202411080803*STCHIPSEQ:00209649*TIME:0248 *YOUR REF:1513OT8581513*OUR REF:323200531"/>
    <m/>
    <m/>
    <m/>
    <m/>
    <m/>
    <m/>
    <m/>
    <m/>
    <m/>
    <m/>
    <m/>
    <m/>
    <m/>
    <m/>
    <m/>
    <m/>
    <m/>
    <m/>
    <m/>
    <m/>
    <m/>
    <m/>
    <m/>
    <m/>
    <m/>
    <m/>
    <m/>
    <m/>
    <m/>
    <m/>
    <m/>
    <m/>
    <m/>
    <m/>
    <m/>
    <m/>
  </r>
  <r>
    <s v="102 - US"/>
    <d v="2022-05-13T00:00:00"/>
    <s v="MAY"/>
    <n v="2022"/>
    <x v="0"/>
    <s v="Deposited"/>
    <s v="PMT-S151-147498"/>
    <s v=""/>
    <s v="USD"/>
    <n v="-13650"/>
    <n v="-13650"/>
    <n v="13650"/>
    <n v="-13650"/>
    <s v="Florida Dept. of Agriculture and Consumer Services"/>
    <s v="Jordan Irvine"/>
    <s v="CHECK"/>
    <m/>
    <m/>
    <m/>
    <m/>
    <m/>
    <m/>
    <m/>
    <m/>
    <m/>
    <m/>
    <m/>
    <m/>
    <m/>
    <m/>
    <m/>
    <m/>
    <m/>
    <m/>
    <m/>
    <m/>
    <m/>
    <m/>
    <m/>
    <m/>
    <m/>
    <m/>
    <m/>
    <m/>
    <m/>
    <m/>
    <m/>
    <m/>
    <m/>
    <m/>
    <m/>
    <m/>
  </r>
  <r>
    <s v="102 - US"/>
    <d v="2025-09-10T00:00:00"/>
    <s v="SEPTEMBER"/>
    <n v="2025"/>
    <x v="0"/>
    <s v="Deposited"/>
    <s v="PMT-S151-210583"/>
    <s v=""/>
    <s v="USD"/>
    <n v="-13564.62"/>
    <n v="-13564.62"/>
    <n v="13564.62"/>
    <n v="-13564.62"/>
    <s v="Cubic Corporation"/>
    <s v="Jose Castellanos"/>
    <s v="Customer refund ACH CONCENTRATION CREDIT ACH CASH CONCENTRATION CUBIC CORPORATIO-EDI/ACH Cubic Cor EDI/ACH                                                10152000245 624"/>
    <m/>
    <m/>
    <m/>
    <m/>
    <m/>
    <m/>
    <m/>
    <m/>
    <m/>
    <m/>
    <m/>
    <m/>
    <m/>
    <m/>
    <m/>
    <m/>
    <m/>
    <m/>
    <m/>
    <m/>
    <m/>
    <m/>
    <m/>
    <m/>
    <m/>
    <m/>
    <m/>
    <m/>
    <m/>
    <m/>
    <m/>
    <m/>
    <m/>
    <m/>
    <m/>
    <m/>
  </r>
  <r>
    <s v="102 - US"/>
    <d v="2023-08-29T00:00:00"/>
    <s v="AUGUST"/>
    <n v="2023"/>
    <x v="0"/>
    <s v="Deposited"/>
    <s v="PMT-S151-173898"/>
    <s v=""/>
    <s v="USD"/>
    <n v="-13500"/>
    <n v="-13500"/>
    <n v="13500"/>
    <n v="-13500"/>
    <s v="Versant Health"/>
    <s v=""/>
    <s v="CHECK"/>
    <m/>
    <m/>
    <m/>
    <m/>
    <m/>
    <m/>
    <m/>
    <m/>
    <m/>
    <m/>
    <m/>
    <m/>
    <m/>
    <m/>
    <m/>
    <m/>
    <m/>
    <m/>
    <m/>
    <m/>
    <m/>
    <m/>
    <m/>
    <m/>
    <m/>
    <m/>
    <m/>
    <m/>
    <m/>
    <m/>
    <m/>
    <m/>
    <m/>
    <m/>
    <m/>
    <m/>
  </r>
  <r>
    <s v="102 - US"/>
    <d v="2023-06-08T00:00:00"/>
    <s v="JUNE"/>
    <n v="2023"/>
    <x v="0"/>
    <s v="Deposited"/>
    <s v="PMT-S151-169476"/>
    <s v=""/>
    <s v="USD"/>
    <n v="-12980"/>
    <n v="-12980"/>
    <n v="12980"/>
    <n v="-250567.82"/>
    <s v="DUMMY CUSTOMER_CASHAPPS 102 - US"/>
    <s v=""/>
    <s v="ACH CONCENTRATION CREDIT ACH CASH CONCENTRATION DALLAS FOUNDATIO-CORP PAY DALLAS FO CORP PAY 1504"/>
    <m/>
    <m/>
    <m/>
    <m/>
    <m/>
    <m/>
    <m/>
    <m/>
    <m/>
    <m/>
    <m/>
    <m/>
    <m/>
    <m/>
    <m/>
    <m/>
    <m/>
    <m/>
    <m/>
    <m/>
    <m/>
    <m/>
    <m/>
    <m/>
    <m/>
    <m/>
    <m/>
    <m/>
    <m/>
    <m/>
    <m/>
    <m/>
    <m/>
    <m/>
    <m/>
    <m/>
  </r>
  <r>
    <s v="102 - US"/>
    <d v="2022-09-26T00:00:00"/>
    <s v="SEPTEMBER"/>
    <n v="2022"/>
    <x v="0"/>
    <s v="Deposited"/>
    <s v="PMT-S151-154814"/>
    <s v=""/>
    <s v="USD"/>
    <n v="-11550"/>
    <n v="-11550"/>
    <n v="11550"/>
    <n v="-11550"/>
    <s v="AmeriCU Credit Union"/>
    <s v=""/>
    <s v="CHECK"/>
    <m/>
    <m/>
    <m/>
    <m/>
    <m/>
    <m/>
    <m/>
    <m/>
    <m/>
    <m/>
    <m/>
    <m/>
    <m/>
    <m/>
    <m/>
    <m/>
    <m/>
    <m/>
    <m/>
    <m/>
    <m/>
    <m/>
    <m/>
    <m/>
    <m/>
    <m/>
    <m/>
    <m/>
    <m/>
    <m/>
    <m/>
    <m/>
    <m/>
    <m/>
    <m/>
    <m/>
  </r>
  <r>
    <s v="102 - US"/>
    <d v="2023-09-05T00:00:00"/>
    <s v="SEPTEMBER"/>
    <n v="2023"/>
    <x v="0"/>
    <s v="Deposited"/>
    <s v="PMT-S151-174242"/>
    <s v="IN-S151-555435"/>
    <s v="USD"/>
    <n v="-22698.13"/>
    <n v="-22698.13"/>
    <n v="11349.07"/>
    <n v="-11349.07"/>
    <s v="Drive Agency, LLC"/>
    <s v="Yangzom Vitali-116"/>
    <s v="ACH CREDIT ACH DEPOSIT FROM GREENBERG QUINLA-ACH PAYMNT INV IN-S151-548883"/>
    <m/>
    <m/>
    <m/>
    <m/>
    <m/>
    <m/>
    <m/>
    <m/>
    <m/>
    <m/>
    <m/>
    <m/>
    <m/>
    <m/>
    <m/>
    <m/>
    <m/>
    <m/>
    <m/>
    <m/>
    <m/>
    <m/>
    <m/>
    <m/>
    <m/>
    <m/>
    <m/>
    <m/>
    <m/>
    <m/>
    <m/>
    <m/>
    <m/>
    <m/>
    <m/>
    <m/>
  </r>
  <r>
    <s v="102 - US"/>
    <d v="2026-04-24T00:00:00"/>
    <s v="APRIL"/>
    <n v="2026"/>
    <x v="0"/>
    <s v="Deposited"/>
    <s v="PMT-S151-223327"/>
    <s v=""/>
    <s v="USD"/>
    <n v="-9900"/>
    <n v="-9900"/>
    <n v="9900"/>
    <n v="-250567.82"/>
    <s v="DUMMY CUSTOMER_CASHAPPS 102 - US"/>
    <s v=""/>
    <s v="ACH CONCENTRATION CREDIT ACH CASH CONCENTRATION COMMISSION L'UNI-PAYMENT COMMISSIO PAYMENT    KQ3LUSEQGD69"/>
    <m/>
    <m/>
    <m/>
    <m/>
    <m/>
    <m/>
    <m/>
    <m/>
    <m/>
    <m/>
    <m/>
    <m/>
    <m/>
    <m/>
    <m/>
    <m/>
    <m/>
    <m/>
    <m/>
    <m/>
    <m/>
    <m/>
    <m/>
    <m/>
    <m/>
    <m/>
    <m/>
    <m/>
    <m/>
    <m/>
    <m/>
    <m/>
    <m/>
    <m/>
    <m/>
    <m/>
  </r>
  <r>
    <s v="102 - US"/>
    <d v="2023-07-07T00:00:00"/>
    <s v="JULY"/>
    <n v="2023"/>
    <x v="0"/>
    <s v="Deposited"/>
    <s v="PMT-S151-171074"/>
    <s v=""/>
    <s v="USD"/>
    <n v="-9695"/>
    <n v="-9695"/>
    <n v="9695"/>
    <n v="-10420"/>
    <s v="Amarin Pharma, Inc."/>
    <s v="Sarah Shoemaker-MW"/>
    <s v="FOREIGN REMITTANCE CREDIT 33RECD CHIP JPMORGAN CHASE BANK*ORG:AMARIN SWITZERLAND GMBH,CH/ZUG 6300,BAARERSTRASSE 75*OGB:JPMORGAN CHASE BANK,N.A.,ZUERICH,DREI KOENIGSTRASSE 21*BNF:MELTWATER NEWS US INC,REDWOOD CITY         CA/US,STE 165 *OBI:/ROC/714*STCHIPSEQ:0157130*TIME:0207*YOUR REF:SWF OF 23/07/07*OUR REF:18 8409072"/>
    <m/>
    <m/>
    <m/>
    <m/>
    <m/>
    <m/>
    <m/>
    <m/>
    <m/>
    <m/>
    <m/>
    <m/>
    <m/>
    <m/>
    <m/>
    <m/>
    <m/>
    <m/>
    <m/>
    <m/>
    <m/>
    <m/>
    <m/>
    <m/>
    <m/>
    <m/>
    <m/>
    <m/>
    <m/>
    <m/>
    <m/>
    <m/>
    <m/>
    <m/>
    <m/>
    <m/>
  </r>
  <r>
    <s v="102 - US"/>
    <d v="2025-01-27T00:00:00"/>
    <s v="JANUARY"/>
    <n v="2025"/>
    <x v="0"/>
    <s v="Deposited"/>
    <s v="PMT-S151-199815"/>
    <s v=""/>
    <s v="USD"/>
    <n v="-9680"/>
    <n v="-9680"/>
    <n v="9680"/>
    <n v="-9680"/>
    <s v="Zonda Home"/>
    <s v=""/>
    <s v="ACH CONCENTRATION CREDIT ACH CASH CONCENTRATION METROSTUDY INC-AB-TFBANIP METROSTUD AB-TFBANIP                                             4090116"/>
    <m/>
    <m/>
    <m/>
    <m/>
    <m/>
    <m/>
    <m/>
    <m/>
    <m/>
    <m/>
    <m/>
    <m/>
    <m/>
    <m/>
    <m/>
    <m/>
    <m/>
    <m/>
    <m/>
    <m/>
    <m/>
    <m/>
    <m/>
    <m/>
    <m/>
    <m/>
    <m/>
    <m/>
    <m/>
    <m/>
    <m/>
    <m/>
    <m/>
    <m/>
    <m/>
    <m/>
  </r>
  <r>
    <s v="102 - US"/>
    <d v="2026-01-09T00:00:00"/>
    <s v="JANUARY"/>
    <n v="2026"/>
    <x v="0"/>
    <s v="Deposited"/>
    <s v="PMT-S151-217064"/>
    <s v=""/>
    <s v="USD"/>
    <n v="-9600"/>
    <n v="-9600"/>
    <n v="9600"/>
    <n v="-9600"/>
    <s v="Hunstville Botanical Garden"/>
    <s v=""/>
    <s v="ACH CONCENTRATION CREDIT ACH CASH CONCENTRATION HSV BG       517-ACH PAYMEN HSV BG    ACH Paymen 32465974"/>
    <m/>
    <m/>
    <m/>
    <m/>
    <m/>
    <m/>
    <m/>
    <m/>
    <m/>
    <m/>
    <m/>
    <m/>
    <m/>
    <m/>
    <m/>
    <m/>
    <m/>
    <m/>
    <m/>
    <m/>
    <m/>
    <m/>
    <m/>
    <m/>
    <m/>
    <m/>
    <m/>
    <m/>
    <m/>
    <m/>
    <m/>
    <m/>
    <m/>
    <m/>
    <m/>
    <m/>
  </r>
  <r>
    <s v="102 - US"/>
    <d v="2022-10-18T00:00:00"/>
    <s v="OCTOBER"/>
    <n v="2022"/>
    <x v="0"/>
    <s v="Deposited"/>
    <s v="PMT-S151-156313"/>
    <s v="IN-S151-546649"/>
    <s v="USD"/>
    <n v="-14000"/>
    <n v="-14000"/>
    <n v="9333.33"/>
    <n v="-9333.33"/>
    <s v="Management &amp; Training Corporation (Job Corps)"/>
    <s v="Jose Castellanos-103"/>
    <s v="renewal 12/7/22-12/6/25"/>
    <m/>
    <m/>
    <m/>
    <m/>
    <m/>
    <m/>
    <m/>
    <m/>
    <m/>
    <m/>
    <m/>
    <m/>
    <m/>
    <m/>
    <m/>
    <m/>
    <m/>
    <m/>
    <m/>
    <m/>
    <m/>
    <m/>
    <m/>
    <m/>
    <m/>
    <m/>
    <m/>
    <m/>
    <m/>
    <m/>
    <m/>
    <m/>
    <m/>
    <m/>
    <m/>
    <m/>
  </r>
  <r>
    <s v="102 - US"/>
    <d v="2022-06-24T00:00:00"/>
    <s v="JUNE"/>
    <n v="2022"/>
    <x v="0"/>
    <s v="Deposited"/>
    <s v="PMT-S151-149470"/>
    <s v=""/>
    <s v="USD"/>
    <n v="-8250"/>
    <n v="-8250"/>
    <n v="8250"/>
    <n v="-8250"/>
    <s v="Avendra"/>
    <s v=""/>
    <s v="CHECK"/>
    <m/>
    <m/>
    <m/>
    <m/>
    <m/>
    <m/>
    <m/>
    <m/>
    <m/>
    <m/>
    <m/>
    <m/>
    <m/>
    <m/>
    <m/>
    <m/>
    <m/>
    <m/>
    <m/>
    <m/>
    <m/>
    <m/>
    <m/>
    <m/>
    <m/>
    <m/>
    <m/>
    <m/>
    <m/>
    <m/>
    <m/>
    <m/>
    <m/>
    <m/>
    <m/>
    <m/>
  </r>
  <r>
    <s v="102 - US"/>
    <d v="2022-07-06T00:00:00"/>
    <s v="JULY"/>
    <n v="2022"/>
    <x v="0"/>
    <s v="Deposited"/>
    <s v="PMT-S151-150211"/>
    <s v=""/>
    <s v="USD"/>
    <n v="-8250"/>
    <n v="-8250"/>
    <n v="8250"/>
    <n v="-250567.82"/>
    <s v="DUMMY CUSTOMER_CASHAPPS 102 - US"/>
    <s v=""/>
    <s v="ACH CONCENTRATION CREDIT ACH CASH CONCENTRATION INDIANA UNV-BATCH INDIANA U BATCH 504301824"/>
    <m/>
    <m/>
    <m/>
    <m/>
    <m/>
    <m/>
    <m/>
    <m/>
    <m/>
    <m/>
    <m/>
    <m/>
    <m/>
    <m/>
    <m/>
    <m/>
    <m/>
    <m/>
    <m/>
    <m/>
    <m/>
    <m/>
    <m/>
    <m/>
    <m/>
    <m/>
    <m/>
    <m/>
    <m/>
    <m/>
    <m/>
    <m/>
    <m/>
    <m/>
    <m/>
    <m/>
  </r>
  <r>
    <s v="102 - US"/>
    <d v="2023-01-30T00:00:00"/>
    <s v="JANUARY"/>
    <n v="2023"/>
    <x v="0"/>
    <s v="Deposited"/>
    <s v="PMT-S151-162604"/>
    <s v="IN-S151-549189"/>
    <s v="USD"/>
    <n v="-15665.62"/>
    <n v="-15665.62"/>
    <n v="8165.62"/>
    <n v="-8165.62"/>
    <s v="Comic Relief, Inc"/>
    <s v=""/>
    <s v="ACH CONCENTRATION CREDIT ACH CASH CONCENTRATION COMIC RELIEF8654-PAYMENTS COMIC REL PAYMENTS                                               Meltwater N ews"/>
    <m/>
    <m/>
    <m/>
    <m/>
    <m/>
    <m/>
    <m/>
    <m/>
    <m/>
    <m/>
    <m/>
    <m/>
    <m/>
    <m/>
    <m/>
    <m/>
    <m/>
    <m/>
    <m/>
    <m/>
    <m/>
    <m/>
    <m/>
    <m/>
    <m/>
    <m/>
    <m/>
    <m/>
    <m/>
    <m/>
    <m/>
    <m/>
    <m/>
    <m/>
    <m/>
    <m/>
  </r>
  <r>
    <s v="102 - US"/>
    <d v="2025-07-18T00:00:00"/>
    <s v="JULY"/>
    <n v="2025"/>
    <x v="0"/>
    <s v="Deposited"/>
    <s v="PMT-S151-208027"/>
    <s v=""/>
    <s v="USD"/>
    <n v="-7720.17"/>
    <n v="-7720.17"/>
    <n v="7720.17"/>
    <n v="-250567.82"/>
    <s v="DUMMY CUSTOMER_CASHAPPS 102 - US"/>
    <s v=""/>
    <s v="ACH CONCENTRATION CREDIT ACH CASH CONCENTRATION ENVIOLOL-PAYMENTS ENVIOLOL  PAYMENTS 0000010634"/>
    <m/>
    <m/>
    <m/>
    <m/>
    <m/>
    <m/>
    <m/>
    <m/>
    <m/>
    <m/>
    <m/>
    <m/>
    <m/>
    <m/>
    <m/>
    <m/>
    <m/>
    <m/>
    <m/>
    <m/>
    <m/>
    <m/>
    <m/>
    <m/>
    <m/>
    <m/>
    <m/>
    <m/>
    <m/>
    <m/>
    <m/>
    <m/>
    <m/>
    <m/>
    <m/>
    <m/>
  </r>
  <r>
    <s v="102 - US"/>
    <d v="2025-08-12T00:00:00"/>
    <s v="AUGUST"/>
    <n v="2025"/>
    <x v="0"/>
    <s v="Deposited"/>
    <s v="PMT-S151-209317"/>
    <s v=""/>
    <s v="USD"/>
    <n v="-7652"/>
    <n v="-7652"/>
    <n v="7652"/>
    <n v="-7652"/>
    <s v="Fort Worth Symphony Orchestra"/>
    <s v=""/>
    <s v=""/>
    <m/>
    <m/>
    <m/>
    <m/>
    <m/>
    <m/>
    <m/>
    <m/>
    <m/>
    <m/>
    <m/>
    <m/>
    <m/>
    <m/>
    <m/>
    <m/>
    <m/>
    <m/>
    <m/>
    <m/>
    <m/>
    <m/>
    <m/>
    <m/>
    <m/>
    <m/>
    <m/>
    <m/>
    <m/>
    <m/>
    <m/>
    <m/>
    <m/>
    <m/>
    <m/>
    <m/>
  </r>
  <r>
    <s v="102 - US"/>
    <d v="2026-04-14T00:00:00"/>
    <s v="APRIL"/>
    <n v="2026"/>
    <x v="0"/>
    <s v="Deposited"/>
    <s v="PMT-S151-222677"/>
    <s v=""/>
    <s v="USD"/>
    <n v="-7500"/>
    <n v="-7500"/>
    <n v="7500"/>
    <n v="-250567.82"/>
    <s v="DUMMY CUSTOMER_CASHAPPS 102 - US"/>
    <s v=""/>
    <s v=""/>
    <m/>
    <m/>
    <m/>
    <m/>
    <m/>
    <m/>
    <m/>
    <m/>
    <m/>
    <m/>
    <m/>
    <m/>
    <m/>
    <m/>
    <m/>
    <m/>
    <m/>
    <m/>
    <m/>
    <m/>
    <m/>
    <m/>
    <m/>
    <m/>
    <m/>
    <m/>
    <m/>
    <m/>
    <m/>
    <m/>
    <m/>
    <m/>
    <m/>
    <m/>
    <m/>
    <m/>
  </r>
  <r>
    <s v="102 - US"/>
    <d v="2023-10-06T00:00:00"/>
    <s v="OCTOBER"/>
    <n v="2023"/>
    <x v="0"/>
    <s v="Deposited"/>
    <s v="PMT-S151-175978"/>
    <s v=""/>
    <s v="USD"/>
    <n v="-7350"/>
    <n v="-7350"/>
    <n v="7350"/>
    <n v="-7350"/>
    <s v="American Magic"/>
    <s v=""/>
    <s v="ACH CONCENTRATION CREDIT ACH CASH CONCENTRATION BMQR-SPT ACH BMQR SPT ACH    Meltwater"/>
    <m/>
    <m/>
    <m/>
    <m/>
    <m/>
    <m/>
    <m/>
    <m/>
    <m/>
    <m/>
    <m/>
    <m/>
    <m/>
    <m/>
    <m/>
    <m/>
    <m/>
    <m/>
    <m/>
    <m/>
    <m/>
    <m/>
    <m/>
    <m/>
    <m/>
    <m/>
    <m/>
    <m/>
    <m/>
    <m/>
    <m/>
    <m/>
    <m/>
    <m/>
    <m/>
    <m/>
  </r>
  <r>
    <s v="102 - US"/>
    <d v="2025-01-31T00:00:00"/>
    <s v="JANUARY"/>
    <n v="2025"/>
    <x v="0"/>
    <s v="Deposited"/>
    <s v="PMT-S151-200236"/>
    <s v=""/>
    <s v="USD"/>
    <n v="-7150"/>
    <n v="-7150"/>
    <n v="7150"/>
    <n v="-250567.82"/>
    <s v="DUMMY CUSTOMER_CASHAPPS 102 - US"/>
    <s v=""/>
    <s v="ACH CONCENTRATION CREDIT ACH CORP TRADE PAYMENT FROM THE CITY OF NEW THE CITY  Payments 202501296563717"/>
    <m/>
    <m/>
    <m/>
    <m/>
    <m/>
    <m/>
    <m/>
    <m/>
    <m/>
    <m/>
    <m/>
    <m/>
    <m/>
    <m/>
    <m/>
    <m/>
    <m/>
    <m/>
    <m/>
    <m/>
    <m/>
    <m/>
    <m/>
    <m/>
    <m/>
    <m/>
    <m/>
    <m/>
    <m/>
    <m/>
    <m/>
    <m/>
    <m/>
    <m/>
    <m/>
    <m/>
  </r>
  <r>
    <s v="102 - US"/>
    <d v="2022-10-04T00:00:00"/>
    <s v="OCTOBER"/>
    <n v="2022"/>
    <x v="0"/>
    <s v="Deposited"/>
    <s v="PMT-S151-155504"/>
    <s v=""/>
    <s v="USD"/>
    <n v="-7000"/>
    <n v="-7000"/>
    <n v="7000"/>
    <n v="-7000"/>
    <s v="Girl Scouts of Northeast Texas"/>
    <s v=""/>
    <s v="ACH CONCENTRATION CREDIT ACH CASH CONCENTRATION GIRL SCOUTS OF N-PAYMENTS GIRL SCOU PAYMENTS   MELTWATER"/>
    <m/>
    <m/>
    <m/>
    <m/>
    <m/>
    <m/>
    <m/>
    <m/>
    <m/>
    <m/>
    <m/>
    <m/>
    <m/>
    <m/>
    <m/>
    <m/>
    <m/>
    <m/>
    <m/>
    <m/>
    <m/>
    <m/>
    <m/>
    <m/>
    <m/>
    <m/>
    <m/>
    <m/>
    <m/>
    <m/>
    <m/>
    <m/>
    <m/>
    <m/>
    <m/>
    <m/>
  </r>
  <r>
    <s v="102 - US"/>
    <d v="2022-12-02T00:00:00"/>
    <s v="DECEMBER"/>
    <n v="2022"/>
    <x v="0"/>
    <s v="Deposited"/>
    <s v="PMT-S151-159053"/>
    <s v="IN-S151-547293"/>
    <s v="USD"/>
    <n v="-20000"/>
    <n v="-20000"/>
    <n v="7000"/>
    <n v="-7000"/>
    <s v="SSR Mining, Inc"/>
    <s v=""/>
    <s v="ACH CREDIT ACH DEPOSIT FROM SSR MINING INC.-AP PAYMENT SSR MININ AP PAYMENT NOTPROVIDED"/>
    <m/>
    <m/>
    <m/>
    <m/>
    <m/>
    <m/>
    <m/>
    <m/>
    <m/>
    <m/>
    <m/>
    <m/>
    <m/>
    <m/>
    <m/>
    <m/>
    <m/>
    <m/>
    <m/>
    <m/>
    <m/>
    <m/>
    <m/>
    <m/>
    <m/>
    <m/>
    <m/>
    <m/>
    <m/>
    <m/>
    <m/>
    <m/>
    <m/>
    <m/>
    <m/>
    <m/>
  </r>
  <r>
    <s v="102 - US"/>
    <d v="2023-07-31T00:00:00"/>
    <s v="JULY"/>
    <n v="2023"/>
    <x v="0"/>
    <s v="Deposited"/>
    <s v="PMT-S151-172289"/>
    <s v="IN-S151-568917"/>
    <s v="USD"/>
    <n v="-7750"/>
    <n v="-7750"/>
    <n v="6975"/>
    <n v="-6975"/>
    <s v="Johnston County Schools"/>
    <s v="Stephanie Thore"/>
    <s v="CHECK"/>
    <m/>
    <m/>
    <m/>
    <m/>
    <m/>
    <m/>
    <m/>
    <m/>
    <m/>
    <m/>
    <m/>
    <m/>
    <m/>
    <m/>
    <m/>
    <m/>
    <m/>
    <m/>
    <m/>
    <m/>
    <m/>
    <m/>
    <m/>
    <m/>
    <m/>
    <m/>
    <m/>
    <m/>
    <m/>
    <m/>
    <m/>
    <m/>
    <m/>
    <m/>
    <m/>
    <m/>
  </r>
  <r>
    <s v="102 - US"/>
    <d v="2023-07-21T00:00:00"/>
    <s v="JULY"/>
    <n v="2023"/>
    <x v="0"/>
    <s v="Deposited"/>
    <s v="PMT-S151-171846"/>
    <s v=""/>
    <s v="USD"/>
    <n v="-6929"/>
    <n v="-6929"/>
    <n v="6929"/>
    <n v="-6929"/>
    <s v="Season Health"/>
    <s v=""/>
    <s v="ACH CONCENTRATION CREDIT ACH CASH CONCENTRATION SURELY HEALTH,I-TRANSFER"/>
    <m/>
    <m/>
    <m/>
    <m/>
    <m/>
    <m/>
    <m/>
    <m/>
    <m/>
    <m/>
    <m/>
    <m/>
    <m/>
    <m/>
    <m/>
    <m/>
    <m/>
    <m/>
    <m/>
    <m/>
    <m/>
    <m/>
    <m/>
    <m/>
    <m/>
    <m/>
    <m/>
    <m/>
    <m/>
    <m/>
    <m/>
    <m/>
    <m/>
    <m/>
    <m/>
    <m/>
  </r>
  <r>
    <s v="102 - US"/>
    <d v="2025-12-22T00:00:00"/>
    <s v="DECEMBER"/>
    <n v="2025"/>
    <x v="0"/>
    <s v="Deposited"/>
    <s v="PMT-S151-216041"/>
    <s v="PMT-S151-216041"/>
    <s v="USD"/>
    <n v="-6655"/>
    <n v="-6655"/>
    <n v="6655"/>
    <n v="-6655"/>
    <s v="The Commit Partnership"/>
    <s v=""/>
    <s v="ACH CONCENTRATION CREDIT ACH CASH CONCENTRATION COMMIT2DALLAS-INS1515900"/>
    <m/>
    <m/>
    <m/>
    <m/>
    <m/>
    <m/>
    <m/>
    <m/>
    <m/>
    <m/>
    <m/>
    <m/>
    <m/>
    <m/>
    <m/>
    <m/>
    <m/>
    <m/>
    <m/>
    <m/>
    <m/>
    <m/>
    <m/>
    <m/>
    <m/>
    <m/>
    <m/>
    <m/>
    <m/>
    <m/>
    <m/>
    <m/>
    <m/>
    <m/>
    <m/>
    <m/>
  </r>
  <r>
    <s v="102 - US"/>
    <d v="2022-12-29T00:00:00"/>
    <s v="DECEMBER"/>
    <n v="2022"/>
    <x v="0"/>
    <s v="Deposited"/>
    <s v="PMT-S151-160605"/>
    <s v=""/>
    <s v="USD"/>
    <n v="-6325"/>
    <n v="-6325"/>
    <n v="6325"/>
    <n v="-6325"/>
    <s v="Gulfshore Playhouse"/>
    <s v=""/>
    <s v="CHECK"/>
    <m/>
    <m/>
    <m/>
    <m/>
    <m/>
    <m/>
    <m/>
    <m/>
    <m/>
    <m/>
    <m/>
    <m/>
    <m/>
    <m/>
    <m/>
    <m/>
    <m/>
    <m/>
    <m/>
    <m/>
    <m/>
    <m/>
    <m/>
    <m/>
    <m/>
    <m/>
    <m/>
    <m/>
    <m/>
    <m/>
    <m/>
    <m/>
    <m/>
    <m/>
    <m/>
    <m/>
  </r>
  <r>
    <s v="102 - US"/>
    <d v="2026-04-24T00:00:00"/>
    <s v="APRIL"/>
    <n v="2026"/>
    <x v="0"/>
    <s v="Deposited"/>
    <s v="PMT-S151-223212"/>
    <s v=""/>
    <s v="USD"/>
    <n v="-6200"/>
    <n v="-6200"/>
    <n v="6200"/>
    <n v="-6200"/>
    <s v="Honolulu Marathon Association"/>
    <s v="Stephanie Thore"/>
    <s v=""/>
    <m/>
    <m/>
    <m/>
    <m/>
    <m/>
    <m/>
    <m/>
    <m/>
    <m/>
    <m/>
    <m/>
    <m/>
    <m/>
    <m/>
    <m/>
    <m/>
    <m/>
    <m/>
    <m/>
    <m/>
    <m/>
    <m/>
    <m/>
    <m/>
    <m/>
    <m/>
    <m/>
    <m/>
    <m/>
    <m/>
    <m/>
    <m/>
    <m/>
    <m/>
    <m/>
    <m/>
  </r>
  <r>
    <s v="102 - US"/>
    <d v="2026-05-04T00:00:00"/>
    <s v="MAY"/>
    <n v="2026"/>
    <x v="0"/>
    <s v="Deposited"/>
    <s v="PMT-S151-223744"/>
    <s v=""/>
    <s v="USD"/>
    <n v="-5625"/>
    <n v="-5625"/>
    <n v="5625"/>
    <n v="-5625"/>
    <s v="Omaha Supernovas"/>
    <s v=""/>
    <s v=""/>
    <m/>
    <m/>
    <m/>
    <m/>
    <m/>
    <m/>
    <m/>
    <m/>
    <m/>
    <m/>
    <m/>
    <m/>
    <m/>
    <m/>
    <m/>
    <m/>
    <m/>
    <m/>
    <m/>
    <m/>
    <m/>
    <m/>
    <m/>
    <m/>
    <m/>
    <m/>
    <m/>
    <m/>
    <m/>
    <m/>
    <m/>
    <m/>
    <m/>
    <m/>
    <m/>
    <m/>
  </r>
  <r>
    <s v="102 - US"/>
    <d v="2022-04-27T00:00:00"/>
    <s v="APRIL"/>
    <n v="2022"/>
    <x v="0"/>
    <s v="Deposited"/>
    <s v="PMT-S151-146660"/>
    <s v=""/>
    <s v="USD"/>
    <n v="-5505"/>
    <n v="-5505"/>
    <n v="5505"/>
    <n v="-5505"/>
    <s v="Pacvue"/>
    <s v=""/>
    <s v="ACH CONCENTRATION CREDIT ACH CASH CONCENTRATION PACVUE CORPORATI-ACH PMT PACVUE CO ACH Pmt 5332490959"/>
    <m/>
    <m/>
    <m/>
    <m/>
    <m/>
    <m/>
    <m/>
    <m/>
    <m/>
    <m/>
    <m/>
    <m/>
    <m/>
    <m/>
    <m/>
    <m/>
    <m/>
    <m/>
    <m/>
    <m/>
    <m/>
    <m/>
    <m/>
    <m/>
    <m/>
    <m/>
    <m/>
    <m/>
    <m/>
    <m/>
    <m/>
    <m/>
    <m/>
    <m/>
    <m/>
    <m/>
  </r>
  <r>
    <s v="102 - US"/>
    <d v="2023-04-25T00:00:00"/>
    <s v="APRIL"/>
    <n v="2023"/>
    <x v="0"/>
    <s v="Deposited"/>
    <s v="PMT-S151-167020"/>
    <s v=""/>
    <s v="USD"/>
    <n v="-5500"/>
    <n v="-5500"/>
    <n v="5500"/>
    <n v="-5500"/>
    <s v="Birmingham Public Schools"/>
    <s v=""/>
    <s v="CHECK"/>
    <m/>
    <m/>
    <m/>
    <m/>
    <m/>
    <m/>
    <m/>
    <m/>
    <m/>
    <m/>
    <m/>
    <m/>
    <m/>
    <m/>
    <m/>
    <m/>
    <m/>
    <m/>
    <m/>
    <m/>
    <m/>
    <m/>
    <m/>
    <m/>
    <m/>
    <m/>
    <m/>
    <m/>
    <m/>
    <m/>
    <m/>
    <m/>
    <m/>
    <m/>
    <m/>
    <m/>
  </r>
  <r>
    <s v="102 - US"/>
    <d v="2023-08-16T00:00:00"/>
    <s v="AUGUST"/>
    <n v="2023"/>
    <x v="0"/>
    <s v="Deposited"/>
    <s v="PMT-S151-173335"/>
    <s v=""/>
    <s v="USD"/>
    <n v="-5500"/>
    <n v="-5500"/>
    <n v="5500"/>
    <n v="-5500"/>
    <s v="Brain Technologies, Inc."/>
    <s v=""/>
    <s v="ACH CONCENTRATION CREDIT ACH CASH CONCENTRATION BRAIN TECHNOLOGI-BILL.COM Brain Tec Bill.com                                               016GNOXUE2QY ILR"/>
    <m/>
    <m/>
    <m/>
    <m/>
    <m/>
    <m/>
    <m/>
    <m/>
    <m/>
    <m/>
    <m/>
    <m/>
    <m/>
    <m/>
    <m/>
    <m/>
    <m/>
    <m/>
    <m/>
    <m/>
    <m/>
    <m/>
    <m/>
    <m/>
    <m/>
    <m/>
    <m/>
    <m/>
    <m/>
    <m/>
    <m/>
    <m/>
    <m/>
    <m/>
    <m/>
    <m/>
  </r>
  <r>
    <s v="102 - US"/>
    <d v="2025-10-22T00:00:00"/>
    <s v="OCTOBER"/>
    <n v="2025"/>
    <x v="0"/>
    <s v="Deposited"/>
    <s v="PMT-S151-212527"/>
    <s v=""/>
    <s v="USD"/>
    <n v="-5500"/>
    <n v="-5500"/>
    <n v="5500"/>
    <n v="-5500"/>
    <s v="Vladimir Jones"/>
    <s v=""/>
    <s v=""/>
    <m/>
    <m/>
    <m/>
    <m/>
    <m/>
    <m/>
    <m/>
    <m/>
    <m/>
    <m/>
    <m/>
    <m/>
    <m/>
    <m/>
    <m/>
    <m/>
    <m/>
    <m/>
    <m/>
    <m/>
    <m/>
    <m/>
    <m/>
    <m/>
    <m/>
    <m/>
    <m/>
    <m/>
    <m/>
    <m/>
    <m/>
    <m/>
    <m/>
    <m/>
    <m/>
    <m/>
  </r>
  <r>
    <s v="102 - US"/>
    <d v="2023-01-04T00:00:00"/>
    <s v="JANUARY"/>
    <n v="2023"/>
    <x v="0"/>
    <s v="Deposited"/>
    <s v="PMT-S151-160930"/>
    <s v=""/>
    <s v="USD"/>
    <n v="-5457"/>
    <n v="-5457"/>
    <n v="5457"/>
    <n v="-5457"/>
    <s v="Calvin Klein"/>
    <s v="Jason Welch"/>
    <s v="INCOMING MONEY TRANSFER 53RECD FED BANK OF AMERICA N.A.*ORG:1/PVH EUROPE B .V.,3/NL/AMSTERDAM 1054ES,2/STADHOUDERSKAD*OGB:BANK OF AMERICA NA LONDON,LOND ON,BANK OF AMERICA MERRILL*BNF:MELTWATER NEWS US INC,SAN FRANCISCO        CA/ US,STE 100*OBI:IN-S151-531453C PVHE CALVIN KL EIN EUROPE BV /RFB/221019200010 1556*STFEDSEQ:B1Q8982R002942*TIME:1618*YOUR REF:2210192000101556*OUR REF:0045 77450"/>
    <m/>
    <m/>
    <m/>
    <m/>
    <m/>
    <m/>
    <m/>
    <m/>
    <m/>
    <m/>
    <m/>
    <m/>
    <m/>
    <m/>
    <m/>
    <m/>
    <m/>
    <m/>
    <m/>
    <m/>
    <m/>
    <m/>
    <m/>
    <m/>
    <m/>
    <m/>
    <m/>
    <m/>
    <m/>
    <m/>
    <m/>
    <m/>
    <m/>
    <m/>
    <m/>
    <m/>
  </r>
  <r>
    <s v="102 - US"/>
    <d v="2024-02-20T00:00:00"/>
    <s v="FEBRUARY"/>
    <n v="2024"/>
    <x v="0"/>
    <s v="Deposited"/>
    <s v="PMT-S151-183645"/>
    <s v=""/>
    <s v="USD"/>
    <n v="-5400"/>
    <n v="-5400"/>
    <n v="5400"/>
    <n v="-5400"/>
    <s v="Mextenis, S.A. de C.V"/>
    <s v="Maria Papadopoulos"/>
    <s v="INCOMING MONEY TRANSFER 53RECD FED BANK OF NEW YORK*ORG:MEX TENIS S.A. DE C.V.,MX 23/10/1992,BOSQUES DE LAS LOMA*OGB:INTERCAM BANCO SA INSTITUCION DE B A,CIUDAD DE MEXICO,COL*BNF:MELTWATER NEWS US INC,REDWOOD CITY         CA/US,S TE 165*OBI:PAY LICENCIAMELTWATERPAQ PAGO DE SE RVIC BOF MEX TENIS S.A. DE C.V .*STFEDSEQ:B1Q8981R004078*TIME:1315*YOUR REF NONREF*OUR REF:051500808"/>
    <m/>
    <m/>
    <m/>
    <m/>
    <m/>
    <m/>
    <m/>
    <m/>
    <m/>
    <m/>
    <m/>
    <m/>
    <m/>
    <m/>
    <m/>
    <m/>
    <m/>
    <m/>
    <m/>
    <m/>
    <m/>
    <m/>
    <m/>
    <m/>
    <m/>
    <m/>
    <m/>
    <m/>
    <m/>
    <m/>
    <m/>
    <m/>
    <m/>
    <m/>
    <m/>
    <m/>
  </r>
  <r>
    <s v="102 - US"/>
    <d v="2025-04-16T00:00:00"/>
    <s v="APRIL"/>
    <n v="2025"/>
    <x v="0"/>
    <s v="Deposited"/>
    <s v="PMT-S151-204303"/>
    <s v=""/>
    <s v="USD"/>
    <n v="-5375"/>
    <n v="-5375"/>
    <n v="5375"/>
    <n v="-5375"/>
    <s v="Bath &amp; Body Works Direct, Inc."/>
    <s v=""/>
    <s v="ACH CONCENTRATION CREDIT ACH CASH CONCENTRATION L BRAND 1332-EDI PAYMNT L BRAND 1 EDI PAYMNT 2003275583"/>
    <m/>
    <m/>
    <m/>
    <m/>
    <m/>
    <m/>
    <m/>
    <m/>
    <m/>
    <m/>
    <m/>
    <m/>
    <m/>
    <m/>
    <m/>
    <m/>
    <m/>
    <m/>
    <m/>
    <m/>
    <m/>
    <m/>
    <m/>
    <m/>
    <m/>
    <m/>
    <m/>
    <m/>
    <m/>
    <m/>
    <m/>
    <m/>
    <m/>
    <m/>
    <m/>
    <m/>
  </r>
  <r>
    <s v="102 - US"/>
    <d v="2023-09-26T00:00:00"/>
    <s v="SEPTEMBER"/>
    <n v="2023"/>
    <x v="0"/>
    <s v="Deposited"/>
    <s v="PMT-S151-175385"/>
    <s v="IN-S151-559205"/>
    <s v="USD"/>
    <n v="-9717.1200000000008"/>
    <n v="-9717.1200000000008"/>
    <n v="5254.62"/>
    <n v="-5254.62"/>
    <s v="CultureWorks Inc"/>
    <s v=""/>
    <s v="ACH CONCENTRATION CREDIT ACH CASH CONCENTRATION CULTUREWORKS,IN-BILL.COM CultureWo Bill.com                                                         025BRMYDKVMZ 65U"/>
    <m/>
    <m/>
    <m/>
    <m/>
    <m/>
    <m/>
    <m/>
    <m/>
    <m/>
    <m/>
    <m/>
    <m/>
    <m/>
    <m/>
    <m/>
    <m/>
    <m/>
    <m/>
    <m/>
    <m/>
    <m/>
    <m/>
    <m/>
    <m/>
    <m/>
    <m/>
    <m/>
    <m/>
    <m/>
    <m/>
    <m/>
    <m/>
    <m/>
    <m/>
    <m/>
    <m/>
  </r>
  <r>
    <s v="102 - US"/>
    <d v="2025-06-20T00:00:00"/>
    <s v="JUNE"/>
    <n v="2025"/>
    <x v="0"/>
    <s v="Deposited"/>
    <s v="PMT-S151-206730"/>
    <s v="IN-S151-583041"/>
    <s v="USD"/>
    <n v="-55150"/>
    <n v="-55150"/>
    <n v="5150"/>
    <n v="-50095.55"/>
    <s v="Microsoft Corporation"/>
    <s v=""/>
    <s v="ACH CONCENTRATION CREDIT ACH CASH CONCENTRATION 200-ACTIVISION P-6531011921 200-ACTIV 6531011921 6531011921"/>
    <m/>
    <m/>
    <m/>
    <m/>
    <m/>
    <m/>
    <m/>
    <m/>
    <m/>
    <m/>
    <m/>
    <m/>
    <m/>
    <m/>
    <m/>
    <m/>
    <m/>
    <m/>
    <m/>
    <m/>
    <m/>
    <m/>
    <m/>
    <m/>
    <m/>
    <m/>
    <m/>
    <m/>
    <m/>
    <m/>
    <m/>
    <m/>
    <m/>
    <m/>
    <m/>
    <m/>
  </r>
  <r>
    <s v="102 - US"/>
    <d v="2025-10-27T00:00:00"/>
    <s v="OCTOBER"/>
    <n v="2025"/>
    <x v="0"/>
    <s v="Deposited"/>
    <s v="PMT-S151-212754"/>
    <s v=""/>
    <s v="USD"/>
    <n v="-5000"/>
    <n v="-5000"/>
    <n v="5000"/>
    <n v="-5000"/>
    <s v="McDaniels Marketing"/>
    <s v=""/>
    <s v=""/>
    <m/>
    <m/>
    <m/>
    <m/>
    <m/>
    <m/>
    <m/>
    <m/>
    <m/>
    <m/>
    <m/>
    <m/>
    <m/>
    <m/>
    <m/>
    <m/>
    <m/>
    <m/>
    <m/>
    <m/>
    <m/>
    <m/>
    <m/>
    <m/>
    <m/>
    <m/>
    <m/>
    <m/>
    <m/>
    <m/>
    <m/>
    <m/>
    <m/>
    <m/>
    <m/>
    <m/>
  </r>
  <r>
    <s v="102 - US"/>
    <d v="2025-11-19T00:00:00"/>
    <s v="NOVEMBER"/>
    <n v="2025"/>
    <x v="0"/>
    <s v="Deposited"/>
    <s v="PMT-S151-214232"/>
    <s v=""/>
    <s v="USD"/>
    <n v="-5000"/>
    <n v="-5000"/>
    <n v="5000"/>
    <n v="-5000"/>
    <s v="Mendaera, Inc"/>
    <s v=""/>
    <s v=""/>
    <m/>
    <m/>
    <m/>
    <m/>
    <m/>
    <m/>
    <m/>
    <m/>
    <m/>
    <m/>
    <m/>
    <m/>
    <m/>
    <m/>
    <m/>
    <m/>
    <m/>
    <m/>
    <m/>
    <m/>
    <m/>
    <m/>
    <m/>
    <m/>
    <m/>
    <m/>
    <m/>
    <m/>
    <m/>
    <m/>
    <m/>
    <m/>
    <m/>
    <m/>
    <m/>
    <m/>
  </r>
  <r>
    <s v="102 - US"/>
    <d v="2022-04-22T00:00:00"/>
    <s v="APRIL"/>
    <n v="2022"/>
    <x v="0"/>
    <s v="Deposited"/>
    <s v="PMT-S151-146301"/>
    <s v=""/>
    <s v="USD"/>
    <n v="-4800"/>
    <n v="-4800"/>
    <n v="4800"/>
    <n v="-4800"/>
    <s v="WeGo Public Transit"/>
    <s v=""/>
    <s v="CHECK"/>
    <m/>
    <m/>
    <m/>
    <m/>
    <m/>
    <m/>
    <m/>
    <m/>
    <m/>
    <m/>
    <m/>
    <m/>
    <m/>
    <m/>
    <m/>
    <m/>
    <m/>
    <m/>
    <m/>
    <m/>
    <m/>
    <m/>
    <m/>
    <m/>
    <m/>
    <m/>
    <m/>
    <m/>
    <m/>
    <m/>
    <m/>
    <m/>
    <m/>
    <m/>
    <m/>
    <m/>
  </r>
  <r>
    <s v="102 - US"/>
    <d v="2026-04-23T00:00:00"/>
    <s v="APRIL"/>
    <n v="2026"/>
    <x v="0"/>
    <s v="Deposited"/>
    <s v="PMT-S151-223214"/>
    <s v=""/>
    <s v="USD"/>
    <n v="-4265.16"/>
    <n v="-4265.16"/>
    <n v="4265.16"/>
    <n v="-4265.16"/>
    <s v="TFI Family Services, Inc."/>
    <s v=""/>
    <s v="ACH CONCENTRATION CREDIT ACH CASH CONCENTRATION TFI FAMILY SERVI-ACH PAYMEN TFI Famil ACH Paymen V000000551"/>
    <m/>
    <m/>
    <m/>
    <m/>
    <m/>
    <m/>
    <m/>
    <m/>
    <m/>
    <m/>
    <m/>
    <m/>
    <m/>
    <m/>
    <m/>
    <m/>
    <m/>
    <m/>
    <m/>
    <m/>
    <m/>
    <m/>
    <m/>
    <m/>
    <m/>
    <m/>
    <m/>
    <m/>
    <m/>
    <m/>
    <m/>
    <m/>
    <m/>
    <m/>
    <m/>
    <m/>
  </r>
  <r>
    <s v="102 - US"/>
    <d v="2022-04-01T00:00:00"/>
    <s v="APRIL"/>
    <n v="2022"/>
    <x v="0"/>
    <s v="Deposited"/>
    <s v="PMT-S151-145257"/>
    <s v=""/>
    <s v="USD"/>
    <n v="-4225"/>
    <n v="-4225"/>
    <n v="4225"/>
    <n v="-4225"/>
    <s v="SVB Leerink"/>
    <s v=""/>
    <s v="ACH CONCENTRATION CREDIT ACH CASH CONCENTRATION LEERINK PRTNRS-TRADE PAY LEERINK P TRADE PAY MELTWATER"/>
    <m/>
    <m/>
    <m/>
    <m/>
    <m/>
    <m/>
    <m/>
    <m/>
    <m/>
    <m/>
    <m/>
    <m/>
    <m/>
    <m/>
    <m/>
    <m/>
    <m/>
    <m/>
    <m/>
    <m/>
    <m/>
    <m/>
    <m/>
    <m/>
    <m/>
    <m/>
    <m/>
    <m/>
    <m/>
    <m/>
    <m/>
    <m/>
    <m/>
    <m/>
    <m/>
    <m/>
  </r>
  <r>
    <s v="102 - US"/>
    <d v="2025-06-26T00:00:00"/>
    <s v="JUNE"/>
    <n v="2025"/>
    <x v="0"/>
    <s v="Deposited"/>
    <s v="PMT-S151-206955"/>
    <s v=""/>
    <s v="USD"/>
    <n v="-4087.75"/>
    <n v="-4087.75"/>
    <n v="4087.75"/>
    <n v="-4087.75"/>
    <s v="FOULGER-PRATT"/>
    <s v=""/>
    <s v="ACH CONCENTRATION CREDIT ACH CASH CONCENTRATION FOULGERPRATT PMD-PAYMENT FOULGERPR PAYMENT    5543440"/>
    <m/>
    <m/>
    <m/>
    <m/>
    <m/>
    <m/>
    <m/>
    <m/>
    <m/>
    <m/>
    <m/>
    <m/>
    <m/>
    <m/>
    <m/>
    <m/>
    <m/>
    <m/>
    <m/>
    <m/>
    <m/>
    <m/>
    <m/>
    <m/>
    <m/>
    <m/>
    <m/>
    <m/>
    <m/>
    <m/>
    <m/>
    <m/>
    <m/>
    <m/>
    <m/>
    <m/>
  </r>
  <r>
    <s v="102 - US"/>
    <d v="2026-05-01T00:00:00"/>
    <s v="MAY"/>
    <n v="2026"/>
    <x v="0"/>
    <s v="Deposited"/>
    <s v="PMT-S151-223676"/>
    <s v=""/>
    <s v="USD"/>
    <n v="-4026"/>
    <n v="-4026"/>
    <n v="4026"/>
    <n v="0"/>
    <s v="Philander Smith University"/>
    <s v="Stephanie Thore"/>
    <s v=""/>
    <m/>
    <m/>
    <m/>
    <m/>
    <m/>
    <m/>
    <m/>
    <m/>
    <m/>
    <m/>
    <m/>
    <m/>
    <m/>
    <m/>
    <m/>
    <m/>
    <m/>
    <m/>
    <m/>
    <m/>
    <m/>
    <m/>
    <m/>
    <m/>
    <m/>
    <m/>
    <m/>
    <m/>
    <m/>
    <m/>
    <m/>
    <m/>
    <m/>
    <m/>
    <m/>
    <m/>
  </r>
  <r>
    <s v="102 - US"/>
    <d v="2024-06-14T00:00:00"/>
    <s v="JUNE"/>
    <n v="2024"/>
    <x v="0"/>
    <s v="Deposited"/>
    <s v="PMT-S151-189268"/>
    <s v="IN-S151-564791"/>
    <s v="USD"/>
    <n v="-7983"/>
    <n v="-7983"/>
    <n v="3991.5"/>
    <n v="-3991.5"/>
    <s v="RISE INTERNATIONAL GROUP LIMITED"/>
    <s v=""/>
    <s v="BOOK TRANSFER CREDIT 41BOOK CREDIT MELTWATER NEWS US INC*ORG:ULUTECH IN TERNATIONAL TRADING LLC,2F 011 OBAID BUD NAIF *OGB:EMIRATES NBD BANK PJ,DUBAI BANIYAS ROAD*BNF:MELTWATER NEWS US INC,REDWOOD CITY         CA/US,STE 165*OB I:INS151564791*STBOOK*TIME:0622*YOUR REF:EPHCOP16603XIGD9*OUR REF:166272624"/>
    <m/>
    <m/>
    <m/>
    <m/>
    <m/>
    <m/>
    <m/>
    <m/>
    <m/>
    <m/>
    <m/>
    <m/>
    <m/>
    <m/>
    <m/>
    <m/>
    <m/>
    <m/>
    <m/>
    <m/>
    <m/>
    <m/>
    <m/>
    <m/>
    <m/>
    <m/>
    <m/>
    <m/>
    <m/>
    <m/>
    <m/>
    <m/>
    <m/>
    <m/>
    <m/>
    <m/>
  </r>
  <r>
    <s v="102 - US"/>
    <d v="2025-05-09T00:00:00"/>
    <s v="MAY"/>
    <n v="2025"/>
    <x v="0"/>
    <s v="Deposited"/>
    <s v="PMT-S151-205267"/>
    <s v=""/>
    <s v="USD"/>
    <n v="-3990"/>
    <n v="-3990"/>
    <n v="3990"/>
    <n v="-3990"/>
    <s v="OPERADORA HOTELERA DEL CORREDOR MAYAKOBA"/>
    <s v=""/>
    <s v="INCOMING MONEY TRANSFER 53RECD FED BANK OF AMERICA N.A.*ORG:1/OPERADORA HO TELERA DEL CORREDO,3/MX/MEXICO,2/PLAYA DEL*OGB:BBVA BANCOMER,S.A.,MEXICO,120 0,AVENIDA UNIVERSIDAD*BNF:MELTWATER NEWS US INC,REDWOOD CITY         CA/US,2 75 SHO*OBI:444*STFEDSEQ:B1Q8982R000314*TIME:2216*YOUR REF:1074658586010177*OU R REF:129062691"/>
    <m/>
    <m/>
    <m/>
    <m/>
    <m/>
    <m/>
    <m/>
    <m/>
    <m/>
    <m/>
    <m/>
    <m/>
    <m/>
    <m/>
    <m/>
    <m/>
    <m/>
    <m/>
    <m/>
    <m/>
    <m/>
    <m/>
    <m/>
    <m/>
    <m/>
    <m/>
    <m/>
    <m/>
    <m/>
    <m/>
    <m/>
    <m/>
    <m/>
    <m/>
    <m/>
    <m/>
  </r>
  <r>
    <s v="102 - US"/>
    <d v="2023-01-19T00:00:00"/>
    <s v="JANUARY"/>
    <n v="2023"/>
    <x v="0"/>
    <s v="Deposited"/>
    <s v="PMT-S151-161929"/>
    <s v=""/>
    <s v="USD"/>
    <n v="-3950"/>
    <n v="-3950"/>
    <n v="3950"/>
    <n v="-3950"/>
    <s v="CommunityAmerica Credit Union"/>
    <s v=""/>
    <s v="ACH CONCENTRATION CREDIT ACH CORP TRADE PAYMENT FROM COMMUNITYAMERICA COMMUNITY DIRECT-PAY 30422800"/>
    <m/>
    <m/>
    <m/>
    <m/>
    <m/>
    <m/>
    <m/>
    <m/>
    <m/>
    <m/>
    <m/>
    <m/>
    <m/>
    <m/>
    <m/>
    <m/>
    <m/>
    <m/>
    <m/>
    <m/>
    <m/>
    <m/>
    <m/>
    <m/>
    <m/>
    <m/>
    <m/>
    <m/>
    <m/>
    <m/>
    <m/>
    <m/>
    <m/>
    <m/>
    <m/>
    <m/>
  </r>
  <r>
    <s v="102 - US"/>
    <d v="2025-11-26T00:00:00"/>
    <s v="NOVEMBER"/>
    <n v="2025"/>
    <x v="0"/>
    <s v="Deposited"/>
    <s v="PMT-S151-214621"/>
    <s v=""/>
    <s v="USD"/>
    <n v="-3841.2"/>
    <n v="-3841.2"/>
    <n v="3841.2"/>
    <n v="154725.09"/>
    <s v="Amazon.com Services LLC"/>
    <s v=""/>
    <s v="ACH CONCENTRATION CREDIT ACH CASH CONCENTRATION AMAZON.COM-EDI PYMNTS AMAZON.CO EDI PYMNTS DASACDYOVX4SPOU"/>
    <m/>
    <m/>
    <m/>
    <m/>
    <m/>
    <m/>
    <m/>
    <m/>
    <m/>
    <m/>
    <m/>
    <m/>
    <m/>
    <m/>
    <m/>
    <m/>
    <m/>
    <m/>
    <m/>
    <m/>
    <m/>
    <m/>
    <m/>
    <m/>
    <m/>
    <m/>
    <m/>
    <m/>
    <m/>
    <m/>
    <m/>
    <m/>
    <m/>
    <m/>
    <m/>
    <m/>
  </r>
  <r>
    <s v="102 - US"/>
    <d v="2022-09-19T00:00:00"/>
    <s v="SEPTEMBER"/>
    <n v="2022"/>
    <x v="0"/>
    <s v="Deposited"/>
    <s v="PMT-S151-154377"/>
    <s v="IN-S151-543872"/>
    <s v="USD"/>
    <n v="-30844.22"/>
    <n v="-30844.22"/>
    <n v="3520.22"/>
    <n v="-3520.22"/>
    <s v="AIDS Healthcare Foundation"/>
    <s v="Jose Castellanos-103"/>
    <s v="PMT-S151-153768 (09/06/2022)"/>
    <m/>
    <m/>
    <m/>
    <m/>
    <m/>
    <m/>
    <m/>
    <m/>
    <m/>
    <m/>
    <m/>
    <m/>
    <m/>
    <m/>
    <m/>
    <m/>
    <m/>
    <m/>
    <m/>
    <m/>
    <m/>
    <m/>
    <m/>
    <m/>
    <m/>
    <m/>
    <m/>
    <m/>
    <m/>
    <m/>
    <m/>
    <m/>
    <m/>
    <m/>
    <m/>
    <m/>
  </r>
  <r>
    <s v="102 - US"/>
    <d v="2026-03-27T00:00:00"/>
    <s v="MARCH"/>
    <n v="2026"/>
    <x v="0"/>
    <s v="Deposited"/>
    <s v="PMT-S151-221854"/>
    <s v=""/>
    <s v="USD"/>
    <n v="-3500"/>
    <n v="-3500"/>
    <n v="3500"/>
    <n v="-250567.82"/>
    <s v="DUMMY CUSTOMER_CASHAPPS 102 - US"/>
    <s v=""/>
    <s v="ACH CONCENTRATION CREDIT ACH CASH CONCENTRATION AMERICAN INDIAN-AMINDIAN American  AMINDIAN                                               3441"/>
    <m/>
    <m/>
    <m/>
    <m/>
    <m/>
    <m/>
    <m/>
    <m/>
    <m/>
    <m/>
    <m/>
    <m/>
    <m/>
    <m/>
    <m/>
    <m/>
    <m/>
    <m/>
    <m/>
    <m/>
    <m/>
    <m/>
    <m/>
    <m/>
    <m/>
    <m/>
    <m/>
    <m/>
    <m/>
    <m/>
    <m/>
    <m/>
    <m/>
    <m/>
    <m/>
    <m/>
  </r>
  <r>
    <s v="102 - US"/>
    <d v="2022-06-03T00:00:00"/>
    <s v="JUNE"/>
    <n v="2022"/>
    <x v="0"/>
    <s v="Deposited"/>
    <s v="PMT-S151-148522"/>
    <s v=""/>
    <s v="USD"/>
    <n v="-3450.01"/>
    <n v="-3450.01"/>
    <n v="3450.01"/>
    <n v="-3450.01"/>
    <s v="Peak Vista Community Health Centers"/>
    <s v=""/>
    <s v="ACH CONCENTRATION CREDIT ACH CASH CONCENTRATION PEAK VISTA COMM-TRADE PAY Peak Vist TRADE PAY VMEL03"/>
    <m/>
    <m/>
    <m/>
    <m/>
    <m/>
    <m/>
    <m/>
    <m/>
    <m/>
    <m/>
    <m/>
    <m/>
    <m/>
    <m/>
    <m/>
    <m/>
    <m/>
    <m/>
    <m/>
    <m/>
    <m/>
    <m/>
    <m/>
    <m/>
    <m/>
    <m/>
    <m/>
    <m/>
    <m/>
    <m/>
    <m/>
    <m/>
    <m/>
    <m/>
    <m/>
    <m/>
  </r>
  <r>
    <s v="102 - US"/>
    <d v="2022-08-05T00:00:00"/>
    <s v="AUGUST"/>
    <n v="2022"/>
    <x v="0"/>
    <s v="Deposited"/>
    <s v="PMT-S151-152042"/>
    <s v=""/>
    <s v="USD"/>
    <n v="-3400"/>
    <n v="-3400"/>
    <n v="3400"/>
    <n v="-3400"/>
    <s v="iProspect Colombia S.A.S"/>
    <s v="Yangzom Vitali"/>
    <s v="INCOMING MONEY TRANSFER 53RECD FED BANK OF AMERICA N.A.*ORG:IPROSPECT COLO MBIA SAS,BOGOTA COLOMBIA,CARRERA 19 C 91 6*OGB:SCOTIABANK COLPATRIA S.A.,BOGO TA,TORRE COLPATRIA,CARRERA*BNF:MELTWATER NEWS US INC,SAN FRANCISCO        CA/ US,STE 100*OBI:ACC INVOICE IN-S151-533120*STFEDSEQ:B1Q8981R003908*TIME:1848*Y OUR REF:KTPP2090515*OUR REF:217618348"/>
    <m/>
    <m/>
    <m/>
    <m/>
    <m/>
    <m/>
    <m/>
    <m/>
    <m/>
    <m/>
    <m/>
    <m/>
    <m/>
    <m/>
    <m/>
    <m/>
    <m/>
    <m/>
    <m/>
    <m/>
    <m/>
    <m/>
    <m/>
    <m/>
    <m/>
    <m/>
    <m/>
    <m/>
    <m/>
    <m/>
    <m/>
    <m/>
    <m/>
    <m/>
    <m/>
    <m/>
  </r>
  <r>
    <s v="102 - US"/>
    <d v="2022-04-28T00:00:00"/>
    <s v="APRIL"/>
    <n v="2022"/>
    <x v="0"/>
    <s v="Deposited"/>
    <s v="PMT-S151-146617"/>
    <s v="IN-S151-536351"/>
    <s v="USD"/>
    <n v="-6750"/>
    <n v="-6750"/>
    <n v="3375"/>
    <n v="-3375"/>
    <s v="American Oncology Network"/>
    <s v="Jose Castellanos"/>
    <s v="Check"/>
    <m/>
    <m/>
    <m/>
    <m/>
    <m/>
    <m/>
    <m/>
    <m/>
    <m/>
    <m/>
    <m/>
    <m/>
    <m/>
    <m/>
    <m/>
    <m/>
    <m/>
    <m/>
    <m/>
    <m/>
    <m/>
    <m/>
    <m/>
    <m/>
    <m/>
    <m/>
    <m/>
    <m/>
    <m/>
    <m/>
    <m/>
    <m/>
    <m/>
    <m/>
    <m/>
    <m/>
  </r>
  <r>
    <s v="102 - US"/>
    <d v="2022-07-08T00:00:00"/>
    <s v="JULY"/>
    <n v="2022"/>
    <x v="0"/>
    <s v="Deposited"/>
    <s v="PMT-S151-150272"/>
    <s v=""/>
    <s v="USD"/>
    <n v="-3300"/>
    <n v="-3300"/>
    <n v="3300"/>
    <n v="-3300"/>
    <s v="Fishburne Military School"/>
    <s v="Jose Castellanos"/>
    <s v="CHECK"/>
    <m/>
    <m/>
    <m/>
    <m/>
    <m/>
    <m/>
    <m/>
    <m/>
    <m/>
    <m/>
    <m/>
    <m/>
    <m/>
    <m/>
    <m/>
    <m/>
    <m/>
    <m/>
    <m/>
    <m/>
    <m/>
    <m/>
    <m/>
    <m/>
    <m/>
    <m/>
    <m/>
    <m/>
    <m/>
    <m/>
    <m/>
    <m/>
    <m/>
    <m/>
    <m/>
    <m/>
  </r>
  <r>
    <s v="102 - US"/>
    <d v="2026-05-04T00:00:00"/>
    <s v="MAY"/>
    <n v="2026"/>
    <x v="0"/>
    <s v="Deposited"/>
    <s v="PMT-S151-223743"/>
    <s v=""/>
    <s v="USD"/>
    <n v="-3187.5"/>
    <n v="-3187.5"/>
    <n v="3187.5"/>
    <n v="-3187.5"/>
    <s v="The Hanover Insurance Company"/>
    <s v=""/>
    <s v=""/>
    <m/>
    <m/>
    <m/>
    <m/>
    <m/>
    <m/>
    <m/>
    <m/>
    <m/>
    <m/>
    <m/>
    <m/>
    <m/>
    <m/>
    <m/>
    <m/>
    <m/>
    <m/>
    <m/>
    <m/>
    <m/>
    <m/>
    <m/>
    <m/>
    <m/>
    <m/>
    <m/>
    <m/>
    <m/>
    <m/>
    <m/>
    <m/>
    <m/>
    <m/>
    <m/>
    <m/>
  </r>
  <r>
    <s v="102 - US"/>
    <d v="2022-05-13T00:00:00"/>
    <s v="MAY"/>
    <n v="2022"/>
    <x v="0"/>
    <s v="Deposited"/>
    <s v="PMT-S151-147510"/>
    <s v="IN-S151-536994"/>
    <s v="USD"/>
    <n v="-6000"/>
    <n v="-6000"/>
    <n v="3000"/>
    <n v="-3000"/>
    <s v="High Bar Brands"/>
    <s v="Stephanie Thore"/>
    <s v="CHECK"/>
    <m/>
    <m/>
    <m/>
    <m/>
    <m/>
    <m/>
    <m/>
    <m/>
    <m/>
    <m/>
    <m/>
    <m/>
    <m/>
    <m/>
    <m/>
    <m/>
    <m/>
    <m/>
    <m/>
    <m/>
    <m/>
    <m/>
    <m/>
    <m/>
    <m/>
    <m/>
    <m/>
    <m/>
    <m/>
    <m/>
    <m/>
    <m/>
    <m/>
    <m/>
    <m/>
    <m/>
  </r>
  <r>
    <s v="102 - US"/>
    <d v="2023-06-07T00:00:00"/>
    <s v="JUNE"/>
    <n v="2023"/>
    <x v="0"/>
    <s v="Deposited"/>
    <s v="PMT-S151-169389"/>
    <s v=""/>
    <s v="USD"/>
    <n v="-2979"/>
    <n v="-2979"/>
    <n v="2979"/>
    <n v="-250567.82"/>
    <s v="DUMMY CUSTOMER_CASHAPPS 102 - US"/>
    <s v=""/>
    <s v="FOREIGN REMITTANCE CREDIT 33RECD CHIP DEUTSCHE BANK AG*ORG:EPPENDORF NEDERLAND B .V.,NETHERLANDS-NL,6546 BC  NIJMEGE*OGB:DEUTSCHE BANK AG,AMSTERDAM,DE ENTREE 196*BNF:MELTWATER NEWS US INC,REDWOOD CITY         CA/US,STE 165*OBI:2023-400 -003 05/01/23*STCHIPSEQ:0022320*TIME:0000*YOUR REF:SIP/02.06-10:52*OUR REF:15 8317944"/>
    <m/>
    <m/>
    <m/>
    <m/>
    <m/>
    <m/>
    <m/>
    <m/>
    <m/>
    <m/>
    <m/>
    <m/>
    <m/>
    <m/>
    <m/>
    <m/>
    <m/>
    <m/>
    <m/>
    <m/>
    <m/>
    <m/>
    <m/>
    <m/>
    <m/>
    <m/>
    <m/>
    <m/>
    <m/>
    <m/>
    <m/>
    <m/>
    <m/>
    <m/>
    <m/>
    <m/>
  </r>
  <r>
    <s v="102 - US"/>
    <d v="2025-08-14T00:00:00"/>
    <s v="AUGUST"/>
    <n v="2025"/>
    <x v="0"/>
    <s v="Deposited"/>
    <s v="PMT-S151-209465"/>
    <s v="IN-S151-584586"/>
    <s v="USD"/>
    <n v="-36131.26"/>
    <n v="-36131.26"/>
    <n v="2963.26"/>
    <n v="-2963.26"/>
    <s v="L.A. Care Health Plan"/>
    <s v="Jose Castellanos"/>
    <s v="ACH CONCENTRATION CREDIT ACH CASH CONCENTRATION L.A. CARE HEALTH-122000661"/>
    <m/>
    <m/>
    <m/>
    <m/>
    <m/>
    <m/>
    <m/>
    <m/>
    <m/>
    <m/>
    <m/>
    <m/>
    <m/>
    <m/>
    <m/>
    <m/>
    <m/>
    <m/>
    <m/>
    <m/>
    <m/>
    <m/>
    <m/>
    <m/>
    <m/>
    <m/>
    <m/>
    <m/>
    <m/>
    <m/>
    <m/>
    <m/>
    <m/>
    <m/>
    <m/>
    <m/>
  </r>
  <r>
    <s v="102 - US"/>
    <d v="2025-07-28T00:00:00"/>
    <s v="JULY"/>
    <n v="2025"/>
    <x v="0"/>
    <s v="Deposited"/>
    <s v="PMT-S151-208422"/>
    <s v=""/>
    <s v="USD"/>
    <n v="-2636.66"/>
    <n v="-2636.66"/>
    <n v="2636.66"/>
    <n v="-2636.66"/>
    <s v="Survivors Network of those Abused by Priests (SNAP)"/>
    <s v=""/>
    <s v=""/>
    <m/>
    <m/>
    <m/>
    <m/>
    <m/>
    <m/>
    <m/>
    <m/>
    <m/>
    <m/>
    <m/>
    <m/>
    <m/>
    <m/>
    <m/>
    <m/>
    <m/>
    <m/>
    <m/>
    <m/>
    <m/>
    <m/>
    <m/>
    <m/>
    <m/>
    <m/>
    <m/>
    <m/>
    <m/>
    <m/>
    <m/>
    <m/>
    <m/>
    <m/>
    <m/>
    <m/>
  </r>
  <r>
    <s v="102 - US"/>
    <d v="2025-08-15T00:00:00"/>
    <s v="AUGUST"/>
    <n v="2025"/>
    <x v="0"/>
    <s v="Deposited"/>
    <s v="PMT-S151-209557"/>
    <s v=""/>
    <s v="USD"/>
    <n v="-2625"/>
    <n v="-2625"/>
    <n v="2625"/>
    <n v="-2625"/>
    <s v="Green Check Verified"/>
    <s v=""/>
    <s v="ACH CONCENTRATION CREDIT ACH CASH CONCENTRATION GREEN CHECK VERI-MERCURYACH Green Che MercuryACH                                                   MRCR-QVA1TXX X5U"/>
    <m/>
    <m/>
    <m/>
    <m/>
    <m/>
    <m/>
    <m/>
    <m/>
    <m/>
    <m/>
    <m/>
    <m/>
    <m/>
    <m/>
    <m/>
    <m/>
    <m/>
    <m/>
    <m/>
    <m/>
    <m/>
    <m/>
    <m/>
    <m/>
    <m/>
    <m/>
    <m/>
    <m/>
    <m/>
    <m/>
    <m/>
    <m/>
    <m/>
    <m/>
    <m/>
    <m/>
  </r>
  <r>
    <s v="102 - US"/>
    <d v="2023-03-07T00:00:00"/>
    <s v="MARCH"/>
    <n v="2023"/>
    <x v="0"/>
    <s v="Deposited"/>
    <s v="PMT-S151-164531"/>
    <s v=""/>
    <s v="USD"/>
    <n v="-2550"/>
    <n v="-2550"/>
    <n v="2550"/>
    <n v="-250567.82"/>
    <s v="DUMMY CUSTOMER_CASHAPPS 102 - US"/>
    <s v=""/>
    <s v="ACH CONCENTRATION CREDIT ACH CORP TRADE PAYMENT FROM HOPE GAS,INC. HOPE GAS,PAYMENTS 188413095"/>
    <m/>
    <m/>
    <m/>
    <m/>
    <m/>
    <m/>
    <m/>
    <m/>
    <m/>
    <m/>
    <m/>
    <m/>
    <m/>
    <m/>
    <m/>
    <m/>
    <m/>
    <m/>
    <m/>
    <m/>
    <m/>
    <m/>
    <m/>
    <m/>
    <m/>
    <m/>
    <m/>
    <m/>
    <m/>
    <m/>
    <m/>
    <m/>
    <m/>
    <m/>
    <m/>
    <m/>
  </r>
  <r>
    <s v="102 - US"/>
    <d v="2022-06-21T00:00:00"/>
    <s v="JUNE"/>
    <n v="2022"/>
    <x v="0"/>
    <s v="Deposited"/>
    <s v="PMT-S151-149275"/>
    <s v=""/>
    <s v="USD"/>
    <n v="-2425"/>
    <n v="-2425"/>
    <n v="2425"/>
    <n v="-2425"/>
    <s v="Matrix LLC"/>
    <s v=""/>
    <s v="CHECK"/>
    <m/>
    <m/>
    <m/>
    <m/>
    <m/>
    <m/>
    <m/>
    <m/>
    <m/>
    <m/>
    <m/>
    <m/>
    <m/>
    <m/>
    <m/>
    <m/>
    <m/>
    <m/>
    <m/>
    <m/>
    <m/>
    <m/>
    <m/>
    <m/>
    <m/>
    <m/>
    <m/>
    <m/>
    <m/>
    <m/>
    <m/>
    <m/>
    <m/>
    <m/>
    <m/>
    <m/>
  </r>
  <r>
    <s v="102 - US"/>
    <d v="2025-10-03T00:00:00"/>
    <s v="OCTOBER"/>
    <n v="2025"/>
    <x v="0"/>
    <s v="Deposited"/>
    <s v="PMT-S151-211737"/>
    <s v="IN-S151-586645"/>
    <s v="USD"/>
    <n v="-2500"/>
    <n v="-2500"/>
    <n v="2300"/>
    <n v="-2300"/>
    <s v="Thunder Tech"/>
    <s v=""/>
    <s v="ACH CONCENTRATION CREDIT ACH CASH CONCENTRATION THUNDERTECH-9.30.25 THUNDERTE 9.30.25 MELTWATER"/>
    <m/>
    <m/>
    <m/>
    <m/>
    <m/>
    <m/>
    <m/>
    <m/>
    <m/>
    <m/>
    <m/>
    <m/>
    <m/>
    <m/>
    <m/>
    <m/>
    <m/>
    <m/>
    <m/>
    <m/>
    <m/>
    <m/>
    <m/>
    <m/>
    <m/>
    <m/>
    <m/>
    <m/>
    <m/>
    <m/>
    <m/>
    <m/>
    <m/>
    <m/>
    <m/>
    <m/>
  </r>
  <r>
    <s v="102 - US"/>
    <d v="2023-10-10T00:00:00"/>
    <s v="OCTOBER"/>
    <n v="2023"/>
    <x v="0"/>
    <s v="Deposited"/>
    <s v="PMT-S151-176048"/>
    <s v="IN-S151-560145"/>
    <s v="USD"/>
    <n v="-6360.82"/>
    <n v="-6360.82"/>
    <n v="2259.39"/>
    <n v="-2259.39"/>
    <s v="National Sorghum Producers"/>
    <s v=""/>
    <s v="CHECK"/>
    <m/>
    <m/>
    <m/>
    <m/>
    <m/>
    <m/>
    <m/>
    <m/>
    <m/>
    <m/>
    <m/>
    <m/>
    <m/>
    <m/>
    <m/>
    <m/>
    <m/>
    <m/>
    <m/>
    <m/>
    <m/>
    <m/>
    <m/>
    <m/>
    <m/>
    <m/>
    <m/>
    <m/>
    <m/>
    <m/>
    <m/>
    <m/>
    <m/>
    <m/>
    <m/>
    <m/>
  </r>
  <r>
    <s v="102 - US"/>
    <d v="2023-10-03T00:00:00"/>
    <s v="OCTOBER"/>
    <n v="2023"/>
    <x v="0"/>
    <s v="Deposited"/>
    <s v="PMT-S151-175765"/>
    <s v=""/>
    <s v="USD"/>
    <n v="-2177.5100000000002"/>
    <n v="-2177.5100000000002"/>
    <n v="2177.5100000000002"/>
    <n v="-2177.5100000000002"/>
    <s v="Insight Venture Management"/>
    <s v="Jason Welch"/>
    <s v="ACH CONCENTRATION CREDIT ACH CORP TRADE PAYMENT FROM INSIGHT VENTURE INSIGHT V DIRECT-PAY 53852876"/>
    <m/>
    <m/>
    <m/>
    <m/>
    <m/>
    <m/>
    <m/>
    <m/>
    <m/>
    <m/>
    <m/>
    <m/>
    <m/>
    <m/>
    <m/>
    <m/>
    <m/>
    <m/>
    <m/>
    <m/>
    <m/>
    <m/>
    <m/>
    <m/>
    <m/>
    <m/>
    <m/>
    <m/>
    <m/>
    <m/>
    <m/>
    <m/>
    <m/>
    <m/>
    <m/>
    <m/>
  </r>
  <r>
    <s v="102 - US"/>
    <d v="2026-03-17T00:00:00"/>
    <s v="MARCH"/>
    <n v="2026"/>
    <x v="0"/>
    <s v="Deposited"/>
    <s v="PMT-S151-221300"/>
    <s v=""/>
    <s v="USD"/>
    <n v="-2150"/>
    <n v="-2150"/>
    <n v="2150"/>
    <n v="-250567.82"/>
    <s v="DUMMY CUSTOMER_CASHAPPS 102 - US"/>
    <s v=""/>
    <s v="ACH CONCENTRATION CREDIT ACH CASH CONCENTRATION AMERICAN FOREIGN-BILL.COM American  Bill.com                                               015MRNWKHRWP 41O"/>
    <m/>
    <m/>
    <m/>
    <m/>
    <m/>
    <m/>
    <m/>
    <m/>
    <m/>
    <m/>
    <m/>
    <m/>
    <m/>
    <m/>
    <m/>
    <m/>
    <m/>
    <m/>
    <m/>
    <m/>
    <m/>
    <m/>
    <m/>
    <m/>
    <m/>
    <m/>
    <m/>
    <m/>
    <m/>
    <m/>
    <m/>
    <m/>
    <m/>
    <m/>
    <m/>
    <m/>
  </r>
  <r>
    <s v="102 - US"/>
    <d v="2022-11-04T00:00:00"/>
    <s v="NOVEMBER"/>
    <n v="2022"/>
    <x v="0"/>
    <s v="Deposited"/>
    <s v="PMT-S151-157433"/>
    <s v=""/>
    <s v="USD"/>
    <n v="-2085"/>
    <n v="-2085"/>
    <n v="2085"/>
    <n v="-250567.82"/>
    <s v="DUMMY CUSTOMER_CASHAPPS 102 - US"/>
    <s v=""/>
    <s v="ACH CONCENTRATION CREDIT ACH CASH CONCENTRATION UNITED NATIONS-3305888902 UNITED NA 3305888902                                             3305888902"/>
    <m/>
    <m/>
    <m/>
    <m/>
    <m/>
    <m/>
    <m/>
    <m/>
    <m/>
    <m/>
    <m/>
    <m/>
    <m/>
    <m/>
    <m/>
    <m/>
    <m/>
    <m/>
    <m/>
    <m/>
    <m/>
    <m/>
    <m/>
    <m/>
    <m/>
    <m/>
    <m/>
    <m/>
    <m/>
    <m/>
    <m/>
    <m/>
    <m/>
    <m/>
    <m/>
    <m/>
  </r>
  <r>
    <s v="102 - US"/>
    <d v="2022-10-14T00:00:00"/>
    <s v="OCTOBER"/>
    <n v="2022"/>
    <x v="0"/>
    <s v="Deposited"/>
    <s v="PMT-S151-156027"/>
    <s v=""/>
    <s v="USD"/>
    <n v="-2032.49"/>
    <n v="-2032.49"/>
    <n v="2032.49"/>
    <n v="-2032.49"/>
    <s v="Feeding Westchester"/>
    <s v=""/>
    <s v="CHECK"/>
    <m/>
    <m/>
    <m/>
    <m/>
    <m/>
    <m/>
    <m/>
    <m/>
    <m/>
    <m/>
    <m/>
    <m/>
    <m/>
    <m/>
    <m/>
    <m/>
    <m/>
    <m/>
    <m/>
    <m/>
    <m/>
    <m/>
    <m/>
    <m/>
    <m/>
    <m/>
    <m/>
    <m/>
    <m/>
    <m/>
    <m/>
    <m/>
    <m/>
    <m/>
    <m/>
    <m/>
  </r>
  <r>
    <s v="102 - US"/>
    <d v="2023-09-25T00:00:00"/>
    <s v="SEPTEMBER"/>
    <n v="2023"/>
    <x v="0"/>
    <s v="Deposited"/>
    <s v="PMT-S151-175314"/>
    <s v="IN-S151-559407"/>
    <s v="USD"/>
    <n v="-4000"/>
    <n v="-4000"/>
    <n v="2000"/>
    <n v="-2000"/>
    <s v="BioSTL"/>
    <s v=""/>
    <s v="ACH CONCENTRATION CREDIT ACH CASH CONCENTRATION BIOGENFU1 3638-PAYMENTS BIOGENFU1 PAYMENTS Meltwater News"/>
    <m/>
    <m/>
    <m/>
    <m/>
    <m/>
    <m/>
    <m/>
    <m/>
    <m/>
    <m/>
    <m/>
    <m/>
    <m/>
    <m/>
    <m/>
    <m/>
    <m/>
    <m/>
    <m/>
    <m/>
    <m/>
    <m/>
    <m/>
    <m/>
    <m/>
    <m/>
    <m/>
    <m/>
    <m/>
    <m/>
    <m/>
    <m/>
    <m/>
    <m/>
    <m/>
    <m/>
  </r>
  <r>
    <s v="102 - US"/>
    <d v="2024-10-28T00:00:00"/>
    <s v="OCTOBER"/>
    <n v="2024"/>
    <x v="0"/>
    <s v="Deposited"/>
    <s v="PMT-S151-195665"/>
    <s v="IN-S151-574748"/>
    <s v="USD"/>
    <n v="-22000"/>
    <n v="-22000"/>
    <n v="2000"/>
    <n v="-2000"/>
    <s v="Cover Genius Trading Pty Ltd"/>
    <s v=""/>
    <s v="COVER GENIUS HOLDINGS PTY LTD COUPA PAY 821-2622 COVER GENIUS HOL DINGS PTY LTD TMATE /ROC/12397127124613 FX USD 22000.00 AT 0.6756200 200226969/TMS/2024-10-27T21:33:18 GMT/MID/0.661282"/>
    <m/>
    <m/>
    <m/>
    <m/>
    <m/>
    <m/>
    <m/>
    <m/>
    <m/>
    <m/>
    <m/>
    <m/>
    <m/>
    <m/>
    <m/>
    <m/>
    <m/>
    <m/>
    <m/>
    <m/>
    <m/>
    <m/>
    <m/>
    <m/>
    <m/>
    <m/>
    <m/>
    <m/>
    <m/>
    <m/>
    <m/>
    <m/>
    <m/>
    <m/>
    <m/>
    <m/>
  </r>
  <r>
    <s v="102 - US"/>
    <d v="2022-11-07T00:00:00"/>
    <s v="NOVEMBER"/>
    <n v="2022"/>
    <x v="0"/>
    <s v="Deposited"/>
    <s v="PMT-S151-157478"/>
    <s v=""/>
    <s v="USD"/>
    <n v="-1800"/>
    <n v="-1800"/>
    <n v="1800"/>
    <n v="-1800"/>
    <s v="Concord University"/>
    <s v="Jose Castellanos-103"/>
    <s v="IN-S151-544931 got credited CM-S151-13155"/>
    <m/>
    <m/>
    <m/>
    <m/>
    <m/>
    <m/>
    <m/>
    <m/>
    <m/>
    <m/>
    <m/>
    <m/>
    <m/>
    <m/>
    <m/>
    <m/>
    <m/>
    <m/>
    <m/>
    <m/>
    <m/>
    <m/>
    <m/>
    <m/>
    <m/>
    <m/>
    <m/>
    <m/>
    <m/>
    <m/>
    <m/>
    <m/>
    <m/>
    <m/>
    <m/>
    <m/>
  </r>
  <r>
    <s v="102 - US"/>
    <d v="2025-12-12T00:00:00"/>
    <s v="DECEMBER"/>
    <n v="2025"/>
    <x v="0"/>
    <s v="Deposited"/>
    <s v="PMT-S151-215552"/>
    <s v=""/>
    <s v="USD"/>
    <n v="-1750"/>
    <n v="-1750"/>
    <n v="1750"/>
    <n v="-250567.82"/>
    <s v="DUMMY CUSTOMER_CASHAPPS 102 - US"/>
    <s v=""/>
    <s v="ACH CONCENTRATION CREDIT ACH CASH CONCENTRATION ELEVATED CULTIVA-E CULT ELEVATED  E CULT     E CULTIVATION"/>
    <m/>
    <m/>
    <m/>
    <m/>
    <m/>
    <m/>
    <m/>
    <m/>
    <m/>
    <m/>
    <m/>
    <m/>
    <m/>
    <m/>
    <m/>
    <m/>
    <m/>
    <m/>
    <m/>
    <m/>
    <m/>
    <m/>
    <m/>
    <m/>
    <m/>
    <m/>
    <m/>
    <m/>
    <m/>
    <m/>
    <m/>
    <m/>
    <m/>
    <m/>
    <m/>
    <m/>
  </r>
  <r>
    <s v="102 - US"/>
    <d v="2022-10-28T00:00:00"/>
    <s v="OCTOBER"/>
    <n v="2022"/>
    <x v="0"/>
    <s v="Deposited"/>
    <s v="PMT-S151-157014"/>
    <s v=""/>
    <s v="USD"/>
    <n v="-1500"/>
    <n v="-1500"/>
    <n v="1500"/>
    <n v="-250567.82"/>
    <s v="DUMMY CUSTOMER_CASHAPPS 102 - US"/>
    <s v=""/>
    <s v="ACH CONCENTRATION CREDIT ACH CORP TRADE PAYMENT FROM LAWRENCE LIV NAT LAWRENCE  PAYABLES LAWRENCE LIVERM"/>
    <m/>
    <m/>
    <m/>
    <m/>
    <m/>
    <m/>
    <m/>
    <m/>
    <m/>
    <m/>
    <m/>
    <m/>
    <m/>
    <m/>
    <m/>
    <m/>
    <m/>
    <m/>
    <m/>
    <m/>
    <m/>
    <m/>
    <m/>
    <m/>
    <m/>
    <m/>
    <m/>
    <m/>
    <m/>
    <m/>
    <m/>
    <m/>
    <m/>
    <m/>
    <m/>
    <m/>
  </r>
  <r>
    <s v="102 - US"/>
    <d v="2025-10-30T00:00:00"/>
    <s v="OCTOBER"/>
    <n v="2025"/>
    <x v="0"/>
    <s v="Deposited"/>
    <s v="PMT-S151-213059"/>
    <s v=""/>
    <s v="USD"/>
    <n v="-1500"/>
    <n v="-1500"/>
    <n v="1500"/>
    <n v="-1500"/>
    <s v="Echelon Insights"/>
    <s v="Yangzom Vitali-116"/>
    <s v="FOREIGN REMITTANCE CREDIT 33RECD CHIP PNC BANK*ORG:ECHELON INSIGHTS LLC,ALEX ANDRIA VA 22314 3029 US,STE 250*OGB:PNC BANK,N.A.,US/CAMP HILL,17001-0297,PA 500 FIRST AVEN*BNF:MELTWATER NEWS US INC,REDWOOD CITY         CA/US,275 SHO* BBI:/INT/202510884077*STCHIPSEQ:00158840*TIME:0111*YOUR REF:IN-S151-587978*OU R REF:303170378"/>
    <m/>
    <m/>
    <m/>
    <m/>
    <m/>
    <m/>
    <m/>
    <m/>
    <m/>
    <m/>
    <m/>
    <m/>
    <m/>
    <m/>
    <m/>
    <m/>
    <m/>
    <m/>
    <m/>
    <m/>
    <m/>
    <m/>
    <m/>
    <m/>
    <m/>
    <m/>
    <m/>
    <m/>
    <m/>
    <m/>
    <m/>
    <m/>
    <m/>
    <m/>
    <m/>
    <m/>
  </r>
  <r>
    <s v="102 - US"/>
    <d v="2026-01-16T00:00:00"/>
    <s v="JANUARY"/>
    <n v="2026"/>
    <x v="0"/>
    <s v="Deposited"/>
    <s v="PMT-S151-217537"/>
    <s v=""/>
    <s v="USD"/>
    <n v="-1498.72"/>
    <n v="-1498.72"/>
    <n v="1498.72"/>
    <n v="-1498.72"/>
    <s v="Elevate Textiles"/>
    <s v=""/>
    <s v="ACH CONCENTRATION CREDIT ACH CORP TRADE PAYMENT FROM ELEVATE TEXTILES ELEVATE T CORP PMT 488174"/>
    <m/>
    <m/>
    <m/>
    <m/>
    <m/>
    <m/>
    <m/>
    <m/>
    <m/>
    <m/>
    <m/>
    <m/>
    <m/>
    <m/>
    <m/>
    <m/>
    <m/>
    <m/>
    <m/>
    <m/>
    <m/>
    <m/>
    <m/>
    <m/>
    <m/>
    <m/>
    <m/>
    <m/>
    <m/>
    <m/>
    <m/>
    <m/>
    <m/>
    <m/>
    <m/>
    <m/>
  </r>
  <r>
    <s v="102 - US"/>
    <d v="2026-05-01T00:00:00"/>
    <s v="MAY"/>
    <n v="2026"/>
    <x v="0"/>
    <s v="Deposited"/>
    <s v="PMT-S151-223677"/>
    <s v=""/>
    <s v="USD"/>
    <n v="-1450"/>
    <n v="-1450"/>
    <n v="1450"/>
    <n v="-1450"/>
    <s v="Celigo CAM USD"/>
    <s v=""/>
    <s v=""/>
    <m/>
    <m/>
    <m/>
    <m/>
    <m/>
    <m/>
    <m/>
    <m/>
    <m/>
    <m/>
    <m/>
    <m/>
    <m/>
    <m/>
    <m/>
    <m/>
    <m/>
    <m/>
    <m/>
    <m/>
    <m/>
    <m/>
    <m/>
    <m/>
    <m/>
    <m/>
    <m/>
    <m/>
    <m/>
    <m/>
    <m/>
    <m/>
    <m/>
    <m/>
    <m/>
    <m/>
  </r>
  <r>
    <s v="102 - US"/>
    <d v="2024-08-29T00:00:00"/>
    <s v="AUGUST"/>
    <n v="2024"/>
    <x v="0"/>
    <s v="Deposited"/>
    <s v="PMT-S151-192922"/>
    <s v=""/>
    <s v="USD"/>
    <n v="-1379.91"/>
    <n v="-1379.91"/>
    <n v="1379.91"/>
    <n v="-250567.82"/>
    <s v="DUMMY CUSTOMER_CASHAPPS 102 - US"/>
    <s v=""/>
    <s v="ACH CONCENTRATION CREDIT ACH CASH CONCENTRATION DANIEL J EDELMAN-PAYMENTS Daniel J  PAYMENTS                                                      01VEND031547 USD"/>
    <m/>
    <m/>
    <m/>
    <m/>
    <m/>
    <m/>
    <m/>
    <m/>
    <m/>
    <m/>
    <m/>
    <m/>
    <m/>
    <m/>
    <m/>
    <m/>
    <m/>
    <m/>
    <m/>
    <m/>
    <m/>
    <m/>
    <m/>
    <m/>
    <m/>
    <m/>
    <m/>
    <m/>
    <m/>
    <m/>
    <m/>
    <m/>
    <m/>
    <m/>
    <m/>
    <m/>
  </r>
  <r>
    <s v="102 - US"/>
    <d v="2026-02-27T00:00:00"/>
    <s v="FEBRUARY"/>
    <n v="2026"/>
    <x v="0"/>
    <s v="Deposited"/>
    <s v="PMT-S151-220382"/>
    <s v="IN-S151-592980"/>
    <s v="USD"/>
    <n v="-46120.26"/>
    <n v="-46120.26"/>
    <n v="1320.26"/>
    <n v="-1320.26"/>
    <s v="Adobe Inc"/>
    <s v=""/>
    <s v="ACH CONCENTRATION CREDIT ACH CASH CONCENTRATION ADOBE INC.-PAYMENTS Adobe Inc PAYMENTS 5101172354"/>
    <m/>
    <m/>
    <m/>
    <m/>
    <m/>
    <m/>
    <m/>
    <m/>
    <m/>
    <m/>
    <m/>
    <m/>
    <m/>
    <m/>
    <m/>
    <m/>
    <m/>
    <m/>
    <m/>
    <m/>
    <m/>
    <m/>
    <m/>
    <m/>
    <m/>
    <m/>
    <m/>
    <m/>
    <m/>
    <m/>
    <m/>
    <m/>
    <m/>
    <m/>
    <m/>
    <m/>
  </r>
  <r>
    <s v="102 - US"/>
    <d v="2025-10-20T00:00:00"/>
    <s v="OCTOBER"/>
    <n v="2025"/>
    <x v="0"/>
    <s v="Deposited"/>
    <s v="PMT-S151-212382"/>
    <s v=""/>
    <s v="USD"/>
    <n v="-1250"/>
    <n v="-1250"/>
    <n v="1250"/>
    <n v="-1250"/>
    <s v="National Congress of American Indians"/>
    <s v=""/>
    <s v=""/>
    <m/>
    <m/>
    <m/>
    <m/>
    <m/>
    <m/>
    <m/>
    <m/>
    <m/>
    <m/>
    <m/>
    <m/>
    <m/>
    <m/>
    <m/>
    <m/>
    <m/>
    <m/>
    <m/>
    <m/>
    <m/>
    <m/>
    <m/>
    <m/>
    <m/>
    <m/>
    <m/>
    <m/>
    <m/>
    <m/>
    <m/>
    <m/>
    <m/>
    <m/>
    <m/>
    <m/>
  </r>
  <r>
    <s v="102 - US"/>
    <d v="2022-11-28T00:00:00"/>
    <s v="NOVEMBER"/>
    <n v="2022"/>
    <x v="0"/>
    <s v="Deposited"/>
    <s v="PMT-S151-158621"/>
    <s v=""/>
    <s v="USD"/>
    <n v="-1200"/>
    <n v="-1200"/>
    <n v="1200"/>
    <n v="-1200"/>
    <s v="Registrar Corp"/>
    <s v=""/>
    <s v="CHECK"/>
    <m/>
    <m/>
    <m/>
    <m/>
    <m/>
    <m/>
    <m/>
    <m/>
    <m/>
    <m/>
    <m/>
    <m/>
    <m/>
    <m/>
    <m/>
    <m/>
    <m/>
    <m/>
    <m/>
    <m/>
    <m/>
    <m/>
    <m/>
    <m/>
    <m/>
    <m/>
    <m/>
    <m/>
    <m/>
    <m/>
    <m/>
    <m/>
    <m/>
    <m/>
    <m/>
    <m/>
  </r>
  <r>
    <s v="102 - US"/>
    <d v="2023-04-05T00:00:00"/>
    <s v="APRIL"/>
    <n v="2023"/>
    <x v="0"/>
    <s v="Deposited"/>
    <s v="PMT-S151-166131"/>
    <s v="IN-S151-550789"/>
    <s v="USD"/>
    <n v="-4549"/>
    <n v="-4549"/>
    <n v="1000"/>
    <n v="-1000"/>
    <s v="Empower Healthcare Solutions, LLC"/>
    <s v=""/>
    <s v="ACH CONCENTRATION CREDIT ACH CASH CONCENTRATION EMPOWER HEALTH-VENDORPMT EMPOWER H VENDORPMT                                              VEN-00076"/>
    <m/>
    <m/>
    <m/>
    <m/>
    <m/>
    <m/>
    <m/>
    <m/>
    <m/>
    <m/>
    <m/>
    <m/>
    <m/>
    <m/>
    <m/>
    <m/>
    <m/>
    <m/>
    <m/>
    <m/>
    <m/>
    <m/>
    <m/>
    <m/>
    <m/>
    <m/>
    <m/>
    <m/>
    <m/>
    <m/>
    <m/>
    <m/>
    <m/>
    <m/>
    <m/>
    <m/>
  </r>
  <r>
    <s v="102 - US"/>
    <d v="2023-02-21T00:00:00"/>
    <s v="FEBRUARY"/>
    <n v="2023"/>
    <x v="0"/>
    <s v="Deposited"/>
    <s v="PMT-S151-163655"/>
    <s v=""/>
    <s v="USD"/>
    <n v="-970.92"/>
    <n v="-970.92"/>
    <n v="970.92"/>
    <n v="2004.08"/>
    <s v="Spotted MP (Marketing + Public Relations)"/>
    <s v=""/>
    <s v="CHECK"/>
    <m/>
    <m/>
    <m/>
    <m/>
    <m/>
    <m/>
    <m/>
    <m/>
    <m/>
    <m/>
    <m/>
    <m/>
    <m/>
    <m/>
    <m/>
    <m/>
    <m/>
    <m/>
    <m/>
    <m/>
    <m/>
    <m/>
    <m/>
    <m/>
    <m/>
    <m/>
    <m/>
    <m/>
    <m/>
    <m/>
    <m/>
    <m/>
    <m/>
    <m/>
    <m/>
    <m/>
  </r>
  <r>
    <s v="102 - US"/>
    <d v="2023-02-13T00:00:00"/>
    <s v="FEBRUARY"/>
    <n v="2023"/>
    <x v="0"/>
    <s v="Deposited"/>
    <s v="PMT-S151-163322"/>
    <s v=""/>
    <s v="USD"/>
    <n v="-958.69"/>
    <n v="-958.69"/>
    <n v="958.69"/>
    <n v="-958.69"/>
    <s v="Endeavor Real Estate Group"/>
    <s v=""/>
    <s v="CHECK"/>
    <m/>
    <m/>
    <m/>
    <m/>
    <m/>
    <m/>
    <m/>
    <m/>
    <m/>
    <m/>
    <m/>
    <m/>
    <m/>
    <m/>
    <m/>
    <m/>
    <m/>
    <m/>
    <m/>
    <m/>
    <m/>
    <m/>
    <m/>
    <m/>
    <m/>
    <m/>
    <m/>
    <m/>
    <m/>
    <m/>
    <m/>
    <m/>
    <m/>
    <m/>
    <m/>
    <m/>
  </r>
  <r>
    <s v="102 - US"/>
    <d v="2023-03-03T00:00:00"/>
    <s v="MARCH"/>
    <n v="2023"/>
    <x v="0"/>
    <s v="Deposited"/>
    <s v="PMT-S151-164379"/>
    <s v="IN-S151-550647"/>
    <s v="USD"/>
    <n v="-11900"/>
    <n v="-11900"/>
    <n v="900"/>
    <n v="11475"/>
    <s v="The Bridgespan Group"/>
    <s v=""/>
    <s v="INCOMING MONEY TRANSFER 53RECD FED BANK OF AMERICA N.A.*ORG:THE BRIDGESPA N GROUP INC,02116 US MA,BOSTON,535 BOYLSTON*OGB:BANK OF AMERICA N.A.,NEW YORK 100 WEST 33RD STREET*BNF:MELTWATER NEWS US INC,REDWOOD CITY         CA/US,ST E 165*OBI:THE BRIDGESPAN GROUP INVOICE IN -S151-550647*STFEDSEQ:B1Q8981R00313 3*TIME:1508*YOUR REF:2333E05202UL2A81*OUR REF 062610842"/>
    <m/>
    <m/>
    <m/>
    <m/>
    <m/>
    <m/>
    <m/>
    <m/>
    <m/>
    <m/>
    <m/>
    <m/>
    <m/>
    <m/>
    <m/>
    <m/>
    <m/>
    <m/>
    <m/>
    <m/>
    <m/>
    <m/>
    <m/>
    <m/>
    <m/>
    <m/>
    <m/>
    <m/>
    <m/>
    <m/>
    <m/>
    <m/>
    <m/>
    <m/>
    <m/>
    <m/>
  </r>
  <r>
    <s v="102 - US"/>
    <d v="2025-07-10T00:00:00"/>
    <s v="JULY"/>
    <n v="2025"/>
    <x v="0"/>
    <s v="Deposited"/>
    <s v="PMT-S151-207582"/>
    <s v=""/>
    <s v="USD"/>
    <n v="-881.54"/>
    <n v="-881.54"/>
    <n v="881.54"/>
    <n v="-2065"/>
    <s v="Third Round Analytics Capital, LLC"/>
    <s v=""/>
    <s v="INCOMING MONEY TRANSFER 53RECD FED COLUMN NATIONAL ASSOCIATION*ORG:TRAC UNICO RN FUND II,SONOMA,CA,US,557 THIRD STREET EA*BNF:MELTWATER NEWS US INC,REDW OOD CITY         CA/US,275 SHO*OBI:FFC MELTWATER NEWS US INC DBA OWLER 183332 760005 UNICORN FUND II*STFEDSEQ:B1Q8981R003826*TIME:1701*YOUR REF:NONREF*OUR REF:191469883"/>
    <m/>
    <m/>
    <m/>
    <m/>
    <m/>
    <m/>
    <m/>
    <m/>
    <m/>
    <m/>
    <m/>
    <m/>
    <m/>
    <m/>
    <m/>
    <m/>
    <m/>
    <m/>
    <m/>
    <m/>
    <m/>
    <m/>
    <m/>
    <m/>
    <m/>
    <m/>
    <m/>
    <m/>
    <m/>
    <m/>
    <m/>
    <m/>
    <m/>
    <m/>
    <m/>
    <m/>
  </r>
  <r>
    <s v="102 - US"/>
    <d v="2023-02-17T00:00:00"/>
    <s v="FEBRUARY"/>
    <n v="2023"/>
    <x v="0"/>
    <s v="Deposited"/>
    <s v="PMT-S151-163637"/>
    <s v=""/>
    <s v="USD"/>
    <n v="-814.24"/>
    <n v="-814.24"/>
    <n v="814.24"/>
    <n v="-2166.46"/>
    <s v="International Rescue Committee"/>
    <s v="Jason Welch"/>
    <s v="ACH CONCENTRATION CREDIT ACH CASH CONCENTRATION INTLRESC-INTLRESC INTLRESC  INTLRESC                             0 0031625"/>
    <m/>
    <m/>
    <m/>
    <m/>
    <m/>
    <m/>
    <m/>
    <m/>
    <m/>
    <m/>
    <m/>
    <m/>
    <m/>
    <m/>
    <m/>
    <m/>
    <m/>
    <m/>
    <m/>
    <m/>
    <m/>
    <m/>
    <m/>
    <m/>
    <m/>
    <m/>
    <m/>
    <m/>
    <m/>
    <m/>
    <m/>
    <m/>
    <m/>
    <m/>
    <m/>
    <m/>
  </r>
  <r>
    <s v="102 - US"/>
    <d v="2026-02-12T00:00:00"/>
    <s v="FEBRUARY"/>
    <n v="2026"/>
    <x v="0"/>
    <s v="Deposited"/>
    <s v="PMT-S151-219378"/>
    <s v="IN-S151-592338"/>
    <s v="USD"/>
    <n v="-18311.53"/>
    <n v="-18311.53"/>
    <n v="762.97"/>
    <n v="-762.97"/>
    <s v="Fishman"/>
    <s v="Jordan Irvine"/>
    <s v=""/>
    <m/>
    <m/>
    <m/>
    <m/>
    <m/>
    <m/>
    <m/>
    <m/>
    <m/>
    <m/>
    <m/>
    <m/>
    <m/>
    <m/>
    <m/>
    <m/>
    <m/>
    <m/>
    <m/>
    <m/>
    <m/>
    <m/>
    <m/>
    <m/>
    <m/>
    <m/>
    <m/>
    <m/>
    <m/>
    <m/>
    <m/>
    <m/>
    <m/>
    <m/>
    <m/>
    <m/>
  </r>
  <r>
    <s v="102 - US"/>
    <d v="2023-05-19T00:00:00"/>
    <s v="MAY"/>
    <n v="2023"/>
    <x v="0"/>
    <s v="Deposited"/>
    <s v="PMT-S151-168472"/>
    <s v="IN-S151-553966"/>
    <s v="USD"/>
    <n v="-38800"/>
    <n v="-38800"/>
    <n v="725"/>
    <n v="-10420"/>
    <s v="Amarin Pharma, Inc."/>
    <s v="Sarah Shoemaker-MW"/>
    <s v="FOREIGN REMITTANCE CREDIT 33RECD CHIP JPMORGAN CHASE BANK*ORG:AMARIN SWITZERLAN D GMBH,CH/ZUG 6300,BAARERSTRASSE 75*OGB:JPMORGAN CHASE BANK,N.A.,ZUERICH,DRE IKOENIGSTRASSE 21*BNF:MELTWATER NEWS US INC,SAN FRANCISCO        CA/US,225 BU S*OBI:/ROC/649*STCHIPSEQ:0150770*TIME:0208*YOUR REF:SWF OF 23/05/19*OUR REF:1 39399668"/>
    <m/>
    <m/>
    <m/>
    <m/>
    <m/>
    <m/>
    <m/>
    <m/>
    <m/>
    <m/>
    <m/>
    <m/>
    <m/>
    <m/>
    <m/>
    <m/>
    <m/>
    <m/>
    <m/>
    <m/>
    <m/>
    <m/>
    <m/>
    <m/>
    <m/>
    <m/>
    <m/>
    <m/>
    <m/>
    <m/>
    <m/>
    <m/>
    <m/>
    <m/>
    <m/>
    <m/>
  </r>
  <r>
    <s v="102 - US"/>
    <d v="2022-08-19T00:00:00"/>
    <s v="AUGUST"/>
    <n v="2022"/>
    <x v="0"/>
    <s v="Deposited"/>
    <s v="PMT-S151-152778"/>
    <s v=""/>
    <s v="USD"/>
    <n v="-703"/>
    <n v="-703"/>
    <n v="703"/>
    <n v="-703"/>
    <s v="Rappi Latin America"/>
    <s v="Yangzom Vitali-116"/>
    <s v="FOREIGN REMITTANCE CREDIT 33RECD CHIP CITIBANK NA*ORG:RAPPI SAS - USD,CALLE 93 NUMERO 19-58  BOGOTA*OGB:CITIBANK NA,NEW YORK*BNF:MELTWATER NEWS US INC,SAN F RANCISCO        CA/US,STE 100*STCHIPSEQ:0442872*TIME:1420*YOUR REF:NONREF*OUR REF:231572351"/>
    <m/>
    <m/>
    <m/>
    <m/>
    <m/>
    <m/>
    <m/>
    <m/>
    <m/>
    <m/>
    <m/>
    <m/>
    <m/>
    <m/>
    <m/>
    <m/>
    <m/>
    <m/>
    <m/>
    <m/>
    <m/>
    <m/>
    <m/>
    <m/>
    <m/>
    <m/>
    <m/>
    <m/>
    <m/>
    <m/>
    <m/>
    <m/>
    <m/>
    <m/>
    <m/>
    <m/>
  </r>
  <r>
    <s v="102 - US"/>
    <d v="2022-12-27T00:00:00"/>
    <s v="DECEMBER"/>
    <n v="2022"/>
    <x v="0"/>
    <s v="Deposited"/>
    <s v="PMT-S151-160523"/>
    <s v=""/>
    <s v="USD"/>
    <n v="-700"/>
    <n v="-700"/>
    <n v="700"/>
    <n v="-250567.82"/>
    <s v="DUMMY CUSTOMER_CASHAPPS 102 - US"/>
    <s v=""/>
    <s v="ACH CONCENTRATION CREDIT ACH CASH CONCENTRATION ASSOCIATION OF C-RECEIVABLE Associati                            R eceivable                                                       016WJTGPY2HQS J0"/>
    <m/>
    <m/>
    <m/>
    <m/>
    <m/>
    <m/>
    <m/>
    <m/>
    <m/>
    <m/>
    <m/>
    <m/>
    <m/>
    <m/>
    <m/>
    <m/>
    <m/>
    <m/>
    <m/>
    <m/>
    <m/>
    <m/>
    <m/>
    <m/>
    <m/>
    <m/>
    <m/>
    <m/>
    <m/>
    <m/>
    <m/>
    <m/>
    <m/>
    <m/>
    <m/>
    <m/>
  </r>
  <r>
    <s v="102 - US"/>
    <d v="2025-07-10T00:00:00"/>
    <s v="JULY"/>
    <n v="2025"/>
    <x v="0"/>
    <s v="Deposited"/>
    <s v="PMT-S151-207581"/>
    <s v=""/>
    <s v="USD"/>
    <n v="-667.21"/>
    <n v="-667.21"/>
    <n v="667.21"/>
    <n v="-2065"/>
    <s v="Third Round Analytics Capital, LLC"/>
    <s v=""/>
    <s v="INCOMING MONEY TRANSFER 53RECD FED COLUMN NATIONAL ASSOCIATION*ORG:TRAC UNICO RN FUND 1,LP,SONOMA,CA,US,557 THIRD STREET*BNF:MELTWATER NEWS US INC,REDW OOD CITY         CA/US,275 SHO*OBI:FFC MELTWATER NEWS US INC DBA OWLER 183332 760005 UNICORN FUND*STFEDSEQ:B1Q8982R003810*TIME:1701*YOUR REF:NONREF*OUR REF :191469884"/>
    <m/>
    <m/>
    <m/>
    <m/>
    <m/>
    <m/>
    <m/>
    <m/>
    <m/>
    <m/>
    <m/>
    <m/>
    <m/>
    <m/>
    <m/>
    <m/>
    <m/>
    <m/>
    <m/>
    <m/>
    <m/>
    <m/>
    <m/>
    <m/>
    <m/>
    <m/>
    <m/>
    <m/>
    <m/>
    <m/>
    <m/>
    <m/>
    <m/>
    <m/>
    <m/>
    <m/>
  </r>
  <r>
    <s v="102 - US"/>
    <d v="2023-03-08T00:00:00"/>
    <s v="MARCH"/>
    <n v="2023"/>
    <x v="0"/>
    <s v="Deposited"/>
    <s v="PMT-S151-164601"/>
    <s v="IN-S151-547382"/>
    <s v="USD"/>
    <n v="-4860"/>
    <n v="-4860"/>
    <n v="660"/>
    <n v="-660"/>
    <s v="VITRO VIDRIERA MONTERREY"/>
    <s v=""/>
    <s v="FOREIGN REMITTANCE CREDIT 33RECD CHIP BANK OF AMERICA N.A.*ORG:VITRO VIDRIER A MONTE RREY SA D,MEX,64410 MONTERREY,KERAM*OGB:BANCO MERCANTIL DEL NORTE,S. A.,IN,MONTERREY,COL. PRIMA*BNF:MELTWATER NEWS US INC,REDWOOD CITY         CA /US,STE 165*OBI:XXXXXXXXXXXXXXXXXXXXXXXXXXXXXXXXXXX XXXXXXXXXXXXXXXXXXXXXXXXX XXXXXXXXXX XXXXXXXXXXXXXXXXXXXXXXXXX+*STCHIPSEQ:0349018*TIME:1016*YOUR REF:42 64968275301103*OUR REF:067539921"/>
    <m/>
    <m/>
    <m/>
    <m/>
    <m/>
    <m/>
    <m/>
    <m/>
    <m/>
    <m/>
    <m/>
    <m/>
    <m/>
    <m/>
    <m/>
    <m/>
    <m/>
    <m/>
    <m/>
    <m/>
    <m/>
    <m/>
    <m/>
    <m/>
    <m/>
    <m/>
    <m/>
    <m/>
    <m/>
    <m/>
    <m/>
    <m/>
    <m/>
    <m/>
    <m/>
    <m/>
  </r>
  <r>
    <s v="102 - US"/>
    <d v="2024-01-29T00:00:00"/>
    <s v="JANUARY"/>
    <n v="2024"/>
    <x v="0"/>
    <s v="Deposited"/>
    <s v="PMT-S151-182181"/>
    <s v="IN-S151-564725"/>
    <s v="USD"/>
    <n v="-10093.75"/>
    <n v="-10093.75"/>
    <n v="593.75"/>
    <n v="-593.75"/>
    <s v="University of Massachusetts Lowell"/>
    <s v=""/>
    <s v="CHECK"/>
    <m/>
    <m/>
    <m/>
    <m/>
    <m/>
    <m/>
    <m/>
    <m/>
    <m/>
    <m/>
    <m/>
    <m/>
    <m/>
    <m/>
    <m/>
    <m/>
    <m/>
    <m/>
    <m/>
    <m/>
    <m/>
    <m/>
    <m/>
    <m/>
    <m/>
    <m/>
    <m/>
    <m/>
    <m/>
    <m/>
    <m/>
    <m/>
    <m/>
    <m/>
    <m/>
    <m/>
  </r>
  <r>
    <s v="102 - US"/>
    <d v="2025-07-10T00:00:00"/>
    <s v="JULY"/>
    <n v="2025"/>
    <x v="0"/>
    <s v="Deposited"/>
    <s v="PMT-S151-207580"/>
    <s v=""/>
    <s v="USD"/>
    <n v="-516.25"/>
    <n v="-516.25"/>
    <n v="516.25"/>
    <n v="-2065"/>
    <s v="Third Round Analytics Capital, LLC"/>
    <s v=""/>
    <s v="INCOMING MONEY TRANSFER 53RECD FED COLUMN NATIONAL ASSOCIATION*ORG:THIRD ROUN D ANALYTICS CAPITAL,LLC,SONOMA,CA,US,557 3*BNF:MELTWATER NEWS US INC,REDW OOD CITY         CA/US,275 SHO*OBI:FFC MELTWATER NEWS US INC DBA OWLER 183332 760005 TRAC LLC SWEEP ACCOUN T*STFEDSEQ:B1Q8981R003827*TIME:1701*YOUR REF:NON REF*OUR REF:191469885"/>
    <m/>
    <m/>
    <m/>
    <m/>
    <m/>
    <m/>
    <m/>
    <m/>
    <m/>
    <m/>
    <m/>
    <m/>
    <m/>
    <m/>
    <m/>
    <m/>
    <m/>
    <m/>
    <m/>
    <m/>
    <m/>
    <m/>
    <m/>
    <m/>
    <m/>
    <m/>
    <m/>
    <m/>
    <m/>
    <m/>
    <m/>
    <m/>
    <m/>
    <m/>
    <m/>
    <m/>
  </r>
  <r>
    <s v="102 - US"/>
    <d v="2026-01-29T00:00:00"/>
    <s v="JANUARY"/>
    <n v="2026"/>
    <x v="0"/>
    <s v="Deposited"/>
    <s v="PMT-S151-218355"/>
    <s v="IN-S151-588123"/>
    <s v="USD"/>
    <n v="-37552"/>
    <n v="-37552"/>
    <n v="508"/>
    <n v="-508"/>
    <s v="Heartland Institute"/>
    <s v=""/>
    <s v="ACH CONCENTRATION CREDIT ACH CASH CONCENTRATION HEARTLAND INSTIT-PAYMENTS HEARTLAND PAYMENTS                                               MELTWATER"/>
    <m/>
    <m/>
    <m/>
    <m/>
    <m/>
    <m/>
    <m/>
    <m/>
    <m/>
    <m/>
    <m/>
    <m/>
    <m/>
    <m/>
    <m/>
    <m/>
    <m/>
    <m/>
    <m/>
    <m/>
    <m/>
    <m/>
    <m/>
    <m/>
    <m/>
    <m/>
    <m/>
    <m/>
    <m/>
    <m/>
    <m/>
    <m/>
    <m/>
    <m/>
    <m/>
    <m/>
  </r>
  <r>
    <s v="102 - US"/>
    <d v="2024-11-19T00:00:00"/>
    <s v="NOVEMBER"/>
    <n v="2024"/>
    <x v="0"/>
    <s v="Deposited"/>
    <s v="PMT-S151-196620"/>
    <s v=""/>
    <s v="USD"/>
    <n v="-505"/>
    <n v="-505"/>
    <n v="505"/>
    <n v="-505"/>
    <s v="Nez Perce Tribe"/>
    <s v=""/>
    <s v="CHECK"/>
    <m/>
    <m/>
    <m/>
    <m/>
    <m/>
    <m/>
    <m/>
    <m/>
    <m/>
    <m/>
    <m/>
    <m/>
    <m/>
    <m/>
    <m/>
    <m/>
    <m/>
    <m/>
    <m/>
    <m/>
    <m/>
    <m/>
    <m/>
    <m/>
    <m/>
    <m/>
    <m/>
    <m/>
    <m/>
    <m/>
    <m/>
    <m/>
    <m/>
    <m/>
    <m/>
    <m/>
  </r>
  <r>
    <s v="102 - US"/>
    <d v="2022-08-22T00:00:00"/>
    <s v="AUGUST"/>
    <n v="2022"/>
    <x v="0"/>
    <s v="Deposited"/>
    <s v="PMT-S151-152879"/>
    <s v="IN-S151-540721"/>
    <s v="USD"/>
    <n v="-10500"/>
    <n v="-10500"/>
    <n v="500"/>
    <n v="-500"/>
    <s v="Caribbean Ideas"/>
    <s v=""/>
    <s v="FOREIGN REMITTANCE CREDIT 33RECD CHIP JPMORGAN CHASE BANK*ORG:CARIBBEAN IDEAS L IMITED,TRINIDAD AND TOBAGO,ST CLAIR POR*OGB:REPUBLIC BANK LIMITED,PORT OF SPA IN,59 INDEPENDENCE SQUA*BNF:MELTWATER NEWS US INC,SAN FRANCISCO        CA/US STE 100*OBI:INV IN-S151-540721*BBI:/BNF/YR 601 MONTGOMERY ST NO 108 SA //N FR ANCISCO CA 94105 USA BR.*STCHIPSEQ:0502316*TIME:1219*YOUR REF:SWF OF 22/08/22 *OUR REF:234559427"/>
    <m/>
    <m/>
    <m/>
    <m/>
    <m/>
    <m/>
    <m/>
    <m/>
    <m/>
    <m/>
    <m/>
    <m/>
    <m/>
    <m/>
    <m/>
    <m/>
    <m/>
    <m/>
    <m/>
    <m/>
    <m/>
    <m/>
    <m/>
    <m/>
    <m/>
    <m/>
    <m/>
    <m/>
    <m/>
    <m/>
    <m/>
    <m/>
    <m/>
    <m/>
    <m/>
    <m/>
  </r>
  <r>
    <s v="102 - US"/>
    <d v="2023-08-04T00:00:00"/>
    <s v="AUGUST"/>
    <n v="2023"/>
    <x v="0"/>
    <s v="Deposited"/>
    <s v="PMT-S151-172692"/>
    <s v=""/>
    <s v="USD"/>
    <n v="-500"/>
    <n v="-500"/>
    <n v="500"/>
    <n v="-500"/>
    <s v="Planting Hope Brands LLC"/>
    <s v=""/>
    <s v="ACH CONCENTRATION CREDIT ACH CASH CONCENTRATION PLANTING HOPE-CORP PAY PLANTING  CORP PAY                        M ELTWATER"/>
    <m/>
    <m/>
    <m/>
    <m/>
    <m/>
    <m/>
    <m/>
    <m/>
    <m/>
    <m/>
    <m/>
    <m/>
    <m/>
    <m/>
    <m/>
    <m/>
    <m/>
    <m/>
    <m/>
    <m/>
    <m/>
    <m/>
    <m/>
    <m/>
    <m/>
    <m/>
    <m/>
    <m/>
    <m/>
    <m/>
    <m/>
    <m/>
    <m/>
    <m/>
    <m/>
    <m/>
  </r>
  <r>
    <s v="102 - US"/>
    <d v="2023-02-17T00:00:00"/>
    <s v="FEBRUARY"/>
    <n v="2023"/>
    <x v="0"/>
    <s v="Deposited"/>
    <s v="PMT-S151-163634"/>
    <s v=""/>
    <s v="USD"/>
    <n v="-450.74"/>
    <n v="-450.74"/>
    <n v="450.74"/>
    <n v="-2166.46"/>
    <s v="International Rescue Committee"/>
    <s v="Jason Welch"/>
    <s v="ACH CONCENTRATION CREDIT ACH CASH CONCENTRATION INTLRESC-INTLRESC INTLRESC  INTLRESC                             0 0031619"/>
    <m/>
    <m/>
    <m/>
    <m/>
    <m/>
    <m/>
    <m/>
    <m/>
    <m/>
    <m/>
    <m/>
    <m/>
    <m/>
    <m/>
    <m/>
    <m/>
    <m/>
    <m/>
    <m/>
    <m/>
    <m/>
    <m/>
    <m/>
    <m/>
    <m/>
    <m/>
    <m/>
    <m/>
    <m/>
    <m/>
    <m/>
    <m/>
    <m/>
    <m/>
    <m/>
    <m/>
  </r>
  <r>
    <s v="102 - US"/>
    <d v="2023-02-17T00:00:00"/>
    <s v="FEBRUARY"/>
    <n v="2023"/>
    <x v="0"/>
    <s v="Deposited"/>
    <s v="PMT-S151-163635"/>
    <s v=""/>
    <s v="USD"/>
    <n v="-450.74"/>
    <n v="-450.74"/>
    <n v="450.74"/>
    <n v="-2166.46"/>
    <s v="International Rescue Committee"/>
    <s v="Jason Welch"/>
    <s v="ACH CONCENTRATION CREDIT ACH CASH CONCENTRATION INTLRESC-INTLRESC INTLRESC  INTLRESC                             0 0031621"/>
    <m/>
    <m/>
    <m/>
    <m/>
    <m/>
    <m/>
    <m/>
    <m/>
    <m/>
    <m/>
    <m/>
    <m/>
    <m/>
    <m/>
    <m/>
    <m/>
    <m/>
    <m/>
    <m/>
    <m/>
    <m/>
    <m/>
    <m/>
    <m/>
    <m/>
    <m/>
    <m/>
    <m/>
    <m/>
    <m/>
    <m/>
    <m/>
    <m/>
    <m/>
    <m/>
    <m/>
  </r>
  <r>
    <s v="102 - US"/>
    <d v="2023-02-17T00:00:00"/>
    <s v="FEBRUARY"/>
    <n v="2023"/>
    <x v="0"/>
    <s v="Deposited"/>
    <s v="PMT-S151-163636"/>
    <s v=""/>
    <s v="USD"/>
    <n v="-450.74"/>
    <n v="-450.74"/>
    <n v="450.74"/>
    <n v="-2166.46"/>
    <s v="International Rescue Committee"/>
    <s v="Jason Welch"/>
    <s v="ACH CONCENTRATION CREDIT ACH CASH CONCENTRATION INTLRESC-INTLRESC INTLRESC  INTLRESC                             0 0031620"/>
    <m/>
    <m/>
    <m/>
    <m/>
    <m/>
    <m/>
    <m/>
    <m/>
    <m/>
    <m/>
    <m/>
    <m/>
    <m/>
    <m/>
    <m/>
    <m/>
    <m/>
    <m/>
    <m/>
    <m/>
    <m/>
    <m/>
    <m/>
    <m/>
    <m/>
    <m/>
    <m/>
    <m/>
    <m/>
    <m/>
    <m/>
    <m/>
    <m/>
    <m/>
    <m/>
    <m/>
  </r>
  <r>
    <s v="102 - US"/>
    <d v="2023-09-01T00:00:00"/>
    <s v="SEPTEMBER"/>
    <n v="2023"/>
    <x v="0"/>
    <s v="Deposited"/>
    <s v="PMT-S151-174160"/>
    <s v="IN-S151-555332"/>
    <s v="USD"/>
    <n v="-55374.16"/>
    <n v="-55374.16"/>
    <n v="424.16"/>
    <n v="-424.16"/>
    <s v="UT Institution: University of Texas Arlington"/>
    <s v=""/>
    <s v="ACH CONCENTRATION CREDIT ACH CORP TRADE PAYMENT FROM UT ARLINGTON UT ARLING PAYMENTS AP0001610738"/>
    <m/>
    <m/>
    <m/>
    <m/>
    <m/>
    <m/>
    <m/>
    <m/>
    <m/>
    <m/>
    <m/>
    <m/>
    <m/>
    <m/>
    <m/>
    <m/>
    <m/>
    <m/>
    <m/>
    <m/>
    <m/>
    <m/>
    <m/>
    <m/>
    <m/>
    <m/>
    <m/>
    <m/>
    <m/>
    <m/>
    <m/>
    <m/>
    <m/>
    <m/>
    <m/>
    <m/>
  </r>
  <r>
    <s v="102 - US"/>
    <d v="2022-09-02T00:00:00"/>
    <s v="SEPTEMBER"/>
    <n v="2022"/>
    <x v="0"/>
    <s v="Deposited"/>
    <s v="PMT-S151-153579"/>
    <s v="IN-S151-538297"/>
    <s v="USD"/>
    <n v="-17166.41"/>
    <n v="-17166.41"/>
    <n v="416.41"/>
    <n v="-416.41"/>
    <s v="Wisconsin Department of Natural Resources"/>
    <s v="Stephanie Thore"/>
    <s v="CHECK"/>
    <m/>
    <m/>
    <m/>
    <m/>
    <m/>
    <m/>
    <m/>
    <m/>
    <m/>
    <m/>
    <m/>
    <m/>
    <m/>
    <m/>
    <m/>
    <m/>
    <m/>
    <m/>
    <m/>
    <m/>
    <m/>
    <m/>
    <m/>
    <m/>
    <m/>
    <m/>
    <m/>
    <m/>
    <m/>
    <m/>
    <m/>
    <m/>
    <m/>
    <m/>
    <m/>
    <m/>
  </r>
  <r>
    <s v="102 - US"/>
    <d v="2026-01-13T00:00:00"/>
    <s v="JANUARY"/>
    <n v="2026"/>
    <x v="0"/>
    <s v="Deposited"/>
    <s v="PMT-S151-217189"/>
    <s v="IN-S151-589418"/>
    <s v="USD"/>
    <n v="-5578.13"/>
    <n v="-5578.13"/>
    <n v="412.5"/>
    <n v="9672.75"/>
    <s v="Houston Community College (Winvale)"/>
    <s v="Emily Archer"/>
    <s v="PMT-S151-210889 to be applied to invoice IN-S151-589418"/>
    <m/>
    <m/>
    <m/>
    <m/>
    <m/>
    <m/>
    <m/>
    <m/>
    <m/>
    <m/>
    <m/>
    <m/>
    <m/>
    <m/>
    <m/>
    <m/>
    <m/>
    <m/>
    <m/>
    <m/>
    <m/>
    <m/>
    <m/>
    <m/>
    <m/>
    <m/>
    <m/>
    <m/>
    <m/>
    <m/>
    <m/>
    <m/>
    <m/>
    <m/>
    <m/>
    <m/>
  </r>
  <r>
    <s v="102 - US"/>
    <d v="2025-07-18T00:00:00"/>
    <s v="JULY"/>
    <n v="2025"/>
    <x v="0"/>
    <s v="Deposited"/>
    <s v="PMT-S151-207996"/>
    <s v=""/>
    <s v="USD"/>
    <n v="-405.47"/>
    <n v="-405.47"/>
    <n v="405.47"/>
    <n v="-250567.82"/>
    <s v="DUMMY CUSTOMER_CASHAPPS 102 - US"/>
    <s v=""/>
    <s v="ACH CONCENTRATION CREDIT ACH CASH CONCENTRATION ENVIOLOL-PAYMENTS ENVIOLOL  PAYMENTS                             0 000010597"/>
    <m/>
    <m/>
    <m/>
    <m/>
    <m/>
    <m/>
    <m/>
    <m/>
    <m/>
    <m/>
    <m/>
    <m/>
    <m/>
    <m/>
    <m/>
    <m/>
    <m/>
    <m/>
    <m/>
    <m/>
    <m/>
    <m/>
    <m/>
    <m/>
    <m/>
    <m/>
    <m/>
    <m/>
    <m/>
    <m/>
    <m/>
    <m/>
    <m/>
    <m/>
    <m/>
    <m/>
  </r>
  <r>
    <s v="102 - US"/>
    <d v="2022-12-09T00:00:00"/>
    <s v="DECEMBER"/>
    <n v="2022"/>
    <x v="0"/>
    <s v="Deposited"/>
    <s v="PMT-S151-159398"/>
    <s v=""/>
    <s v="USD"/>
    <n v="-345"/>
    <n v="-345"/>
    <n v="345"/>
    <n v="-345"/>
    <s v="Spring Hill College"/>
    <s v=""/>
    <s v="ACH CONCENTRATION CREDIT ACH CASH CONCENTRATION SHC A/P-AP DEPOSIT SHC A/P   AP DEPOSIT 405252"/>
    <m/>
    <m/>
    <m/>
    <m/>
    <m/>
    <m/>
    <m/>
    <m/>
    <m/>
    <m/>
    <m/>
    <m/>
    <m/>
    <m/>
    <m/>
    <m/>
    <m/>
    <m/>
    <m/>
    <m/>
    <m/>
    <m/>
    <m/>
    <m/>
    <m/>
    <m/>
    <m/>
    <m/>
    <m/>
    <m/>
    <m/>
    <m/>
    <m/>
    <m/>
    <m/>
    <m/>
  </r>
  <r>
    <s v="102 - US"/>
    <d v="2025-07-18T00:00:00"/>
    <s v="JULY"/>
    <n v="2025"/>
    <x v="0"/>
    <s v="Deposited"/>
    <s v="PMT-S151-207995"/>
    <s v=""/>
    <s v="USD"/>
    <n v="-312.81"/>
    <n v="-312.81"/>
    <n v="312.81"/>
    <n v="-250567.82"/>
    <s v="DUMMY CUSTOMER_CASHAPPS 102 - US"/>
    <s v=""/>
    <s v="ACH CONCENTRATION CREDIT ACH CASH CONCENTRATION ENVIOLOL-PAYMENTS ENVIOLOL  PAYMENTS                             0 000027273"/>
    <m/>
    <m/>
    <m/>
    <m/>
    <m/>
    <m/>
    <m/>
    <m/>
    <m/>
    <m/>
    <m/>
    <m/>
    <m/>
    <m/>
    <m/>
    <m/>
    <m/>
    <m/>
    <m/>
    <m/>
    <m/>
    <m/>
    <m/>
    <m/>
    <m/>
    <m/>
    <m/>
    <m/>
    <m/>
    <m/>
    <m/>
    <m/>
    <m/>
    <m/>
    <m/>
    <m/>
  </r>
  <r>
    <s v="102 - US"/>
    <d v="2025-03-21T00:00:00"/>
    <s v="MARCH"/>
    <n v="2025"/>
    <x v="0"/>
    <s v="Deposited"/>
    <s v="PMT-S151-203040"/>
    <s v="IN-S151-580304"/>
    <s v="USD"/>
    <n v="-7800"/>
    <n v="-7800"/>
    <n v="281"/>
    <n v="-281"/>
    <s v="MGA Entertainment Inc"/>
    <s v="Jose Castellanos-103"/>
    <s v="ACH CONCENTRATION CREDIT ACH CORP TRADE PAYMENT FROM MGA ENTERTAINMEN MGA ENTER 1001000548 10010005481"/>
    <m/>
    <m/>
    <m/>
    <m/>
    <m/>
    <m/>
    <m/>
    <m/>
    <m/>
    <m/>
    <m/>
    <m/>
    <m/>
    <m/>
    <m/>
    <m/>
    <m/>
    <m/>
    <m/>
    <m/>
    <m/>
    <m/>
    <m/>
    <m/>
    <m/>
    <m/>
    <m/>
    <m/>
    <m/>
    <m/>
    <m/>
    <m/>
    <m/>
    <m/>
    <m/>
    <m/>
  </r>
  <r>
    <s v="102 - US"/>
    <d v="2023-08-16T00:00:00"/>
    <s v="AUGUST"/>
    <n v="2023"/>
    <x v="0"/>
    <s v="Deposited"/>
    <s v="PMT-S151-173331"/>
    <s v=""/>
    <s v="USD"/>
    <n v="-280"/>
    <n v="-280"/>
    <n v="280"/>
    <n v="-280"/>
    <s v="Soliant Health"/>
    <s v="Stephanie Thore"/>
    <s v="ACH CREDIT ACH DEPOSIT FROM SOLIANT HEALTH,-PAYMENTJNL                                       S OLIANT H PAYMENTJNL                                             V00001448"/>
    <m/>
    <m/>
    <m/>
    <m/>
    <m/>
    <m/>
    <m/>
    <m/>
    <m/>
    <m/>
    <m/>
    <m/>
    <m/>
    <m/>
    <m/>
    <m/>
    <m/>
    <m/>
    <m/>
    <m/>
    <m/>
    <m/>
    <m/>
    <m/>
    <m/>
    <m/>
    <m/>
    <m/>
    <m/>
    <m/>
    <m/>
    <m/>
    <m/>
    <m/>
    <m/>
    <m/>
  </r>
  <r>
    <s v="102 - US"/>
    <d v="2022-06-13T00:00:00"/>
    <s v="JUNE"/>
    <n v="2022"/>
    <x v="0"/>
    <s v="Deposited"/>
    <s v="PMT-S151-149001"/>
    <s v=""/>
    <s v="USD"/>
    <n v="-275.37"/>
    <n v="-275.37"/>
    <n v="275.37"/>
    <n v="-275.37"/>
    <s v="OSI Group"/>
    <s v=""/>
    <s v="ACH CONCENTRATION CREDIT ACH CORP TRADE PAYMENT FROM OSI"/>
    <m/>
    <m/>
    <m/>
    <m/>
    <m/>
    <m/>
    <m/>
    <m/>
    <m/>
    <m/>
    <m/>
    <m/>
    <m/>
    <m/>
    <m/>
    <m/>
    <m/>
    <m/>
    <m/>
    <m/>
    <m/>
    <m/>
    <m/>
    <m/>
    <m/>
    <m/>
    <m/>
    <m/>
    <m/>
    <m/>
    <m/>
    <m/>
    <m/>
    <m/>
    <m/>
    <m/>
  </r>
  <r>
    <s v="102 - US"/>
    <d v="2025-06-13T00:00:00"/>
    <s v="JUNE"/>
    <n v="2025"/>
    <x v="0"/>
    <s v="Deposited"/>
    <s v="PMT-S151-206477"/>
    <s v="IN-S151-582892"/>
    <s v="USD"/>
    <n v="-29850"/>
    <n v="-29850"/>
    <n v="270"/>
    <n v="-270"/>
    <s v="GTI Energy"/>
    <s v=""/>
    <s v="ACH CONCENTRATION CREDIT ACH CORP TRADE PAYMENT FROM GTI ENERGY GTI ENERG EFT        23137"/>
    <m/>
    <m/>
    <m/>
    <m/>
    <m/>
    <m/>
    <m/>
    <m/>
    <m/>
    <m/>
    <m/>
    <m/>
    <m/>
    <m/>
    <m/>
    <m/>
    <m/>
    <m/>
    <m/>
    <m/>
    <m/>
    <m/>
    <m/>
    <m/>
    <m/>
    <m/>
    <m/>
    <m/>
    <m/>
    <m/>
    <m/>
    <m/>
    <m/>
    <m/>
    <m/>
    <m/>
  </r>
  <r>
    <s v="102 - US"/>
    <d v="2025-12-23T00:00:00"/>
    <s v="DECEMBER"/>
    <n v="2025"/>
    <x v="0"/>
    <s v="Deposited"/>
    <s v="PMT-S151-216085"/>
    <s v="IN-S151-589821"/>
    <s v="USD"/>
    <n v="-16740"/>
    <n v="-16740"/>
    <n v="270"/>
    <n v="-270"/>
    <s v="University of Michigan at Dearborn"/>
    <s v="Jordan Irvine"/>
    <s v=""/>
    <m/>
    <m/>
    <m/>
    <m/>
    <m/>
    <m/>
    <m/>
    <m/>
    <m/>
    <m/>
    <m/>
    <m/>
    <m/>
    <m/>
    <m/>
    <m/>
    <m/>
    <m/>
    <m/>
    <m/>
    <m/>
    <m/>
    <m/>
    <m/>
    <m/>
    <m/>
    <m/>
    <m/>
    <m/>
    <m/>
    <m/>
    <m/>
    <m/>
    <m/>
    <m/>
    <m/>
  </r>
  <r>
    <s v="102 - US"/>
    <d v="2023-11-10T00:00:00"/>
    <s v="NOVEMBER"/>
    <n v="2023"/>
    <x v="0"/>
    <s v="Deposited"/>
    <s v="PMT-S151-177825"/>
    <s v="IN-S151-560186"/>
    <s v="USD"/>
    <n v="-2500"/>
    <n v="-2500"/>
    <n v="250"/>
    <n v="-250"/>
    <s v="Jackson Hole Chamber of Commerce"/>
    <s v="Jose Castellanos"/>
    <s v="CHECK"/>
    <m/>
    <m/>
    <m/>
    <m/>
    <m/>
    <m/>
    <m/>
    <m/>
    <m/>
    <m/>
    <m/>
    <m/>
    <m/>
    <m/>
    <m/>
    <m/>
    <m/>
    <m/>
    <m/>
    <m/>
    <m/>
    <m/>
    <m/>
    <m/>
    <m/>
    <m/>
    <m/>
    <m/>
    <m/>
    <m/>
    <m/>
    <m/>
    <m/>
    <m/>
    <m/>
    <m/>
  </r>
  <r>
    <s v="102 - US"/>
    <d v="2025-09-11T00:00:00"/>
    <s v="SEPTEMBER"/>
    <n v="2025"/>
    <x v="0"/>
    <s v="Deposited"/>
    <s v="PMT-S151-210673"/>
    <s v="IN-S151-585386"/>
    <s v="USD"/>
    <n v="-7500"/>
    <n v="-7500"/>
    <n v="250"/>
    <n v="-250"/>
    <s v="First Baptist Church Atlanta"/>
    <s v=""/>
    <s v="ACH CREDIT ACH DEPOSIT FROM FIRST BAPTIST CH-AUTOPAYMNT FIRST BAP AUTOPAYMNT 9097"/>
    <m/>
    <m/>
    <m/>
    <m/>
    <m/>
    <m/>
    <m/>
    <m/>
    <m/>
    <m/>
    <m/>
    <m/>
    <m/>
    <m/>
    <m/>
    <m/>
    <m/>
    <m/>
    <m/>
    <m/>
    <m/>
    <m/>
    <m/>
    <m/>
    <m/>
    <m/>
    <m/>
    <m/>
    <m/>
    <m/>
    <m/>
    <m/>
    <m/>
    <m/>
    <m/>
    <m/>
  </r>
  <r>
    <s v="102 - US"/>
    <d v="2023-06-28T00:00:00"/>
    <s v="JUNE"/>
    <n v="2023"/>
    <x v="0"/>
    <s v="Deposited"/>
    <s v="PMT-S151-170418"/>
    <s v=""/>
    <s v="USD"/>
    <n v="-235.95"/>
    <n v="-235.95"/>
    <n v="235.95"/>
    <n v="-235.95"/>
    <s v="Edina Public Schools"/>
    <s v=""/>
    <s v="CHECK"/>
    <m/>
    <m/>
    <m/>
    <m/>
    <m/>
    <m/>
    <m/>
    <m/>
    <m/>
    <m/>
    <m/>
    <m/>
    <m/>
    <m/>
    <m/>
    <m/>
    <m/>
    <m/>
    <m/>
    <m/>
    <m/>
    <m/>
    <m/>
    <m/>
    <m/>
    <m/>
    <m/>
    <m/>
    <m/>
    <m/>
    <m/>
    <m/>
    <m/>
    <m/>
    <m/>
    <m/>
  </r>
  <r>
    <s v="102 - US"/>
    <d v="2022-05-27T00:00:00"/>
    <s v="MAY"/>
    <n v="2022"/>
    <x v="0"/>
    <s v="Deposited"/>
    <s v="PMT-S151-148226"/>
    <s v="IN-S151-534485"/>
    <s v="USD"/>
    <n v="-3000"/>
    <n v="-3000"/>
    <n v="233"/>
    <n v="-233"/>
    <s v="Oakland County Board of Commissioners"/>
    <s v=""/>
    <s v="ACH CONCENTRATION CREDIT ACH CORP TRADE PAYMENT FROM OAKLAND COUNTY OAKLAND C SUPPLRPMTS 220527MELTWATER"/>
    <m/>
    <m/>
    <m/>
    <m/>
    <m/>
    <m/>
    <m/>
    <m/>
    <m/>
    <m/>
    <m/>
    <m/>
    <m/>
    <m/>
    <m/>
    <m/>
    <m/>
    <m/>
    <m/>
    <m/>
    <m/>
    <m/>
    <m/>
    <m/>
    <m/>
    <m/>
    <m/>
    <m/>
    <m/>
    <m/>
    <m/>
    <m/>
    <m/>
    <m/>
    <m/>
    <m/>
  </r>
  <r>
    <s v="102 - US"/>
    <d v="2022-09-23T00:00:00"/>
    <s v="SEPTEMBER"/>
    <n v="2022"/>
    <x v="0"/>
    <s v="Deposited"/>
    <s v="PMT-S151-154746"/>
    <s v="IN-S151-544003"/>
    <s v="USD"/>
    <n v="-3895.5"/>
    <n v="-3895.5"/>
    <n v="220.5"/>
    <n v="-220.5"/>
    <s v="Oil Change International"/>
    <s v=""/>
    <s v="ACH CONCENTRATION CREDIT ACH CASH CONCENTRATION OIL CHANGE INTER-BILL.COM Oil Chang Bill.com                                                   025QWMWVXHB0 T54"/>
    <m/>
    <m/>
    <m/>
    <m/>
    <m/>
    <m/>
    <m/>
    <m/>
    <m/>
    <m/>
    <m/>
    <m/>
    <m/>
    <m/>
    <m/>
    <m/>
    <m/>
    <m/>
    <m/>
    <m/>
    <m/>
    <m/>
    <m/>
    <m/>
    <m/>
    <m/>
    <m/>
    <m/>
    <m/>
    <m/>
    <m/>
    <m/>
    <m/>
    <m/>
    <m/>
    <m/>
  </r>
  <r>
    <s v="102 - US"/>
    <d v="2025-01-22T00:00:00"/>
    <s v="JANUARY"/>
    <n v="2025"/>
    <x v="0"/>
    <s v="Deposited"/>
    <s v="PMT-S151-199359"/>
    <s v="IN-S151-577332"/>
    <s v="USD"/>
    <n v="-3309"/>
    <n v="-3309"/>
    <n v="219"/>
    <n v="-219"/>
    <s v="Emerald Communities"/>
    <s v=""/>
    <s v=""/>
    <m/>
    <m/>
    <m/>
    <m/>
    <m/>
    <m/>
    <m/>
    <m/>
    <m/>
    <m/>
    <m/>
    <m/>
    <m/>
    <m/>
    <m/>
    <m/>
    <m/>
    <m/>
    <m/>
    <m/>
    <m/>
    <m/>
    <m/>
    <m/>
    <m/>
    <m/>
    <m/>
    <m/>
    <m/>
    <m/>
    <m/>
    <m/>
    <m/>
    <m/>
    <m/>
    <m/>
  </r>
  <r>
    <s v="102 - US"/>
    <d v="2022-08-12T00:00:00"/>
    <s v="AUGUST"/>
    <n v="2022"/>
    <x v="0"/>
    <s v="Deposited"/>
    <s v="PMT-S151-152381"/>
    <s v="IN-S151-545014"/>
    <s v="USD"/>
    <n v="-1000"/>
    <n v="-1000"/>
    <n v="200"/>
    <n v="-200"/>
    <s v="Varallo Public Relations"/>
    <s v=""/>
    <s v="CHECK"/>
    <m/>
    <m/>
    <m/>
    <m/>
    <m/>
    <m/>
    <m/>
    <m/>
    <m/>
    <m/>
    <m/>
    <m/>
    <m/>
    <m/>
    <m/>
    <m/>
    <m/>
    <m/>
    <m/>
    <m/>
    <m/>
    <m/>
    <m/>
    <m/>
    <m/>
    <m/>
    <m/>
    <m/>
    <m/>
    <m/>
    <m/>
    <m/>
    <m/>
    <m/>
    <m/>
    <m/>
  </r>
  <r>
    <s v="102 - US"/>
    <d v="2024-05-31T00:00:00"/>
    <s v="MAY"/>
    <n v="2024"/>
    <x v="0"/>
    <s v="Deposited"/>
    <s v="PMT-S151-188652"/>
    <s v="IN-S151-567734"/>
    <s v="USD"/>
    <n v="-2167.5"/>
    <n v="-2167.5"/>
    <n v="200"/>
    <n v="-200"/>
    <s v="GoldsmithPR"/>
    <s v=""/>
    <s v="ACH CREDIT ACH DEPOSIT FROM E GOLDSMITH-SENDER E GOLDSMI SENDER 722173348"/>
    <m/>
    <m/>
    <m/>
    <m/>
    <m/>
    <m/>
    <m/>
    <m/>
    <m/>
    <m/>
    <m/>
    <m/>
    <m/>
    <m/>
    <m/>
    <m/>
    <m/>
    <m/>
    <m/>
    <m/>
    <m/>
    <m/>
    <m/>
    <m/>
    <m/>
    <m/>
    <m/>
    <m/>
    <m/>
    <m/>
    <m/>
    <m/>
    <m/>
    <m/>
    <m/>
    <m/>
  </r>
  <r>
    <s v="102 - US"/>
    <d v="2024-12-24T00:00:00"/>
    <s v="DECEMBER"/>
    <n v="2024"/>
    <x v="0"/>
    <s v="Deposited"/>
    <s v="PMT-S151-197803"/>
    <s v=""/>
    <s v="USD"/>
    <n v="-183.34"/>
    <n v="-183.34"/>
    <n v="183.34"/>
    <n v="-183.34"/>
    <s v="Charter One"/>
    <s v=""/>
    <s v=""/>
    <m/>
    <m/>
    <m/>
    <m/>
    <m/>
    <m/>
    <m/>
    <m/>
    <m/>
    <m/>
    <m/>
    <m/>
    <m/>
    <m/>
    <m/>
    <m/>
    <m/>
    <m/>
    <m/>
    <m/>
    <m/>
    <m/>
    <m/>
    <m/>
    <m/>
    <m/>
    <m/>
    <m/>
    <m/>
    <m/>
    <m/>
    <m/>
    <m/>
    <m/>
    <m/>
    <m/>
  </r>
  <r>
    <s v="102 - US"/>
    <d v="2022-06-10T00:00:00"/>
    <s v="JUNE"/>
    <n v="2022"/>
    <x v="0"/>
    <s v="Deposited"/>
    <s v="PMT-S151-148831"/>
    <s v="IN-S151-539307"/>
    <s v="USD"/>
    <n v="-3206.5"/>
    <n v="-3206.5"/>
    <n v="181.5"/>
    <n v="3549.5"/>
    <s v="National Network to End Domestic Violence"/>
    <s v="Jose Castellanos-103"/>
    <s v="Stripe"/>
    <m/>
    <m/>
    <m/>
    <m/>
    <m/>
    <m/>
    <m/>
    <m/>
    <m/>
    <m/>
    <m/>
    <m/>
    <m/>
    <m/>
    <m/>
    <m/>
    <m/>
    <m/>
    <m/>
    <m/>
    <m/>
    <m/>
    <m/>
    <m/>
    <m/>
    <m/>
    <m/>
    <m/>
    <m/>
    <m/>
    <m/>
    <m/>
    <m/>
    <m/>
    <m/>
    <m/>
  </r>
  <r>
    <s v="102 - US"/>
    <d v="2022-11-09T00:00:00"/>
    <s v="NOVEMBER"/>
    <n v="2022"/>
    <x v="0"/>
    <s v="Deposited"/>
    <s v="PMT-S151-157615"/>
    <s v="IN-S151-542381"/>
    <s v="USD"/>
    <n v="-31293.39"/>
    <n v="-31293.39"/>
    <n v="177.39"/>
    <n v="-177.39"/>
    <s v="University at Buffalo, State University of New York"/>
    <s v=""/>
    <s v="CHECK"/>
    <m/>
    <m/>
    <m/>
    <m/>
    <m/>
    <m/>
    <m/>
    <m/>
    <m/>
    <m/>
    <m/>
    <m/>
    <m/>
    <m/>
    <m/>
    <m/>
    <m/>
    <m/>
    <m/>
    <m/>
    <m/>
    <m/>
    <m/>
    <m/>
    <m/>
    <m/>
    <m/>
    <m/>
    <m/>
    <m/>
    <m/>
    <m/>
    <m/>
    <m/>
    <m/>
    <m/>
  </r>
  <r>
    <s v="102 - US"/>
    <d v="2025-05-28T00:00:00"/>
    <s v="MAY"/>
    <n v="2025"/>
    <x v="0"/>
    <s v="Deposited"/>
    <s v="PMT-S151-205860"/>
    <s v=""/>
    <s v="USD"/>
    <n v="-109.77"/>
    <n v="-109.77"/>
    <n v="109.77"/>
    <n v="-250567.82"/>
    <s v="DUMMY CUSTOMER_CASHAPPS 102 - US"/>
    <s v=""/>
    <s v="ACH CONCENTRATION CREDIT ACH CASH CONCENTRATION SMI1 TREAS 310-  MISC PAY SMI1 TREA   MISC                       P AY 208289528330200"/>
    <m/>
    <m/>
    <m/>
    <m/>
    <m/>
    <m/>
    <m/>
    <m/>
    <m/>
    <m/>
    <m/>
    <m/>
    <m/>
    <m/>
    <m/>
    <m/>
    <m/>
    <m/>
    <m/>
    <m/>
    <m/>
    <m/>
    <m/>
    <m/>
    <m/>
    <m/>
    <m/>
    <m/>
    <m/>
    <m/>
    <m/>
    <m/>
    <m/>
    <m/>
    <m/>
    <m/>
  </r>
  <r>
    <s v="102 - US"/>
    <d v="2022-09-01T00:00:00"/>
    <s v="SEPTEMBER"/>
    <n v="2022"/>
    <x v="0"/>
    <s v="Deposited"/>
    <s v="PMT-S151-153565"/>
    <s v="IN-S151-541218"/>
    <s v="USD"/>
    <n v="-5543.76"/>
    <n v="-5543.76"/>
    <n v="100"/>
    <n v="-100"/>
    <s v="Richard Attias &amp; Associates"/>
    <s v=""/>
    <s v="INCOMING MONEY TRANSFER 53RECD FED INTERAUDI BANK*ORG:RICHARD ATTIAS + ASSOC IATES LLC,GREENWICH,CT 06830     *BNF:MELTWATER NEWS US INC,SAN FRANCISCO CA/US,STE 100*OBI:INV. IN-S151-541218 / ANNUAL SUBSCR IPTION*BBI:OUR PS0 010435850 MELTWATER INV. IN-S151-541218 / ANNUAL SUBSCR IPTION/ALL FEES PAID BY SENDER*STFEDSEQ:B1Q8981R001698*TIME:0940*YOUR REF:NONREF*OUR REF:244518923"/>
    <m/>
    <m/>
    <m/>
    <m/>
    <m/>
    <m/>
    <m/>
    <m/>
    <m/>
    <m/>
    <m/>
    <m/>
    <m/>
    <m/>
    <m/>
    <m/>
    <m/>
    <m/>
    <m/>
    <m/>
    <m/>
    <m/>
    <m/>
    <m/>
    <m/>
    <m/>
    <m/>
    <m/>
    <m/>
    <m/>
    <m/>
    <m/>
    <m/>
    <m/>
    <m/>
    <m/>
  </r>
  <r>
    <s v="102 - US"/>
    <d v="2023-02-16T00:00:00"/>
    <s v="FEBRUARY"/>
    <n v="2023"/>
    <x v="0"/>
    <s v="Deposited"/>
    <s v="PMT-S151-163515"/>
    <s v="IN-S151-540913"/>
    <s v="USD"/>
    <n v="-570.61"/>
    <n v="-570.61"/>
    <n v="67.61"/>
    <n v="-67.61"/>
    <s v="SIGNIFY MEXICO SA DE CV"/>
    <s v=""/>
    <s v="FOREIGN REMITTANCE CREDIT 33RECD CHIP CITIBANK NA*ORG:SIGNIFY ARGENTINA SA,NICO LAS DE VEDIA 3892*OGB:CITIBANK N.A.,SILVER SPRING,12401 PROSPERITY DRIVE*BNF: MELTWATER NEWS US INC,SAN FRANCISCO CA/US,STE 100*STCHIPSEQ:0473929*TI ME:1430*YOUR R (more...)"/>
    <m/>
    <m/>
    <m/>
    <m/>
    <m/>
    <m/>
    <m/>
    <m/>
    <m/>
    <m/>
    <m/>
    <m/>
    <m/>
    <m/>
    <m/>
    <m/>
    <m/>
    <m/>
    <m/>
    <m/>
    <m/>
    <m/>
    <m/>
    <m/>
    <m/>
    <m/>
    <m/>
    <m/>
    <m/>
    <m/>
    <m/>
    <m/>
    <m/>
    <m/>
    <m/>
    <m/>
  </r>
  <r>
    <s v="102 - US"/>
    <d v="2026-04-01T00:00:00"/>
    <s v="APRIL"/>
    <n v="2026"/>
    <x v="0"/>
    <s v="Deposited"/>
    <s v="PMT-S151-222271"/>
    <s v="IN-S151-589307"/>
    <s v="USD"/>
    <n v="-18986"/>
    <n v="-18986"/>
    <n v="10"/>
    <n v="-10"/>
    <s v="The Stronach Group"/>
    <s v=""/>
    <s v="ACH CONCENTRATION CREDIT ACH CASH CONCENTRATION 1/ST LLC-PAYMENTJNL 1/ST LLC  PAYMENTJNL MELTW-CORP"/>
    <m/>
    <m/>
    <m/>
    <m/>
    <m/>
    <m/>
    <m/>
    <m/>
    <m/>
    <m/>
    <m/>
    <m/>
    <m/>
    <m/>
    <m/>
    <m/>
    <m/>
    <m/>
    <m/>
    <m/>
    <m/>
    <m/>
    <m/>
    <m/>
    <m/>
    <m/>
    <m/>
    <m/>
    <m/>
    <m/>
    <m/>
    <m/>
    <m/>
    <m/>
    <m/>
    <m/>
  </r>
  <r>
    <s v="102 - US"/>
    <d v="2026-05-01T00:00:00"/>
    <s v="MAY"/>
    <n v="2026"/>
    <x v="0"/>
    <s v="Deposited"/>
    <s v="PMT-S151-223723"/>
    <s v=""/>
    <s v="USD"/>
    <n v="-0.01"/>
    <n v="-0.01"/>
    <n v="0.01"/>
    <n v="-250567.82"/>
    <s v="DUMMY CUSTOMER_CASHAPPS 102 - US"/>
    <s v=""/>
    <s v="ACH CONCENTRATION CREDIT ACH CASH CONCENTRATION ATLANTIC COAST C-ACCTVERIFY Atlantic                             ACCTV ERIFY                                                       026UKBYPU1XBJZA"/>
    <m/>
    <m/>
    <m/>
    <m/>
    <m/>
    <m/>
    <m/>
    <m/>
    <m/>
    <m/>
    <m/>
    <m/>
    <m/>
    <m/>
    <m/>
    <m/>
    <m/>
    <m/>
    <m/>
    <m/>
    <m/>
    <m/>
    <m/>
    <m/>
    <m/>
    <m/>
    <m/>
    <m/>
    <m/>
    <m/>
    <m/>
    <m/>
    <m/>
    <m/>
    <m/>
    <m/>
  </r>
  <r>
    <s v="10C (106) - Sysomos US"/>
    <d v="2020-01-27T00:00:00"/>
    <s v="JANUARY"/>
    <n v="2020"/>
    <x v="1"/>
    <s v="Deposited"/>
    <s v="PMT-S130B-1757"/>
    <s v=""/>
    <s v="USD"/>
    <n v="-130323.38"/>
    <n v="-130323.38"/>
    <n v="130323.38"/>
    <n v="-164619.01"/>
    <s v="Shiseido Americas Corporation"/>
    <s v="Marta Boytcheva"/>
    <s v="Duplicate payment"/>
    <m/>
    <m/>
    <m/>
    <m/>
    <m/>
    <m/>
    <m/>
    <m/>
    <m/>
    <m/>
    <m/>
    <m/>
    <m/>
    <m/>
    <m/>
    <m/>
    <m/>
    <m/>
    <m/>
    <m/>
    <m/>
    <m/>
    <m/>
    <m/>
    <m/>
    <m/>
    <m/>
    <m/>
    <m/>
    <m/>
    <m/>
    <m/>
    <m/>
    <m/>
    <m/>
    <m/>
  </r>
  <r>
    <s v="10C (106) - Sysomos US"/>
    <d v="2019-08-12T00:00:00"/>
    <s v="AUGUST"/>
    <n v="2019"/>
    <x v="1"/>
    <s v="Deposited"/>
    <s v="PMT-S130B-1121"/>
    <s v="IN-S130B-1804"/>
    <s v="USD"/>
    <n v="-164619.01"/>
    <n v="-164619.01"/>
    <n v="34295.629999999997"/>
    <n v="-164619.01"/>
    <s v="Shiseido Americas Corporation"/>
    <s v="Marta Boytcheva"/>
    <s v="WFB LB 08/12/19"/>
    <m/>
    <m/>
    <m/>
    <m/>
    <m/>
    <m/>
    <m/>
    <m/>
    <m/>
    <m/>
    <m/>
    <m/>
    <m/>
    <m/>
    <m/>
    <m/>
    <m/>
    <m/>
    <m/>
    <m/>
    <m/>
    <m/>
    <m/>
    <m/>
    <m/>
    <m/>
    <m/>
    <m/>
    <m/>
    <m/>
    <m/>
    <m/>
    <m/>
    <m/>
    <m/>
    <m/>
  </r>
  <r>
    <s v="10C (106) - Sysomos US"/>
    <d v="2019-11-08T00:00:00"/>
    <s v="NOVEMBER"/>
    <n v="2019"/>
    <x v="1"/>
    <s v="Deposited"/>
    <s v="PMT-S130B-1558"/>
    <s v=""/>
    <s v="USD"/>
    <n v="-6666.68"/>
    <n v="-6666.68"/>
    <n v="6666.68"/>
    <n v="-6666.68"/>
    <s v="DWA Media"/>
    <s v="Yangzom Vitali-116"/>
    <s v="WFB Wire 11/8/19"/>
    <m/>
    <m/>
    <m/>
    <m/>
    <m/>
    <m/>
    <m/>
    <m/>
    <m/>
    <m/>
    <m/>
    <m/>
    <m/>
    <m/>
    <m/>
    <m/>
    <m/>
    <m/>
    <m/>
    <m/>
    <m/>
    <m/>
    <m/>
    <m/>
    <m/>
    <m/>
    <m/>
    <m/>
    <m/>
    <m/>
    <m/>
    <m/>
    <m/>
    <m/>
    <m/>
    <m/>
  </r>
  <r>
    <s v="10C (106) - Sysomos US"/>
    <d v="2019-08-16T00:00:00"/>
    <s v="AUGUST"/>
    <n v="2019"/>
    <x v="1"/>
    <s v="Deposited"/>
    <s v="PMT-S130B-1237"/>
    <s v=""/>
    <s v="USD"/>
    <n v="-5000"/>
    <n v="-5000"/>
    <n v="5000"/>
    <n v="-13919.5"/>
    <s v="DUMMY CUSTOMER_CASHAPPS 106 - Sysomos US Inc"/>
    <s v=""/>
    <s v="WFB wire 081619 - Unknown customer: LOREL2US PAYMENTS 190816 20017191352019 \NTE*ZZZ*1906130000560\DTM*003*20180531\SE*25*0003036750795 20017191352019 R00000091003832142394"/>
    <m/>
    <m/>
    <m/>
    <m/>
    <m/>
    <m/>
    <m/>
    <m/>
    <m/>
    <m/>
    <m/>
    <m/>
    <m/>
    <m/>
    <m/>
    <m/>
    <m/>
    <m/>
    <m/>
    <m/>
    <m/>
    <m/>
    <m/>
    <m/>
    <m/>
    <m/>
    <m/>
    <m/>
    <m/>
    <m/>
    <m/>
    <m/>
    <m/>
    <m/>
    <m/>
    <m/>
  </r>
  <r>
    <s v="10C (106) - Sysomos US"/>
    <d v="2019-06-13T00:00:00"/>
    <s v="JUNE"/>
    <n v="2019"/>
    <x v="1"/>
    <s v="Deposited"/>
    <s v="PMT-S130B-0804"/>
    <s v="IN-S130B-0059"/>
    <s v="USD"/>
    <n v="-42992.57"/>
    <n v="-42992.57"/>
    <n v="4512.04"/>
    <n v="-5594.86"/>
    <s v="Intel Corporation"/>
    <s v="Marta Boytcheva"/>
    <s v="WFB wire 06/13/19 - overpaid their two invoices"/>
    <m/>
    <m/>
    <m/>
    <m/>
    <m/>
    <m/>
    <m/>
    <m/>
    <m/>
    <m/>
    <m/>
    <m/>
    <m/>
    <m/>
    <m/>
    <m/>
    <m/>
    <m/>
    <m/>
    <m/>
    <m/>
    <m/>
    <m/>
    <m/>
    <m/>
    <m/>
    <m/>
    <m/>
    <m/>
    <m/>
    <m/>
    <m/>
    <m/>
    <m/>
    <m/>
    <m/>
  </r>
  <r>
    <s v="10C (106) - Sysomos US"/>
    <d v="2019-07-01T00:00:00"/>
    <s v="JULY"/>
    <n v="2019"/>
    <x v="1"/>
    <s v="Deposited"/>
    <s v="PMT-S130B-0894"/>
    <s v="IN-S130B-0298"/>
    <s v="USD"/>
    <n v="-8591.86"/>
    <n v="-8591.86"/>
    <n v="4009.53"/>
    <n v="-4009.53"/>
    <s v="New Avon"/>
    <s v="Marta Boytcheva"/>
    <s v="WFB wire 07/01/19 - customer overpaid by 4009.53 - sent inquiry to collection team."/>
    <m/>
    <m/>
    <m/>
    <m/>
    <m/>
    <m/>
    <m/>
    <m/>
    <m/>
    <m/>
    <m/>
    <m/>
    <m/>
    <m/>
    <m/>
    <m/>
    <m/>
    <m/>
    <m/>
    <m/>
    <m/>
    <m/>
    <m/>
    <m/>
    <m/>
    <m/>
    <m/>
    <m/>
    <m/>
    <m/>
    <m/>
    <m/>
    <m/>
    <m/>
    <m/>
    <m/>
  </r>
  <r>
    <s v="10C (106) - Sysomos US"/>
    <d v="2020-01-31T00:00:00"/>
    <s v="JANUARY"/>
    <n v="2020"/>
    <x v="1"/>
    <s v="Deposited"/>
    <s v="PMT-S130B-1773"/>
    <s v=""/>
    <s v="USD"/>
    <n v="-3897.59"/>
    <n v="-3897.59"/>
    <n v="3897.59"/>
    <n v="-13919.5"/>
    <s v="DUMMY CUSTOMER_CASHAPPS 106 - Sysomos US Inc"/>
    <s v=""/>
    <s v="DEPOSIT MADE IN A BRANCH/STORE"/>
    <m/>
    <m/>
    <m/>
    <m/>
    <m/>
    <m/>
    <m/>
    <m/>
    <m/>
    <m/>
    <m/>
    <m/>
    <m/>
    <m/>
    <m/>
    <m/>
    <m/>
    <m/>
    <m/>
    <m/>
    <m/>
    <m/>
    <m/>
    <m/>
    <m/>
    <m/>
    <m/>
    <m/>
    <m/>
    <m/>
    <m/>
    <m/>
    <m/>
    <m/>
    <m/>
    <m/>
  </r>
  <r>
    <s v="10C (106) - Sysomos US"/>
    <d v="2019-02-20T00:00:00"/>
    <s v="FEBRUARY"/>
    <n v="2019"/>
    <x v="1"/>
    <s v="Deposited"/>
    <s v="PMT-S130B-0257"/>
    <s v=""/>
    <s v="USD"/>
    <n v="-3140.77"/>
    <n v="-3140.77"/>
    <n v="3140.77"/>
    <n v="-3140.77"/>
    <s v="McGarryBowen"/>
    <s v="Jennifer Bourne"/>
    <s v="This seems to be an duplicate payment for INV00048830. This inv was paid 1/15/19 PMT-S130B-0094"/>
    <m/>
    <m/>
    <m/>
    <m/>
    <m/>
    <m/>
    <m/>
    <m/>
    <m/>
    <m/>
    <m/>
    <m/>
    <m/>
    <m/>
    <m/>
    <m/>
    <m/>
    <m/>
    <m/>
    <m/>
    <m/>
    <m/>
    <m/>
    <m/>
    <m/>
    <m/>
    <m/>
    <m/>
    <m/>
    <m/>
    <m/>
    <m/>
    <m/>
    <m/>
    <m/>
    <m/>
  </r>
  <r>
    <s v="10C (106) - Sysomos US"/>
    <d v="2019-10-22T00:00:00"/>
    <s v="OCTOBER"/>
    <n v="2019"/>
    <x v="1"/>
    <s v="Deposited"/>
    <s v="PMT-S130B-1488"/>
    <s v=""/>
    <s v="USD"/>
    <n v="-2600.96"/>
    <n v="-2600.96"/>
    <n v="2600.96"/>
    <n v="-2600.96"/>
    <s v="The Tombras Group"/>
    <s v="Yangzom Vitali-116"/>
    <s v="WFB LB 10/22/19"/>
    <m/>
    <m/>
    <m/>
    <m/>
    <m/>
    <m/>
    <m/>
    <m/>
    <m/>
    <m/>
    <m/>
    <m/>
    <m/>
    <m/>
    <m/>
    <m/>
    <m/>
    <m/>
    <m/>
    <m/>
    <m/>
    <m/>
    <m/>
    <m/>
    <m/>
    <m/>
    <m/>
    <m/>
    <m/>
    <m/>
    <m/>
    <m/>
    <m/>
    <m/>
    <m/>
    <m/>
  </r>
  <r>
    <s v="10C (106) - Sysomos US"/>
    <d v="2019-07-03T00:00:00"/>
    <s v="JULY"/>
    <n v="2019"/>
    <x v="1"/>
    <s v="Deposited"/>
    <s v="PMT-S130B-0895"/>
    <s v=""/>
    <s v="USD"/>
    <n v="-2476.91"/>
    <n v="-2476.91"/>
    <n v="2476.91"/>
    <n v="-2476.91"/>
    <s v="Lincoln Technical Institute, inc"/>
    <s v="Marta Boytcheva"/>
    <s v="WFB LB 07/03/19 - This invoice was paid 6/26/19 - there is still one past due invoice due, IN-S130B-0986 $2,562.47 - Marta will inquire with customer how to apply payment"/>
    <m/>
    <m/>
    <m/>
    <m/>
    <m/>
    <m/>
    <m/>
    <m/>
    <m/>
    <m/>
    <m/>
    <m/>
    <m/>
    <m/>
    <m/>
    <m/>
    <m/>
    <m/>
    <m/>
    <m/>
    <m/>
    <m/>
    <m/>
    <m/>
    <m/>
    <m/>
    <m/>
    <m/>
    <m/>
    <m/>
    <m/>
    <m/>
    <m/>
    <m/>
    <m/>
    <m/>
  </r>
  <r>
    <s v="10C (106) - Sysomos US"/>
    <d v="2019-07-29T00:00:00"/>
    <s v="JULY"/>
    <n v="2019"/>
    <x v="1"/>
    <s v="Deposited"/>
    <s v="PMT-S130B-1029"/>
    <s v=""/>
    <s v="USD"/>
    <n v="-2375"/>
    <n v="-2375"/>
    <n v="2375"/>
    <n v="-2375"/>
    <s v="Novetta, Inc"/>
    <s v="Yangzom Vitali-116"/>
    <s v="WFB LB 07/29/19"/>
    <m/>
    <m/>
    <m/>
    <m/>
    <m/>
    <m/>
    <m/>
    <m/>
    <m/>
    <m/>
    <m/>
    <m/>
    <m/>
    <m/>
    <m/>
    <m/>
    <m/>
    <m/>
    <m/>
    <m/>
    <m/>
    <m/>
    <m/>
    <m/>
    <m/>
    <m/>
    <m/>
    <m/>
    <m/>
    <m/>
    <m/>
    <m/>
    <m/>
    <m/>
    <m/>
    <m/>
  </r>
  <r>
    <s v="10C (106) - Sysomos US"/>
    <d v="2019-06-26T00:00:00"/>
    <s v="JUNE"/>
    <n v="2019"/>
    <x v="1"/>
    <s v="Deposited"/>
    <s v="PMT-S130B-0870"/>
    <s v=""/>
    <s v="USD"/>
    <n v="-2331.25"/>
    <n v="-2331.25"/>
    <n v="2331.25"/>
    <n v="-13919.5"/>
    <s v="DUMMY CUSTOMER_CASHAPPS 106 - Sysomos US Inc"/>
    <s v=""/>
    <s v="W.S. BADCOCK AP AP PAYMENT 190625 XXXXX2882 SYSOMOS US INC 9930786502 121042882 R00000091003850852512 - This customer has a couple cus' accts. waiting for remit info"/>
    <m/>
    <m/>
    <m/>
    <m/>
    <m/>
    <m/>
    <m/>
    <m/>
    <m/>
    <m/>
    <m/>
    <m/>
    <m/>
    <m/>
    <m/>
    <m/>
    <m/>
    <m/>
    <m/>
    <m/>
    <m/>
    <m/>
    <m/>
    <m/>
    <m/>
    <m/>
    <m/>
    <m/>
    <m/>
    <m/>
    <m/>
    <m/>
    <m/>
    <m/>
    <m/>
    <m/>
  </r>
  <r>
    <s v="10C (106) - Sysomos US"/>
    <d v="2019-03-29T00:00:00"/>
    <s v="MARCH"/>
    <n v="2019"/>
    <x v="1"/>
    <s v="Deposited"/>
    <s v="PMT-S130B-0487"/>
    <s v="IN-S130B-1447"/>
    <s v="USD"/>
    <n v="-2600.3000000000002"/>
    <n v="-2600.3000000000002"/>
    <n v="2228.81"/>
    <n v="-2228.81"/>
    <s v="Convince &amp; Convert LLC"/>
    <s v="Yangzom Vitali-116"/>
    <s v="WFB wire 3/29/19 - IN-S130B-1447 &amp; 1448 - There's no invoice for 1448 yet - leaving 2,228.81 unapplied"/>
    <m/>
    <m/>
    <m/>
    <m/>
    <m/>
    <m/>
    <m/>
    <m/>
    <m/>
    <m/>
    <m/>
    <m/>
    <m/>
    <m/>
    <m/>
    <m/>
    <m/>
    <m/>
    <m/>
    <m/>
    <m/>
    <m/>
    <m/>
    <m/>
    <m/>
    <m/>
    <m/>
    <m/>
    <m/>
    <m/>
    <m/>
    <m/>
    <m/>
    <m/>
    <m/>
    <m/>
  </r>
  <r>
    <s v="10C (106) - Sysomos US"/>
    <d v="2019-09-11T00:00:00"/>
    <s v="SEPTEMBER"/>
    <n v="2019"/>
    <x v="1"/>
    <s v="Deposited"/>
    <s v="PMT-S130B-1382"/>
    <s v=""/>
    <s v="USD"/>
    <n v="-2224.3200000000002"/>
    <n v="-2224.3200000000002"/>
    <n v="2224.3200000000002"/>
    <n v="-13919.5"/>
    <s v="DUMMY CUSTOMER_CASHAPPS 106 - Sysomos US Inc"/>
    <s v=""/>
    <s v="WFB Wire 9/11/19 - Pending remit info from collections team"/>
    <m/>
    <m/>
    <m/>
    <m/>
    <m/>
    <m/>
    <m/>
    <m/>
    <m/>
    <m/>
    <m/>
    <m/>
    <m/>
    <m/>
    <m/>
    <m/>
    <m/>
    <m/>
    <m/>
    <m/>
    <m/>
    <m/>
    <m/>
    <m/>
    <m/>
    <m/>
    <m/>
    <m/>
    <m/>
    <m/>
    <m/>
    <m/>
    <m/>
    <m/>
    <m/>
    <m/>
  </r>
  <r>
    <s v="10C (106) - Sysomos US"/>
    <d v="2019-02-04T00:00:00"/>
    <s v="FEBRUARY"/>
    <n v="2019"/>
    <x v="1"/>
    <s v="Deposited"/>
    <s v="PMT-S130B-0212"/>
    <s v="IN-S130B-0358"/>
    <s v="USD"/>
    <n v="-29165"/>
    <n v="-29165"/>
    <n v="1450.3"/>
    <n v="-1450.3"/>
    <s v="Jo Malone Limited"/>
    <s v="Yangzom Vitali-116"/>
    <s v="INV45339 is partially credited (service credit) but paid in full. Leaving balance open on the account."/>
    <m/>
    <m/>
    <m/>
    <m/>
    <m/>
    <m/>
    <m/>
    <m/>
    <m/>
    <m/>
    <m/>
    <m/>
    <m/>
    <m/>
    <m/>
    <m/>
    <m/>
    <m/>
    <m/>
    <m/>
    <m/>
    <m/>
    <m/>
    <m/>
    <m/>
    <m/>
    <m/>
    <m/>
    <m/>
    <m/>
    <m/>
    <m/>
    <m/>
    <m/>
    <m/>
    <m/>
  </r>
  <r>
    <s v="10C (106) - Sysomos US"/>
    <d v="2019-04-05T00:00:00"/>
    <s v="APRIL"/>
    <n v="2019"/>
    <x v="1"/>
    <s v="Deposited"/>
    <s v="PMT-S130B-0524"/>
    <s v="IN-S130B-0593"/>
    <s v="USD"/>
    <n v="-4095.71"/>
    <n v="-4095.71"/>
    <n v="1082.82"/>
    <n v="-5594.86"/>
    <s v="Intel Corporation"/>
    <s v="Marta Boytcheva"/>
    <s v="WFB Wire 04/04/19 - For: INV00046466 per remit - the remit shows the invoice to have an original amt of $4125.00.  with bank fee, overpayment of invoice by $1,082.82"/>
    <m/>
    <m/>
    <m/>
    <m/>
    <m/>
    <m/>
    <m/>
    <m/>
    <m/>
    <m/>
    <m/>
    <m/>
    <m/>
    <m/>
    <m/>
    <m/>
    <m/>
    <m/>
    <m/>
    <m/>
    <m/>
    <m/>
    <m/>
    <m/>
    <m/>
    <m/>
    <m/>
    <m/>
    <m/>
    <m/>
    <m/>
    <m/>
    <m/>
    <m/>
    <m/>
    <m/>
  </r>
  <r>
    <s v="10C (106) - Sysomos US"/>
    <d v="2019-03-05T00:00:00"/>
    <s v="MARCH"/>
    <n v="2019"/>
    <x v="1"/>
    <s v="Deposited"/>
    <s v="PMT-S130B-0515"/>
    <s v="IN-S130B-0369"/>
    <s v="USD"/>
    <n v="-7772.76"/>
    <n v="-7772.76"/>
    <n v="888.68"/>
    <n v="-888.68"/>
    <s v="La Mer"/>
    <s v="Marta Boytcheva"/>
    <s v=""/>
    <m/>
    <m/>
    <m/>
    <m/>
    <m/>
    <m/>
    <m/>
    <m/>
    <m/>
    <m/>
    <m/>
    <m/>
    <m/>
    <m/>
    <m/>
    <m/>
    <m/>
    <m/>
    <m/>
    <m/>
    <m/>
    <m/>
    <m/>
    <m/>
    <m/>
    <m/>
    <m/>
    <m/>
    <m/>
    <m/>
    <m/>
    <m/>
    <m/>
    <m/>
    <m/>
    <m/>
  </r>
  <r>
    <s v="10C (106) - Sysomos US"/>
    <d v="2019-05-31T00:00:00"/>
    <s v="MAY"/>
    <n v="2019"/>
    <x v="1"/>
    <s v="Deposited"/>
    <s v="PMT-S130B-0754"/>
    <s v=""/>
    <s v="USD"/>
    <n v="-466.34"/>
    <n v="-466.34"/>
    <n v="466.34"/>
    <n v="-13919.5"/>
    <s v="DUMMY CUSTOMER_CASHAPPS 106 - Sysomos US Inc"/>
    <s v=""/>
    <s v="SA-S151-EN-1423215 Onesource Virtual is a 102-US customer but wired payment into WFB: OneSource Virtua 0000108452 190530 MNY-0005114478 Meltwater Group 9367888501 MNY-0005114478 R00000091004431085254"/>
    <m/>
    <m/>
    <m/>
    <m/>
    <m/>
    <m/>
    <m/>
    <m/>
    <m/>
    <m/>
    <m/>
    <m/>
    <m/>
    <m/>
    <m/>
    <m/>
    <m/>
    <m/>
    <m/>
    <m/>
    <m/>
    <m/>
    <m/>
    <m/>
    <m/>
    <m/>
    <m/>
    <m/>
    <m/>
    <m/>
    <m/>
    <m/>
    <m/>
    <m/>
    <m/>
    <m/>
  </r>
  <r>
    <s v="10C (106) - Sysomos US"/>
    <d v="2019-12-30T00:00:00"/>
    <s v="DECEMBER"/>
    <n v="2019"/>
    <x v="1"/>
    <s v="Deposited"/>
    <s v="PMT-S130B-1683"/>
    <s v="IN-S130B-2644"/>
    <s v="USD"/>
    <n v="-26841.42"/>
    <n v="-26841.42"/>
    <n v="433.06"/>
    <n v="-433.06"/>
    <s v="Mary Kay Inc."/>
    <s v="Marta Boytcheva"/>
    <s v="WFB LB 12/30/19"/>
    <m/>
    <m/>
    <m/>
    <m/>
    <m/>
    <m/>
    <m/>
    <m/>
    <m/>
    <m/>
    <m/>
    <m/>
    <m/>
    <m/>
    <m/>
    <m/>
    <m/>
    <m/>
    <m/>
    <m/>
    <m/>
    <m/>
    <m/>
    <m/>
    <m/>
    <m/>
    <m/>
    <m/>
    <m/>
    <m/>
    <m/>
    <m/>
    <m/>
    <m/>
    <m/>
    <m/>
  </r>
  <r>
    <s v="10C (106) - Sysomos US"/>
    <d v="2019-01-23T00:00:00"/>
    <s v="JANUARY"/>
    <n v="2019"/>
    <x v="1"/>
    <s v="Deposited"/>
    <s v="PMT-S130B-0131"/>
    <s v="IN-S130B-0132"/>
    <s v="USD"/>
    <n v="-3120.52"/>
    <n v="-3120.52"/>
    <n v="237.4"/>
    <n v="-237.4"/>
    <s v="Apple, Inc."/>
    <s v="Marta Boytcheva"/>
    <s v="No remit-left open on Account"/>
    <m/>
    <m/>
    <m/>
    <m/>
    <m/>
    <m/>
    <m/>
    <m/>
    <m/>
    <m/>
    <m/>
    <m/>
    <m/>
    <m/>
    <m/>
    <m/>
    <m/>
    <m/>
    <m/>
    <m/>
    <m/>
    <m/>
    <m/>
    <m/>
    <m/>
    <m/>
    <m/>
    <m/>
    <m/>
    <m/>
    <m/>
    <m/>
    <m/>
    <m/>
    <m/>
    <m/>
  </r>
  <r>
    <s v="10C (106) - Sysomos US"/>
    <d v="2019-10-01T00:00:00"/>
    <s v="OCTOBER"/>
    <n v="2019"/>
    <x v="1"/>
    <s v="Deposited"/>
    <s v="PMT-S130B-1394"/>
    <s v="IN-S130B-0108"/>
    <s v="USD"/>
    <n v="-7931.25"/>
    <n v="-7931.25"/>
    <n v="88.14"/>
    <n v="-88.14"/>
    <s v="Sterling Jewelers, Inc. (US)"/>
    <s v="Yangzom Vitali-116"/>
    <s v="WFB LB 10/1/19"/>
    <m/>
    <m/>
    <m/>
    <m/>
    <m/>
    <m/>
    <m/>
    <m/>
    <m/>
    <m/>
    <m/>
    <m/>
    <m/>
    <m/>
    <m/>
    <m/>
    <m/>
    <m/>
    <m/>
    <m/>
    <m/>
    <m/>
    <m/>
    <m/>
    <m/>
    <m/>
    <m/>
    <m/>
    <m/>
    <m/>
    <m/>
    <m/>
    <m/>
    <m/>
    <m/>
    <m/>
  </r>
  <r>
    <s v="10C (106) - Sysomos US"/>
    <d v="2020-02-26T00:00:00"/>
    <s v="FEBRUARY"/>
    <n v="2020"/>
    <x v="1"/>
    <s v="Deposited"/>
    <s v="PMT-S130B-1835"/>
    <s v="IN-S130B-2635"/>
    <s v="USD"/>
    <n v="-85560"/>
    <n v="-85560"/>
    <n v="20"/>
    <n v="-20"/>
    <s v="Mondelez Deutschland Services"/>
    <s v="Marta Boytcheva"/>
    <s v="WFB Wire 2/26/20"/>
    <m/>
    <m/>
    <m/>
    <m/>
    <m/>
    <m/>
    <m/>
    <m/>
    <m/>
    <m/>
    <m/>
    <m/>
    <m/>
    <m/>
    <m/>
    <m/>
    <m/>
    <m/>
    <m/>
    <m/>
    <m/>
    <m/>
    <m/>
    <m/>
    <m/>
    <m/>
    <m/>
    <m/>
    <m/>
    <m/>
    <m/>
    <m/>
    <m/>
    <m/>
    <m/>
    <m/>
  </r>
  <r>
    <s v="10C (106) - Sysomos US"/>
    <d v="2020-01-21T00:00:00"/>
    <s v="JANUARY"/>
    <n v="2020"/>
    <x v="1"/>
    <s v="Deposited"/>
    <s v="PMT-S130B-1741"/>
    <s v="IN-S130B-2726"/>
    <s v="USD"/>
    <n v="-1168.5"/>
    <n v="-1168.5"/>
    <n v="0.16"/>
    <n v="-0.16"/>
    <s v="RevHealth LLC"/>
    <s v="Marta Boytcheva"/>
    <s v="WFB LB 1/21/20"/>
    <m/>
    <m/>
    <m/>
    <m/>
    <m/>
    <m/>
    <m/>
    <m/>
    <m/>
    <m/>
    <m/>
    <m/>
    <m/>
    <m/>
    <m/>
    <m/>
    <m/>
    <m/>
    <m/>
    <m/>
    <m/>
    <m/>
    <m/>
    <m/>
    <m/>
    <m/>
    <m/>
    <m/>
    <m/>
    <m/>
    <m/>
    <m/>
    <m/>
    <m/>
    <m/>
    <m/>
  </r>
  <r>
    <s v="10C (106) - Sysomos US"/>
    <d v="2019-09-23T00:00:00"/>
    <s v="SEPTEMBER"/>
    <n v="2019"/>
    <x v="1"/>
    <s v="Deposited"/>
    <s v="PMT-S130B-1349"/>
    <s v="IN-S130B-2341"/>
    <s v="USD"/>
    <n v="-1144.3499999999999"/>
    <n v="-1144.3499999999999"/>
    <n v="0.03"/>
    <n v="-0.03"/>
    <s v="BlaineTurner Advertising"/>
    <s v="Yangzom Vitali-116"/>
    <s v="WFB LB 09/23/19"/>
    <m/>
    <m/>
    <m/>
    <m/>
    <m/>
    <m/>
    <m/>
    <m/>
    <m/>
    <m/>
    <m/>
    <m/>
    <m/>
    <m/>
    <m/>
    <m/>
    <m/>
    <m/>
    <m/>
    <m/>
    <m/>
    <m/>
    <m/>
    <m/>
    <m/>
    <m/>
    <m/>
    <m/>
    <m/>
    <m/>
    <m/>
    <m/>
    <m/>
    <m/>
    <m/>
    <m/>
  </r>
  <r>
    <s v="111 - Canada"/>
    <d v="2026-04-28T00:00:00"/>
    <s v="APRIL"/>
    <n v="2026"/>
    <x v="0"/>
    <s v="Deposited"/>
    <s v="PMT-S130-48216"/>
    <s v=""/>
    <s v="CAD"/>
    <n v="-67808.679999999993"/>
    <n v="-49625.781999999999"/>
    <n v="49625.781999999999"/>
    <n v="-91511.6"/>
    <s v="DUMMY CUSTOMER_CASHAPPS 111 - Canada"/>
    <s v=""/>
    <s v="ACH: THE CURRENCY CL  THE CURRENCY CLOUD LIMITED RE:Meltwater News Canada Inc"/>
    <m/>
    <m/>
    <m/>
    <m/>
    <m/>
    <m/>
    <m/>
    <m/>
    <m/>
    <m/>
    <m/>
    <m/>
    <m/>
    <m/>
    <m/>
    <m/>
    <m/>
    <m/>
    <m/>
    <m/>
    <m/>
    <m/>
    <m/>
    <m/>
    <m/>
    <m/>
    <m/>
    <m/>
    <m/>
    <m/>
    <m/>
    <m/>
    <m/>
    <m/>
    <m/>
    <m/>
  </r>
  <r>
    <s v="111 - Canada"/>
    <d v="2022-12-19T00:00:00"/>
    <s v="DECEMBER"/>
    <n v="2022"/>
    <x v="0"/>
    <s v="Deposited"/>
    <s v="PMT-S130-38086"/>
    <s v=""/>
    <s v="CAD"/>
    <n v="-29267"/>
    <n v="-21419.054"/>
    <n v="21419.054"/>
    <n v="-91511.6"/>
    <s v="DUMMY CUSTOMER_CASHAPPS 111 - Canada"/>
    <s v=""/>
    <s v="CAMBRIDGE MERC MSP EF0160001001957000000163"/>
    <m/>
    <m/>
    <m/>
    <m/>
    <m/>
    <m/>
    <m/>
    <m/>
    <m/>
    <m/>
    <m/>
    <m/>
    <m/>
    <m/>
    <m/>
    <m/>
    <m/>
    <m/>
    <m/>
    <m/>
    <m/>
    <m/>
    <m/>
    <m/>
    <m/>
    <m/>
    <m/>
    <m/>
    <m/>
    <m/>
    <m/>
    <m/>
    <m/>
    <m/>
    <m/>
    <m/>
  </r>
  <r>
    <s v="111 - Canada"/>
    <d v="2024-10-01T00:00:00"/>
    <s v="OCTOBER"/>
    <n v="2024"/>
    <x v="0"/>
    <s v="Deposited"/>
    <s v="PMT-S130-44262"/>
    <s v=""/>
    <s v="CAD"/>
    <n v="-13625.94"/>
    <n v="-9972.1440000000002"/>
    <n v="9972.1440000000002"/>
    <n v="-91511.6"/>
    <s v="DUMMY CUSTOMER_CASHAPPS 111 - Canada"/>
    <s v=""/>
    <s v="RBC payment - FUNDS TRANSFER CR TT CREDIT ALLIA"/>
    <m/>
    <m/>
    <m/>
    <m/>
    <m/>
    <m/>
    <m/>
    <m/>
    <m/>
    <m/>
    <m/>
    <m/>
    <m/>
    <m/>
    <m/>
    <m/>
    <m/>
    <m/>
    <m/>
    <m/>
    <m/>
    <m/>
    <m/>
    <m/>
    <m/>
    <m/>
    <m/>
    <m/>
    <m/>
    <m/>
    <m/>
    <m/>
    <m/>
    <m/>
    <m/>
    <m/>
  </r>
  <r>
    <s v="111 - Canada"/>
    <d v="2023-09-15T00:00:00"/>
    <s v="SEPTEMBER"/>
    <n v="2023"/>
    <x v="0"/>
    <s v="Deposited"/>
    <s v="PMT-S130-40790"/>
    <s v=""/>
    <s v="CAD"/>
    <n v="-13581.43"/>
    <n v="-9939.57"/>
    <n v="9939.57"/>
    <n v="-9939.57"/>
    <s v="Réseau de Transport de Longueuil (RTL Longueuil )"/>
    <s v=""/>
    <s v="RTL MSP EF0160006100824168476747"/>
    <m/>
    <m/>
    <m/>
    <m/>
    <m/>
    <m/>
    <m/>
    <m/>
    <m/>
    <m/>
    <m/>
    <m/>
    <m/>
    <m/>
    <m/>
    <m/>
    <m/>
    <m/>
    <m/>
    <m/>
    <m/>
    <m/>
    <m/>
    <m/>
    <m/>
    <m/>
    <m/>
    <m/>
    <m/>
    <m/>
    <m/>
    <m/>
    <m/>
    <m/>
    <m/>
    <m/>
  </r>
  <r>
    <s v="111 - Canada"/>
    <d v="2022-10-20T00:00:00"/>
    <s v="OCTOBER"/>
    <n v="2022"/>
    <x v="0"/>
    <s v="Deposited"/>
    <s v="PMT-S130-37439"/>
    <s v=""/>
    <s v="CAD"/>
    <n v="-10774.31"/>
    <n v="-7885.1790000000001"/>
    <n v="7885.1790000000001"/>
    <n v="-7885.1790000000001"/>
    <s v="Telus Health"/>
    <s v=""/>
    <s v="012588888708AQT MSP EF0160001001679000001402-IN-S130-441322 got credited &amp; paid"/>
    <m/>
    <m/>
    <m/>
    <m/>
    <m/>
    <m/>
    <m/>
    <m/>
    <m/>
    <m/>
    <m/>
    <m/>
    <m/>
    <m/>
    <m/>
    <m/>
    <m/>
    <m/>
    <m/>
    <m/>
    <m/>
    <m/>
    <m/>
    <m/>
    <m/>
    <m/>
    <m/>
    <m/>
    <m/>
    <m/>
    <m/>
    <m/>
    <m/>
    <m/>
    <m/>
    <m/>
  </r>
  <r>
    <s v="111 - Canada"/>
    <d v="2022-05-02T00:00:00"/>
    <s v="MAY"/>
    <n v="2022"/>
    <x v="0"/>
    <s v="Deposited"/>
    <s v="PMT-S130-35709"/>
    <s v=""/>
    <s v="CAD"/>
    <n v="-10735"/>
    <n v="-7856.41"/>
    <n v="7856.41"/>
    <n v="-7856.41"/>
    <s v="Tilray"/>
    <s v=""/>
    <s v="lockbox"/>
    <m/>
    <m/>
    <m/>
    <m/>
    <m/>
    <m/>
    <m/>
    <m/>
    <m/>
    <m/>
    <m/>
    <m/>
    <m/>
    <m/>
    <m/>
    <m/>
    <m/>
    <m/>
    <m/>
    <m/>
    <m/>
    <m/>
    <m/>
    <m/>
    <m/>
    <m/>
    <m/>
    <m/>
    <m/>
    <m/>
    <m/>
    <m/>
    <m/>
    <m/>
    <m/>
    <m/>
  </r>
  <r>
    <s v="111 - Canada"/>
    <d v="2024-06-03T00:00:00"/>
    <s v="JUNE"/>
    <n v="2024"/>
    <x v="0"/>
    <s v="Deposited"/>
    <s v="PMT-S130-43381"/>
    <s v=""/>
    <s v="CAD"/>
    <n v="-10636.09"/>
    <n v="-7784.0219999999999"/>
    <n v="7784.0219999999999"/>
    <n v="-91511.6"/>
    <s v="DUMMY CUSTOMER_CASHAPPS 111 - Canada"/>
    <s v=""/>
    <s v="RBC payment - 4/8/24 FUNDS TRANSFER CR TT BIRD TREASUR"/>
    <m/>
    <m/>
    <m/>
    <m/>
    <m/>
    <m/>
    <m/>
    <m/>
    <m/>
    <m/>
    <m/>
    <m/>
    <m/>
    <m/>
    <m/>
    <m/>
    <m/>
    <m/>
    <m/>
    <m/>
    <m/>
    <m/>
    <m/>
    <m/>
    <m/>
    <m/>
    <m/>
    <m/>
    <m/>
    <m/>
    <m/>
    <m/>
    <m/>
    <m/>
    <m/>
    <m/>
  </r>
  <r>
    <s v="111 - Canada"/>
    <d v="2026-03-05T00:00:00"/>
    <s v="MARCH"/>
    <n v="2026"/>
    <x v="0"/>
    <s v="Deposited"/>
    <s v="PMT-S130-47858"/>
    <s v="IN-S130-455520"/>
    <s v="CAD"/>
    <n v="-100341.4"/>
    <n v="-73434.854000000007"/>
    <n v="7456.0659999999998"/>
    <n v="-7456.0659999999998"/>
    <s v="Lululemon Athletica Canada Inc"/>
    <s v="Jordan Irvine"/>
    <s v="LULULEMON ATHLETICA CANADA INC."/>
    <m/>
    <m/>
    <m/>
    <m/>
    <m/>
    <m/>
    <m/>
    <m/>
    <m/>
    <m/>
    <m/>
    <m/>
    <m/>
    <m/>
    <m/>
    <m/>
    <m/>
    <m/>
    <m/>
    <m/>
    <m/>
    <m/>
    <m/>
    <m/>
    <m/>
    <m/>
    <m/>
    <m/>
    <m/>
    <m/>
    <m/>
    <m/>
    <m/>
    <m/>
    <m/>
    <m/>
  </r>
  <r>
    <s v="111 - Canada"/>
    <d v="2022-11-30T00:00:00"/>
    <s v="NOVEMBER"/>
    <n v="2022"/>
    <x v="0"/>
    <s v="Deposited"/>
    <s v="PMT-S130-37873"/>
    <s v="IN-S130-444455"/>
    <s v="CAD"/>
    <n v="-9802.75"/>
    <n v="-7174.143"/>
    <n v="6698.6229999999996"/>
    <n v="-6698.6229999999996"/>
    <s v="Astrazeneca Canada Inc"/>
    <s v="Frida Emri"/>
    <s v="ASTRAZENECA CAN MSP EF0160003008615316917328"/>
    <m/>
    <m/>
    <m/>
    <m/>
    <m/>
    <m/>
    <m/>
    <m/>
    <m/>
    <m/>
    <m/>
    <m/>
    <m/>
    <m/>
    <m/>
    <m/>
    <m/>
    <m/>
    <m/>
    <m/>
    <m/>
    <m/>
    <m/>
    <m/>
    <m/>
    <m/>
    <m/>
    <m/>
    <m/>
    <m/>
    <m/>
    <m/>
    <m/>
    <m/>
    <m/>
    <m/>
  </r>
  <r>
    <s v="111 - Canada"/>
    <d v="2023-07-27T00:00:00"/>
    <s v="JULY"/>
    <n v="2023"/>
    <x v="0"/>
    <s v="Deposited"/>
    <s v="PMT-S130-40348"/>
    <s v=""/>
    <s v="CAD"/>
    <n v="-8638.56"/>
    <n v="-6322.13"/>
    <n v="6322.13"/>
    <n v="-6322.13"/>
    <s v="DP World"/>
    <s v="Frida Emri"/>
    <s v="DP World (Canad INS EF0160002208761829087989"/>
    <m/>
    <m/>
    <m/>
    <m/>
    <m/>
    <m/>
    <m/>
    <m/>
    <m/>
    <m/>
    <m/>
    <m/>
    <m/>
    <m/>
    <m/>
    <m/>
    <m/>
    <m/>
    <m/>
    <m/>
    <m/>
    <m/>
    <m/>
    <m/>
    <m/>
    <m/>
    <m/>
    <m/>
    <m/>
    <m/>
    <m/>
    <m/>
    <m/>
    <m/>
    <m/>
    <m/>
  </r>
  <r>
    <s v="111 - Canada"/>
    <d v="2025-11-26T00:00:00"/>
    <s v="NOVEMBER"/>
    <n v="2025"/>
    <x v="0"/>
    <s v="Not Deposited"/>
    <s v="PMT-S130-47072"/>
    <s v=""/>
    <s v="CAD"/>
    <n v="-5750"/>
    <n v="-4208.1379999999999"/>
    <n v="4208.1379999999999"/>
    <n v="-4208.1379999999999"/>
    <s v="Maple Leafs Sports &amp; Entertainment - MLSE"/>
    <s v="Jordan Irvine"/>
    <s v="Account Payable Pmt MLS LTD"/>
    <m/>
    <m/>
    <m/>
    <m/>
    <m/>
    <m/>
    <m/>
    <m/>
    <m/>
    <m/>
    <m/>
    <m/>
    <m/>
    <m/>
    <m/>
    <m/>
    <m/>
    <m/>
    <m/>
    <m/>
    <m/>
    <m/>
    <m/>
    <m/>
    <m/>
    <m/>
    <m/>
    <m/>
    <m/>
    <m/>
    <m/>
    <m/>
    <m/>
    <m/>
    <m/>
    <m/>
  </r>
  <r>
    <s v="111 - Canada"/>
    <d v="2022-12-05T00:00:00"/>
    <s v="DECEMBER"/>
    <n v="2022"/>
    <x v="0"/>
    <s v="Deposited"/>
    <s v="PMT-S130-37935"/>
    <s v="PMT-S130-37935"/>
    <s v="CAD"/>
    <n v="-3955"/>
    <n v="-2894.4670000000001"/>
    <n v="2894.4670000000001"/>
    <n v="-2894.4670000000001"/>
    <s v="Celiac Canada"/>
    <s v=""/>
    <s v="THE CANADIAN CE AP EF0160002208134539496580"/>
    <m/>
    <m/>
    <m/>
    <m/>
    <m/>
    <m/>
    <m/>
    <m/>
    <m/>
    <m/>
    <m/>
    <m/>
    <m/>
    <m/>
    <m/>
    <m/>
    <m/>
    <m/>
    <m/>
    <m/>
    <m/>
    <m/>
    <m/>
    <m/>
    <m/>
    <m/>
    <m/>
    <m/>
    <m/>
    <m/>
    <m/>
    <m/>
    <m/>
    <m/>
    <m/>
    <m/>
  </r>
  <r>
    <s v="111 - Canada"/>
    <d v="2026-04-08T00:00:00"/>
    <s v="APRIL"/>
    <n v="2026"/>
    <x v="0"/>
    <s v="Deposited"/>
    <s v="PMT-S130-48077"/>
    <s v="IN-S130-455935"/>
    <s v="CAD"/>
    <n v="-13701.25"/>
    <n v="-10027.26"/>
    <n v="2104.6909999999998"/>
    <n v="-2104.6909999999998"/>
    <s v="Weber Shandwick"/>
    <s v="Frida Emri"/>
    <s v="ACH: Weber Shandwick  WEBER SHANDWICK CAN RE:MELTWATER NEWS CANADA INC"/>
    <m/>
    <m/>
    <m/>
    <m/>
    <m/>
    <m/>
    <m/>
    <m/>
    <m/>
    <m/>
    <m/>
    <m/>
    <m/>
    <m/>
    <m/>
    <m/>
    <m/>
    <m/>
    <m/>
    <m/>
    <m/>
    <m/>
    <m/>
    <m/>
    <m/>
    <m/>
    <m/>
    <m/>
    <m/>
    <m/>
    <m/>
    <m/>
    <m/>
    <m/>
    <m/>
    <m/>
  </r>
  <r>
    <s v="111 - Canada"/>
    <d v="2023-01-06T00:00:00"/>
    <s v="JANUARY"/>
    <n v="2023"/>
    <x v="0"/>
    <s v="Deposited"/>
    <s v="PMT-S130-38266"/>
    <s v=""/>
    <s v="CAD"/>
    <n v="-2475.21"/>
    <n v="-1811.482"/>
    <n v="1811.482"/>
    <n v="26877.038"/>
    <s v="City of Richmond"/>
    <s v="Frida Emri"/>
    <s v="CITYOFRICHMOND AP EF0160002208335637701949"/>
    <m/>
    <m/>
    <m/>
    <m/>
    <m/>
    <m/>
    <m/>
    <m/>
    <m/>
    <m/>
    <m/>
    <m/>
    <m/>
    <m/>
    <m/>
    <m/>
    <m/>
    <m/>
    <m/>
    <m/>
    <m/>
    <m/>
    <m/>
    <m/>
    <m/>
    <m/>
    <m/>
    <m/>
    <m/>
    <m/>
    <m/>
    <m/>
    <m/>
    <m/>
    <m/>
    <m/>
  </r>
  <r>
    <s v="111 - Canada"/>
    <d v="2025-12-04T00:00:00"/>
    <s v="DECEMBER"/>
    <n v="2025"/>
    <x v="0"/>
    <s v="Deposited"/>
    <s v="PMT-S130-47145"/>
    <s v="IN-S130-454756"/>
    <s v="CAD"/>
    <n v="-8335.69"/>
    <n v="-6100.4750000000004"/>
    <n v="1682.8889999999999"/>
    <n v="-1682.8889999999999"/>
    <s v="ABB Electrification Inc."/>
    <s v=""/>
    <s v="ACH: ABB Inc  ABB INC RE:MELTWATER NEWS CANADA INC"/>
    <m/>
    <m/>
    <m/>
    <m/>
    <m/>
    <m/>
    <m/>
    <m/>
    <m/>
    <m/>
    <m/>
    <m/>
    <m/>
    <m/>
    <m/>
    <m/>
    <m/>
    <m/>
    <m/>
    <m/>
    <m/>
    <m/>
    <m/>
    <m/>
    <m/>
    <m/>
    <m/>
    <m/>
    <m/>
    <m/>
    <m/>
    <m/>
    <m/>
    <m/>
    <m/>
    <m/>
  </r>
  <r>
    <s v="111 - Canada"/>
    <d v="2022-04-08T00:00:00"/>
    <s v="APRIL"/>
    <n v="2022"/>
    <x v="0"/>
    <s v="Deposited"/>
    <s v="PMT-S130-35445"/>
    <s v="IN-S130-442685"/>
    <s v="CAD"/>
    <n v="-29893.5"/>
    <n v="-21877.558000000001"/>
    <n v="1472.5260000000001"/>
    <n v="-1472.5260000000001"/>
    <s v="CISSS de la Montérégie Est"/>
    <s v=""/>
    <s v="CISSSME MSP EF0160006108299867361615"/>
    <m/>
    <m/>
    <m/>
    <m/>
    <m/>
    <m/>
    <m/>
    <m/>
    <m/>
    <m/>
    <m/>
    <m/>
    <m/>
    <m/>
    <m/>
    <m/>
    <m/>
    <m/>
    <m/>
    <m/>
    <m/>
    <m/>
    <m/>
    <m/>
    <m/>
    <m/>
    <m/>
    <m/>
    <m/>
    <m/>
    <m/>
    <m/>
    <m/>
    <m/>
    <m/>
    <m/>
  </r>
  <r>
    <s v="111 - Canada"/>
    <d v="2026-03-19T00:00:00"/>
    <s v="MARCH"/>
    <n v="2026"/>
    <x v="0"/>
    <s v="Deposited"/>
    <s v="PMT-S130-47941"/>
    <s v=""/>
    <s v="CAD"/>
    <n v="-1582"/>
    <n v="-1157.787"/>
    <n v="1157.787"/>
    <n v="-1157.787"/>
    <s v="Salt Experiential Commerce, Inc"/>
    <s v=""/>
    <s v="Salt Experienti"/>
    <m/>
    <m/>
    <m/>
    <m/>
    <m/>
    <m/>
    <m/>
    <m/>
    <m/>
    <m/>
    <m/>
    <m/>
    <m/>
    <m/>
    <m/>
    <m/>
    <m/>
    <m/>
    <m/>
    <m/>
    <m/>
    <m/>
    <m/>
    <m/>
    <m/>
    <m/>
    <m/>
    <m/>
    <m/>
    <m/>
    <m/>
    <m/>
    <m/>
    <m/>
    <m/>
    <m/>
  </r>
  <r>
    <s v="111 - Canada"/>
    <d v="2022-12-20T00:00:00"/>
    <s v="DECEMBER"/>
    <n v="2022"/>
    <x v="0"/>
    <s v="Deposited"/>
    <s v="PMT-S130-38101"/>
    <s v=""/>
    <s v="CAD"/>
    <n v="-1271.25"/>
    <n v="-930.36400000000003"/>
    <n v="930.36400000000003"/>
    <n v="-930.36400000000003"/>
    <s v="Ottawa Jazz Festival"/>
    <s v="Jordan Irvine"/>
    <s v="Ottawa Jazz Fes MSP EF0160003008657314025383"/>
    <m/>
    <m/>
    <m/>
    <m/>
    <m/>
    <m/>
    <m/>
    <m/>
    <m/>
    <m/>
    <m/>
    <m/>
    <m/>
    <m/>
    <m/>
    <m/>
    <m/>
    <m/>
    <m/>
    <m/>
    <m/>
    <m/>
    <m/>
    <m/>
    <m/>
    <m/>
    <m/>
    <m/>
    <m/>
    <m/>
    <m/>
    <m/>
    <m/>
    <m/>
    <m/>
    <m/>
  </r>
  <r>
    <s v="111 - Canada"/>
    <d v="2024-06-03T00:00:00"/>
    <s v="JUNE"/>
    <n v="2024"/>
    <x v="0"/>
    <s v="Deposited"/>
    <s v="PMT-S130-43382"/>
    <s v=""/>
    <s v="CAD"/>
    <n v="-1112.08"/>
    <n v="-813.87599999999998"/>
    <n v="813.87599999999998"/>
    <n v="-91511.6"/>
    <s v="DUMMY CUSTOMER_CASHAPPS 111 - Canada"/>
    <s v=""/>
    <s v="RBC payment -4/8/24 FUNDS TRANSFER CR TT FORM ATHLETI"/>
    <m/>
    <m/>
    <m/>
    <m/>
    <m/>
    <m/>
    <m/>
    <m/>
    <m/>
    <m/>
    <m/>
    <m/>
    <m/>
    <m/>
    <m/>
    <m/>
    <m/>
    <m/>
    <m/>
    <m/>
    <m/>
    <m/>
    <m/>
    <m/>
    <m/>
    <m/>
    <m/>
    <m/>
    <m/>
    <m/>
    <m/>
    <m/>
    <m/>
    <m/>
    <m/>
    <m/>
  </r>
  <r>
    <s v="111 - Canada"/>
    <d v="2025-05-28T00:00:00"/>
    <s v="MAY"/>
    <n v="2025"/>
    <x v="0"/>
    <s v="Deposited"/>
    <s v="PMT-S130-45900"/>
    <s v=""/>
    <s v="CAD"/>
    <n v="-923"/>
    <n v="-675.49800000000005"/>
    <n v="675.49800000000005"/>
    <n v="-91511.6"/>
    <s v="DUMMY CUSTOMER_CASHAPPS 111 - Canada"/>
    <s v=""/>
    <s v="Funds transfer credit TT PHEENIX USH"/>
    <m/>
    <m/>
    <m/>
    <m/>
    <m/>
    <m/>
    <m/>
    <m/>
    <m/>
    <m/>
    <m/>
    <m/>
    <m/>
    <m/>
    <m/>
    <m/>
    <m/>
    <m/>
    <m/>
    <m/>
    <m/>
    <m/>
    <m/>
    <m/>
    <m/>
    <m/>
    <m/>
    <m/>
    <m/>
    <m/>
    <m/>
    <m/>
    <m/>
    <m/>
    <m/>
    <m/>
  </r>
  <r>
    <s v="111 - Canada"/>
    <d v="2025-11-20T00:00:00"/>
    <s v="NOVEMBER"/>
    <n v="2025"/>
    <x v="0"/>
    <s v="Deposited"/>
    <s v="PMT-S130-47032"/>
    <s v=""/>
    <s v="CAD"/>
    <n v="-768.4"/>
    <n v="-562.35400000000004"/>
    <n v="562.35400000000004"/>
    <n v="-562.35400000000004"/>
    <s v="Skyjack"/>
    <s v=""/>
    <s v="Lockbox"/>
    <m/>
    <m/>
    <m/>
    <m/>
    <m/>
    <m/>
    <m/>
    <m/>
    <m/>
    <m/>
    <m/>
    <m/>
    <m/>
    <m/>
    <m/>
    <m/>
    <m/>
    <m/>
    <m/>
    <m/>
    <m/>
    <m/>
    <m/>
    <m/>
    <m/>
    <m/>
    <m/>
    <m/>
    <m/>
    <m/>
    <m/>
    <m/>
    <m/>
    <m/>
    <m/>
    <m/>
  </r>
  <r>
    <s v="111 - Canada"/>
    <d v="2023-10-19T00:00:00"/>
    <s v="OCTOBER"/>
    <n v="2023"/>
    <x v="0"/>
    <s v="Deposited"/>
    <s v="PMT-S130-41110"/>
    <s v=""/>
    <s v="CAD"/>
    <n v="-600"/>
    <n v="-439.11"/>
    <n v="439.11"/>
    <n v="-439.11"/>
    <s v="QSL"/>
    <s v=""/>
    <s v="CAQ MSP EF0160006100981189087805"/>
    <m/>
    <m/>
    <m/>
    <m/>
    <m/>
    <m/>
    <m/>
    <m/>
    <m/>
    <m/>
    <m/>
    <m/>
    <m/>
    <m/>
    <m/>
    <m/>
    <m/>
    <m/>
    <m/>
    <m/>
    <m/>
    <m/>
    <m/>
    <m/>
    <m/>
    <m/>
    <m/>
    <m/>
    <m/>
    <m/>
    <m/>
    <m/>
    <m/>
    <m/>
    <m/>
    <m/>
  </r>
  <r>
    <s v="111 - Canada"/>
    <d v="2024-12-04T00:00:00"/>
    <s v="DECEMBER"/>
    <n v="2024"/>
    <x v="0"/>
    <s v="Deposited"/>
    <s v="PMT-S130-44580"/>
    <s v="IN-S130-452247"/>
    <s v="CAD"/>
    <n v="-1895.04"/>
    <n v="-1386.885"/>
    <n v="403.279"/>
    <n v="-403.279"/>
    <s v="The Mark Anthony Group of Companies"/>
    <s v=""/>
    <s v="ACH CONCENTRATION CREDIT ACH CASH CONCENTRATION MARK ANTHONY GRO-AP PAYMENT MARK ANTH AP PAYMENT 00078186"/>
    <m/>
    <m/>
    <m/>
    <m/>
    <m/>
    <m/>
    <m/>
    <m/>
    <m/>
    <m/>
    <m/>
    <m/>
    <m/>
    <m/>
    <m/>
    <m/>
    <m/>
    <m/>
    <m/>
    <m/>
    <m/>
    <m/>
    <m/>
    <m/>
    <m/>
    <m/>
    <m/>
    <m/>
    <m/>
    <m/>
    <m/>
    <m/>
    <m/>
    <m/>
    <m/>
    <m/>
  </r>
  <r>
    <s v="111 - Canada"/>
    <d v="2023-03-31T00:00:00"/>
    <s v="MARCH"/>
    <n v="2023"/>
    <x v="0"/>
    <s v="Deposited"/>
    <s v="PMT-S130-39183"/>
    <s v="IN-S130-446514"/>
    <s v="CAD"/>
    <n v="-1035.82"/>
    <n v="-758.06500000000005"/>
    <n v="379.03199999999998"/>
    <n v="-379.03199999999998"/>
    <s v="Parachute"/>
    <s v="Frida Emri"/>
    <s v="PARACHUTE LEADE BPY EF0160004208924881147576"/>
    <m/>
    <m/>
    <m/>
    <m/>
    <m/>
    <m/>
    <m/>
    <m/>
    <m/>
    <m/>
    <m/>
    <m/>
    <m/>
    <m/>
    <m/>
    <m/>
    <m/>
    <m/>
    <m/>
    <m/>
    <m/>
    <m/>
    <m/>
    <m/>
    <m/>
    <m/>
    <m/>
    <m/>
    <m/>
    <m/>
    <m/>
    <m/>
    <m/>
    <m/>
    <m/>
    <m/>
  </r>
  <r>
    <s v="111 - Canada"/>
    <d v="2026-04-01T00:00:00"/>
    <s v="APRIL"/>
    <n v="2026"/>
    <x v="0"/>
    <s v="Deposited"/>
    <s v="PMT-S130-48041"/>
    <s v="IN-S130-456017"/>
    <s v="CAD"/>
    <n v="-6934.09"/>
    <n v="-5074.7139999999999"/>
    <n v="220.631"/>
    <n v="-220.631"/>
    <s v="Wellington Altus Private Wealth"/>
    <s v=""/>
    <s v="ACH: WELLINGTONALTUS  WELLINGTONALTUSPRIVATEWEALTH RE:MELTWATER NEWS CANADA INC"/>
    <m/>
    <m/>
    <m/>
    <m/>
    <m/>
    <m/>
    <m/>
    <m/>
    <m/>
    <m/>
    <m/>
    <m/>
    <m/>
    <m/>
    <m/>
    <m/>
    <m/>
    <m/>
    <m/>
    <m/>
    <m/>
    <m/>
    <m/>
    <m/>
    <m/>
    <m/>
    <m/>
    <m/>
    <m/>
    <m/>
    <m/>
    <m/>
    <m/>
    <m/>
    <m/>
    <m/>
  </r>
  <r>
    <s v="111 - Canada"/>
    <d v="2023-05-19T00:00:00"/>
    <s v="MAY"/>
    <n v="2023"/>
    <x v="0"/>
    <s v="Deposited"/>
    <s v="PMT-S130-39733"/>
    <s v=""/>
    <s v="CAD"/>
    <n v="-297.10000000000002"/>
    <n v="-217.43299999999999"/>
    <n v="217.43299999999999"/>
    <n v="-91511.6"/>
    <s v="DUMMY CUSTOMER_CASHAPPS 111 - Canada"/>
    <s v=""/>
    <s v="CANADA FED EF0160177002542776000011"/>
    <m/>
    <m/>
    <m/>
    <m/>
    <m/>
    <m/>
    <m/>
    <m/>
    <m/>
    <m/>
    <m/>
    <m/>
    <m/>
    <m/>
    <m/>
    <m/>
    <m/>
    <m/>
    <m/>
    <m/>
    <m/>
    <m/>
    <m/>
    <m/>
    <m/>
    <m/>
    <m/>
    <m/>
    <m/>
    <m/>
    <m/>
    <m/>
    <m/>
    <m/>
    <m/>
    <m/>
  </r>
  <r>
    <s v="111 - Canada"/>
    <d v="2023-02-08T00:00:00"/>
    <s v="FEBRUARY"/>
    <n v="2023"/>
    <x v="0"/>
    <s v="Deposited"/>
    <s v="PMT-S130-38661"/>
    <s v=""/>
    <s v="CAD"/>
    <n v="-259.38"/>
    <n v="-189.827"/>
    <n v="189.827"/>
    <n v="-91511.6"/>
    <s v="DUMMY CUSTOMER_CASHAPPS 111 - Canada"/>
    <s v=""/>
    <s v="CANADA FED EF0160177002328776000061"/>
    <m/>
    <m/>
    <m/>
    <m/>
    <m/>
    <m/>
    <m/>
    <m/>
    <m/>
    <m/>
    <m/>
    <m/>
    <m/>
    <m/>
    <m/>
    <m/>
    <m/>
    <m/>
    <m/>
    <m/>
    <m/>
    <m/>
    <m/>
    <m/>
    <m/>
    <m/>
    <m/>
    <m/>
    <m/>
    <m/>
    <m/>
    <m/>
    <m/>
    <m/>
    <m/>
    <m/>
  </r>
  <r>
    <s v="111 - Canada"/>
    <d v="2022-04-29T00:00:00"/>
    <s v="APRIL"/>
    <n v="2022"/>
    <x v="0"/>
    <s v="Deposited"/>
    <s v="PMT-S130-35659"/>
    <s v=""/>
    <s v="CAD"/>
    <n v="-196.43"/>
    <n v="-143.75700000000001"/>
    <n v="143.75700000000001"/>
    <n v="-91511.6"/>
    <s v="DUMMY CUSTOMER_CASHAPPS 111 - Canada"/>
    <s v=""/>
    <s v="CANADA FED EF0160177001747776000127"/>
    <m/>
    <m/>
    <m/>
    <m/>
    <m/>
    <m/>
    <m/>
    <m/>
    <m/>
    <m/>
    <m/>
    <m/>
    <m/>
    <m/>
    <m/>
    <m/>
    <m/>
    <m/>
    <m/>
    <m/>
    <m/>
    <m/>
    <m/>
    <m/>
    <m/>
    <m/>
    <m/>
    <m/>
    <m/>
    <m/>
    <m/>
    <m/>
    <m/>
    <m/>
    <m/>
    <m/>
  </r>
  <r>
    <s v="111 - Canada"/>
    <d v="2024-07-25T00:00:00"/>
    <s v="JULY"/>
    <n v="2024"/>
    <x v="0"/>
    <s v="Deposited"/>
    <s v="PMT-S130-43590"/>
    <s v=""/>
    <s v="CAD"/>
    <n v="-179.21"/>
    <n v="-131.155"/>
    <n v="131.155"/>
    <n v="-91511.6"/>
    <s v="DUMMY CUSTOMER_CASHAPPS 111 - Canada"/>
    <s v=""/>
    <s v="CANADA FED EF0160177003433776000024"/>
    <m/>
    <m/>
    <m/>
    <m/>
    <m/>
    <m/>
    <m/>
    <m/>
    <m/>
    <m/>
    <m/>
    <m/>
    <m/>
    <m/>
    <m/>
    <m/>
    <m/>
    <m/>
    <m/>
    <m/>
    <m/>
    <m/>
    <m/>
    <m/>
    <m/>
    <m/>
    <m/>
    <m/>
    <m/>
    <m/>
    <m/>
    <m/>
    <m/>
    <m/>
    <m/>
    <m/>
  </r>
  <r>
    <s v="111 - Canada"/>
    <d v="2023-01-31T00:00:00"/>
    <s v="JANUARY"/>
    <n v="2023"/>
    <x v="0"/>
    <s v="Deposited"/>
    <s v="PMT-S130-38566"/>
    <s v="IN-S130-445527"/>
    <s v="CAD"/>
    <n v="-1300.01"/>
    <n v="-951.41200000000003"/>
    <n v="124.41500000000001"/>
    <n v="-124.41500000000001"/>
    <s v="Jason Plotz"/>
    <s v="Frida Emri"/>
    <s v="lockbox"/>
    <m/>
    <m/>
    <m/>
    <m/>
    <m/>
    <m/>
    <m/>
    <m/>
    <m/>
    <m/>
    <m/>
    <m/>
    <m/>
    <m/>
    <m/>
    <m/>
    <m/>
    <m/>
    <m/>
    <m/>
    <m/>
    <m/>
    <m/>
    <m/>
    <m/>
    <m/>
    <m/>
    <m/>
    <m/>
    <m/>
    <m/>
    <m/>
    <m/>
    <m/>
    <m/>
    <m/>
  </r>
  <r>
    <s v="111 - Canada"/>
    <d v="2024-05-21T00:00:00"/>
    <s v="MAY"/>
    <n v="2024"/>
    <x v="0"/>
    <s v="Deposited"/>
    <s v="PMT-S130-43062"/>
    <s v=""/>
    <s v="CAD"/>
    <n v="-157.33000000000001"/>
    <n v="-115.142"/>
    <n v="115.142"/>
    <n v="-91511.6"/>
    <s v="DUMMY CUSTOMER_CASHAPPS 111 - Canada"/>
    <s v=""/>
    <s v="CANADA FED EF0160177003295776000009"/>
    <m/>
    <m/>
    <m/>
    <m/>
    <m/>
    <m/>
    <m/>
    <m/>
    <m/>
    <m/>
    <m/>
    <m/>
    <m/>
    <m/>
    <m/>
    <m/>
    <m/>
    <m/>
    <m/>
    <m/>
    <m/>
    <m/>
    <m/>
    <m/>
    <m/>
    <m/>
    <m/>
    <m/>
    <m/>
    <m/>
    <m/>
    <m/>
    <m/>
    <m/>
    <m/>
    <m/>
  </r>
  <r>
    <s v="111 - Canada"/>
    <d v="2025-12-09T00:00:00"/>
    <s v="DECEMBER"/>
    <n v="2025"/>
    <x v="0"/>
    <s v="Deposited"/>
    <s v="PMT-S130-47176"/>
    <s v=""/>
    <s v="CAD"/>
    <n v="-145.09"/>
    <n v="-106.184"/>
    <n v="106.184"/>
    <n v="-91511.6"/>
    <s v="DUMMY CUSTOMER_CASHAPPS 111 - Canada"/>
    <s v=""/>
    <s v="ACH: CANADA  CANADA RE:MELTWATER NEWS CANADA INC"/>
    <m/>
    <m/>
    <m/>
    <m/>
    <m/>
    <m/>
    <m/>
    <m/>
    <m/>
    <m/>
    <m/>
    <m/>
    <m/>
    <m/>
    <m/>
    <m/>
    <m/>
    <m/>
    <m/>
    <m/>
    <m/>
    <m/>
    <m/>
    <m/>
    <m/>
    <m/>
    <m/>
    <m/>
    <m/>
    <m/>
    <m/>
    <m/>
    <m/>
    <m/>
    <m/>
    <m/>
  </r>
  <r>
    <s v="111 - Canada"/>
    <d v="2025-06-20T00:00:00"/>
    <s v="JUNE"/>
    <n v="2025"/>
    <x v="0"/>
    <s v="Deposited"/>
    <s v="PMT-S130-46077"/>
    <s v=""/>
    <s v="CAD"/>
    <n v="-133.22999999999999"/>
    <n v="-97.504000000000005"/>
    <n v="97.504000000000005"/>
    <n v="-91511.6"/>
    <s v="DUMMY CUSTOMER_CASHAPPS 111 - Canada"/>
    <s v=""/>
    <s v="ACH: CANADA  CANADA RE:MELTWATER NEWS CANADA INC"/>
    <m/>
    <m/>
    <m/>
    <m/>
    <m/>
    <m/>
    <m/>
    <m/>
    <m/>
    <m/>
    <m/>
    <m/>
    <m/>
    <m/>
    <m/>
    <m/>
    <m/>
    <m/>
    <m/>
    <m/>
    <m/>
    <m/>
    <m/>
    <m/>
    <m/>
    <m/>
    <m/>
    <m/>
    <m/>
    <m/>
    <m/>
    <m/>
    <m/>
    <m/>
    <m/>
    <m/>
  </r>
  <r>
    <s v="111 - Canada"/>
    <d v="2025-05-16T00:00:00"/>
    <s v="MAY"/>
    <n v="2025"/>
    <x v="0"/>
    <s v="Deposited"/>
    <s v="PMT-S130-45833"/>
    <s v=""/>
    <s v="CAD"/>
    <n v="-109.91"/>
    <n v="-80.438000000000002"/>
    <n v="80.438000000000002"/>
    <n v="-91511.6"/>
    <s v="DUMMY CUSTOMER_CASHAPPS 111 - Canada"/>
    <s v=""/>
    <s v="Federal Payment Canada"/>
    <m/>
    <m/>
    <m/>
    <m/>
    <m/>
    <m/>
    <m/>
    <m/>
    <m/>
    <m/>
    <m/>
    <m/>
    <m/>
    <m/>
    <m/>
    <m/>
    <m/>
    <m/>
    <m/>
    <m/>
    <m/>
    <m/>
    <m/>
    <m/>
    <m/>
    <m/>
    <m/>
    <m/>
    <m/>
    <m/>
    <m/>
    <m/>
    <m/>
    <m/>
    <m/>
    <m/>
  </r>
  <r>
    <s v="111 - Canada"/>
    <d v="2023-10-30T00:00:00"/>
    <s v="OCTOBER"/>
    <n v="2023"/>
    <x v="0"/>
    <s v="Deposited"/>
    <s v="PMT-S130-41190"/>
    <s v=""/>
    <s v="CAD"/>
    <n v="-104.5"/>
    <n v="-76.477999999999994"/>
    <n v="76.477999999999994"/>
    <n v="-91511.6"/>
    <s v="DUMMY CUSTOMER_CASHAPPS 111 - Canada"/>
    <s v=""/>
    <s v="CANADA FED EF0160177002876776000045"/>
    <m/>
    <m/>
    <m/>
    <m/>
    <m/>
    <m/>
    <m/>
    <m/>
    <m/>
    <m/>
    <m/>
    <m/>
    <m/>
    <m/>
    <m/>
    <m/>
    <m/>
    <m/>
    <m/>
    <m/>
    <m/>
    <m/>
    <m/>
    <m/>
    <m/>
    <m/>
    <m/>
    <m/>
    <m/>
    <m/>
    <m/>
    <m/>
    <m/>
    <m/>
    <m/>
    <m/>
  </r>
  <r>
    <s v="111 - Canada"/>
    <d v="2025-07-03T00:00:00"/>
    <s v="JULY"/>
    <n v="2025"/>
    <x v="0"/>
    <s v="Deposited"/>
    <s v="PMT-S130-46137"/>
    <s v=""/>
    <s v="CAD"/>
    <n v="-71.8"/>
    <n v="-52.546999999999997"/>
    <n v="52.546999999999997"/>
    <n v="-91511.6"/>
    <s v="DUMMY CUSTOMER_CASHAPPS 111 - Canada"/>
    <s v=""/>
    <s v="ACH: CANADA  CANADA RE:MELTWATER NEWS CANADA INC"/>
    <m/>
    <m/>
    <m/>
    <m/>
    <m/>
    <m/>
    <m/>
    <m/>
    <m/>
    <m/>
    <m/>
    <m/>
    <m/>
    <m/>
    <m/>
    <m/>
    <m/>
    <m/>
    <m/>
    <m/>
    <m/>
    <m/>
    <m/>
    <m/>
    <m/>
    <m/>
    <m/>
    <m/>
    <m/>
    <m/>
    <m/>
    <m/>
    <m/>
    <m/>
    <m/>
    <m/>
  </r>
  <r>
    <s v="111 - Canada"/>
    <d v="2025-12-17T00:00:00"/>
    <s v="DECEMBER"/>
    <n v="2025"/>
    <x v="0"/>
    <s v="Deposited"/>
    <s v="PMT-S130-47248"/>
    <s v=""/>
    <s v="CAD"/>
    <n v="-14.7"/>
    <n v="-10.757999999999999"/>
    <n v="10.757999999999999"/>
    <n v="-91511.6"/>
    <s v="DUMMY CUSTOMER_CASHAPPS 111 - Canada"/>
    <s v=""/>
    <s v="ACH: CANADA  CANADA RE:Meltwater News Canada Inc"/>
    <m/>
    <m/>
    <m/>
    <m/>
    <m/>
    <m/>
    <m/>
    <m/>
    <m/>
    <m/>
    <m/>
    <m/>
    <m/>
    <m/>
    <m/>
    <m/>
    <m/>
    <m/>
    <m/>
    <m/>
    <m/>
    <m/>
    <m/>
    <m/>
    <m/>
    <m/>
    <m/>
    <m/>
    <m/>
    <m/>
    <m/>
    <m/>
    <m/>
    <m/>
    <m/>
    <m/>
  </r>
  <r>
    <s v="11C (116) - Meltwater News Canada 2"/>
    <d v="2019-04-01T00:00:00"/>
    <s v="APRIL"/>
    <n v="2019"/>
    <x v="1"/>
    <s v="Deposited"/>
    <s v="PMT-S130C-0298"/>
    <s v="5317"/>
    <s v="CAD"/>
    <n v="-6900"/>
    <n v="-5256.9440000000004"/>
    <n v="5256.9440000000004"/>
    <n v="-5256.9440000000004"/>
    <s v="EON REALITY INC"/>
    <s v=""/>
    <s v="HSBC CAD wire 04/01/19 - For: customer references INV00046691 which is an old invoice 9/14/18."/>
    <m/>
    <m/>
    <m/>
    <m/>
    <m/>
    <m/>
    <m/>
    <m/>
    <m/>
    <m/>
    <m/>
    <m/>
    <m/>
    <m/>
    <m/>
    <m/>
    <m/>
    <m/>
    <m/>
    <m/>
    <m/>
    <m/>
    <m/>
    <m/>
    <m/>
    <m/>
    <m/>
    <m/>
    <m/>
    <m/>
    <m/>
    <m/>
    <m/>
    <m/>
    <m/>
    <m/>
  </r>
  <r>
    <s v="11C (116) - Meltwater News Canada 2"/>
    <d v="2019-09-20T00:00:00"/>
    <s v="SEPTEMBER"/>
    <n v="2019"/>
    <x v="1"/>
    <s v="Deposited"/>
    <s v="PMT-S130C-0769"/>
    <s v="IN-S130C-0669"/>
    <s v="CAD"/>
    <n v="-40383.4"/>
    <n v="-30767.143"/>
    <n v="5127.8450000000003"/>
    <n v="-5127.8450000000003"/>
    <s v="Maple Leaf Sports &amp; Entertainment Ltd."/>
    <s v="Marta Boytcheva"/>
    <s v="HSBC CAD 9/20/19 - Customer overpaid an adjusted invoice. Marta said to leave over payment unapplied"/>
    <m/>
    <m/>
    <m/>
    <m/>
    <m/>
    <m/>
    <m/>
    <m/>
    <m/>
    <m/>
    <m/>
    <m/>
    <m/>
    <m/>
    <m/>
    <m/>
    <m/>
    <m/>
    <m/>
    <m/>
    <m/>
    <m/>
    <m/>
    <m/>
    <m/>
    <m/>
    <m/>
    <m/>
    <m/>
    <m/>
    <m/>
    <m/>
    <m/>
    <m/>
    <m/>
    <m/>
  </r>
  <r>
    <s v="11C (116) - Meltwater News Canada 2"/>
    <d v="2019-01-28T00:00:00"/>
    <s v="JANUARY"/>
    <n v="2019"/>
    <x v="1"/>
    <s v="Deposited"/>
    <s v="PMT-S130C-0069"/>
    <s v="IN-S130C-0059"/>
    <s v="CAD"/>
    <n v="-4348.75"/>
    <n v="-3313.2080000000001"/>
    <n v="2981.8910000000001"/>
    <n v="-2981.8910000000001"/>
    <s v="VIA Rail"/>
    <s v="Marta Boytcheva"/>
    <s v=""/>
    <m/>
    <m/>
    <m/>
    <m/>
    <m/>
    <m/>
    <m/>
    <m/>
    <m/>
    <m/>
    <m/>
    <m/>
    <m/>
    <m/>
    <m/>
    <m/>
    <m/>
    <m/>
    <m/>
    <m/>
    <m/>
    <m/>
    <m/>
    <m/>
    <m/>
    <m/>
    <m/>
    <m/>
    <m/>
    <m/>
    <m/>
    <m/>
    <m/>
    <m/>
    <m/>
    <m/>
  </r>
  <r>
    <s v="11C (116) - Meltwater News Canada 2"/>
    <d v="2019-04-05T00:00:00"/>
    <s v="APRIL"/>
    <n v="2019"/>
    <x v="1"/>
    <s v="Deposited"/>
    <s v="PMT-S130C-0315"/>
    <s v=""/>
    <s v="USD"/>
    <n v="-2450.0100000000002"/>
    <n v="-2493.3150000000001"/>
    <n v="2493.3150000000001"/>
    <n v="-2493.3150000000001"/>
    <s v="Blockstrain Technology Corp"/>
    <s v="Marta Boytcheva"/>
    <s v="HSBC USD wire 04/05/19 - no remit found, unapplied until invoice is confirmed."/>
    <m/>
    <m/>
    <m/>
    <m/>
    <m/>
    <m/>
    <m/>
    <m/>
    <m/>
    <m/>
    <m/>
    <m/>
    <m/>
    <m/>
    <m/>
    <m/>
    <m/>
    <m/>
    <m/>
    <m/>
    <m/>
    <m/>
    <m/>
    <m/>
    <m/>
    <m/>
    <m/>
    <m/>
    <m/>
    <m/>
    <m/>
    <m/>
    <m/>
    <m/>
    <m/>
    <m/>
  </r>
  <r>
    <s v="11C (116) - Meltwater News Canada 2"/>
    <d v="2019-04-16T00:00:00"/>
    <s v="APRIL"/>
    <n v="2019"/>
    <x v="1"/>
    <s v="Deposited"/>
    <s v="PMT-S130C-0353"/>
    <s v=""/>
    <s v="GBP"/>
    <n v="-1770.83"/>
    <n v="-2363.9870000000001"/>
    <n v="2363.9870000000001"/>
    <n v="-2363.9870000000001"/>
    <s v="Semanticum"/>
    <s v="Yangzom Vitali-116"/>
    <s v="Bill Tech"/>
    <m/>
    <m/>
    <m/>
    <m/>
    <m/>
    <m/>
    <m/>
    <m/>
    <m/>
    <m/>
    <m/>
    <m/>
    <m/>
    <m/>
    <m/>
    <m/>
    <m/>
    <m/>
    <m/>
    <m/>
    <m/>
    <m/>
    <m/>
    <m/>
    <m/>
    <m/>
    <m/>
    <m/>
    <m/>
    <m/>
    <m/>
    <m/>
    <m/>
    <m/>
    <m/>
    <m/>
  </r>
  <r>
    <s v="11C (116) - Meltwater News Canada 2"/>
    <d v="2019-04-30T00:00:00"/>
    <s v="APRIL"/>
    <n v="2019"/>
    <x v="1"/>
    <s v="Deposited"/>
    <s v="PMT-S130C-0377"/>
    <s v=""/>
    <s v="USD"/>
    <n v="-1870.84"/>
    <n v="-1917.5809999999999"/>
    <n v="1917.5809999999999"/>
    <n v="-1917.5809999999999"/>
    <s v="Ogilvy Singapore Pte Ltd"/>
    <s v="Yangzom Vitali-116"/>
    <s v="INV0004713 is for Ogilvy Sydney, which is on NS is SA-S130C-EN-1166689 Ogilvy Australia it is Bad Debt recovery"/>
    <m/>
    <m/>
    <m/>
    <m/>
    <m/>
    <m/>
    <m/>
    <m/>
    <m/>
    <m/>
    <m/>
    <m/>
    <m/>
    <m/>
    <m/>
    <m/>
    <m/>
    <m/>
    <m/>
    <m/>
    <m/>
    <m/>
    <m/>
    <m/>
    <m/>
    <m/>
    <m/>
    <m/>
    <m/>
    <m/>
    <m/>
    <m/>
    <m/>
    <m/>
    <m/>
    <m/>
  </r>
  <r>
    <s v="11C (116) - Meltwater News Canada 2"/>
    <d v="2019-01-28T00:00:00"/>
    <s v="JANUARY"/>
    <n v="2019"/>
    <x v="1"/>
    <s v="Deposited"/>
    <s v="PMT-S130C-0077"/>
    <s v="IN-S130C-0283"/>
    <s v="USD"/>
    <n v="-2500"/>
    <n v="-2518.8380000000002"/>
    <n v="1259.4190000000001"/>
    <n v="-1259.4190000000001"/>
    <s v="Carma"/>
    <s v="Yangzom Vitali-116"/>
    <s v=""/>
    <m/>
    <m/>
    <m/>
    <m/>
    <m/>
    <m/>
    <m/>
    <m/>
    <m/>
    <m/>
    <m/>
    <m/>
    <m/>
    <m/>
    <m/>
    <m/>
    <m/>
    <m/>
    <m/>
    <m/>
    <m/>
    <m/>
    <m/>
    <m/>
    <m/>
    <m/>
    <m/>
    <m/>
    <m/>
    <m/>
    <m/>
    <m/>
    <m/>
    <m/>
    <m/>
    <m/>
  </r>
  <r>
    <s v="11C (116) - Meltwater News Canada 2"/>
    <d v="2019-02-21T00:00:00"/>
    <s v="FEBRUARY"/>
    <n v="2019"/>
    <x v="1"/>
    <s v="Deposited"/>
    <s v="PMT-S130C-0177"/>
    <s v="IN-S130C-0252"/>
    <s v="CAD"/>
    <n v="-8236.7800000000007"/>
    <n v="-6275.4049999999997"/>
    <n v="1215.4970000000001"/>
    <n v="-1215.4970000000001"/>
    <s v="Tentree"/>
    <s v="Yangzom Vitali-116"/>
    <s v=""/>
    <m/>
    <m/>
    <m/>
    <m/>
    <m/>
    <m/>
    <m/>
    <m/>
    <m/>
    <m/>
    <m/>
    <m/>
    <m/>
    <m/>
    <m/>
    <m/>
    <m/>
    <m/>
    <m/>
    <m/>
    <m/>
    <m/>
    <m/>
    <m/>
    <m/>
    <m/>
    <m/>
    <m/>
    <m/>
    <m/>
    <m/>
    <m/>
    <m/>
    <m/>
    <m/>
    <m/>
  </r>
  <r>
    <s v="11C (116) - Meltwater News Canada 2"/>
    <d v="2019-02-08T00:00:00"/>
    <s v="FEBRUARY"/>
    <n v="2019"/>
    <x v="1"/>
    <s v="Deposited"/>
    <s v="PMT-S130C-0133"/>
    <s v="IN-S130C-0337"/>
    <s v="USD"/>
    <n v="-3541.25"/>
    <n v="-3593.0529999999999"/>
    <n v="1138.441"/>
    <n v="-1138.441"/>
    <s v="Socialand Media Solutions SMS120220K30"/>
    <s v="Brinda Calori"/>
    <s v="Customer continues to pay all reduced invoices in full"/>
    <m/>
    <m/>
    <m/>
    <m/>
    <m/>
    <m/>
    <m/>
    <m/>
    <m/>
    <m/>
    <m/>
    <m/>
    <m/>
    <m/>
    <m/>
    <m/>
    <m/>
    <m/>
    <m/>
    <m/>
    <m/>
    <m/>
    <m/>
    <m/>
    <m/>
    <m/>
    <m/>
    <m/>
    <m/>
    <m/>
    <m/>
    <m/>
    <m/>
    <m/>
    <m/>
    <m/>
  </r>
  <r>
    <s v="11C (116) - Meltwater News Canada 2"/>
    <d v="2019-03-13T00:00:00"/>
    <s v="MARCH"/>
    <n v="2019"/>
    <x v="1"/>
    <s v="Deposited"/>
    <s v="PMT-S130C-0255"/>
    <s v=""/>
    <s v="CAD"/>
    <n v="-1376.12"/>
    <n v="-1048.433"/>
    <n v="1048.433"/>
    <n v="-1048.433"/>
    <s v="Lowe SSP3"/>
    <s v="Maria Papadopoulos"/>
    <s v="INV00049576 paid on Feb 8th INV00048774 was cleared in December with a payment that was made in Nov and again referenced an invoice that the customer paid in Oct. Collections team will contact customer"/>
    <m/>
    <m/>
    <m/>
    <m/>
    <m/>
    <m/>
    <m/>
    <m/>
    <m/>
    <m/>
    <m/>
    <m/>
    <m/>
    <m/>
    <m/>
    <m/>
    <m/>
    <m/>
    <m/>
    <m/>
    <m/>
    <m/>
    <m/>
    <m/>
    <m/>
    <m/>
    <m/>
    <m/>
    <m/>
    <m/>
    <m/>
    <m/>
    <m/>
    <m/>
    <m/>
    <m/>
  </r>
  <r>
    <s v="11C (116) - Meltwater News Canada 2"/>
    <d v="2019-03-14T00:00:00"/>
    <s v="MARCH"/>
    <n v="2019"/>
    <x v="1"/>
    <s v="Deposited"/>
    <s v="PMT-S130C-0239"/>
    <s v="IN-S130C-0416"/>
    <s v="USD"/>
    <n v="-4767.25"/>
    <n v="-4832.625"/>
    <n v="520.125"/>
    <n v="-520.125"/>
    <s v="Grey Mexico SA de CV"/>
    <s v="Brinda Calori"/>
    <s v="HSBC USD wire 3/14/19 - left unapplied, no inv ref# provided."/>
    <m/>
    <m/>
    <m/>
    <m/>
    <m/>
    <m/>
    <m/>
    <m/>
    <m/>
    <m/>
    <m/>
    <m/>
    <m/>
    <m/>
    <m/>
    <m/>
    <m/>
    <m/>
    <m/>
    <m/>
    <m/>
    <m/>
    <m/>
    <m/>
    <m/>
    <m/>
    <m/>
    <m/>
    <m/>
    <m/>
    <m/>
    <m/>
    <m/>
    <m/>
    <m/>
    <m/>
  </r>
  <r>
    <s v="11C (116) - Meltwater News Canada 2"/>
    <d v="2019-04-03T00:00:00"/>
    <s v="APRIL"/>
    <n v="2019"/>
    <x v="1"/>
    <s v="Deposited"/>
    <s v="PMT-S130C-0295"/>
    <s v=""/>
    <s v="USD"/>
    <n v="-385.45"/>
    <n v="-390.75900000000001"/>
    <n v="390.75900000000001"/>
    <n v="-390.75900000000001"/>
    <s v="PUBLICIS AUSTRALIA PTY LTD."/>
    <s v="Yangzom Vitali-116"/>
    <s v="HSBC USD wire 04/03/19 - unapplied, pending remit to apply"/>
    <m/>
    <m/>
    <m/>
    <m/>
    <m/>
    <m/>
    <m/>
    <m/>
    <m/>
    <m/>
    <m/>
    <m/>
    <m/>
    <m/>
    <m/>
    <m/>
    <m/>
    <m/>
    <m/>
    <m/>
    <m/>
    <m/>
    <m/>
    <m/>
    <m/>
    <m/>
    <m/>
    <m/>
    <m/>
    <m/>
    <m/>
    <m/>
    <m/>
    <m/>
    <m/>
    <m/>
  </r>
  <r>
    <s v="11C (116) - Meltwater News Canada 2"/>
    <d v="2020-02-07T00:00:00"/>
    <s v="FEBRUARY"/>
    <n v="2020"/>
    <x v="1"/>
    <s v="Deposited"/>
    <s v="PMT-S130C-1079"/>
    <s v="IN-S130C-2031"/>
    <s v="USD"/>
    <n v="-1350"/>
    <n v="-1369"/>
    <n v="228.167"/>
    <n v="-228.167"/>
    <s v="Young &amp; Rubicam Chile"/>
    <s v="Brinda Calori"/>
    <s v="HSBC USD Wire 2/7/20"/>
    <m/>
    <m/>
    <m/>
    <m/>
    <m/>
    <m/>
    <m/>
    <m/>
    <m/>
    <m/>
    <m/>
    <m/>
    <m/>
    <m/>
    <m/>
    <m/>
    <m/>
    <m/>
    <m/>
    <m/>
    <m/>
    <m/>
    <m/>
    <m/>
    <m/>
    <m/>
    <m/>
    <m/>
    <m/>
    <m/>
    <m/>
    <m/>
    <m/>
    <m/>
    <m/>
    <m/>
  </r>
  <r>
    <s v="11C (116) - Meltwater News Canada 2"/>
    <d v="2019-08-30T00:00:00"/>
    <s v="AUGUST"/>
    <n v="2019"/>
    <x v="1"/>
    <s v="Deposited"/>
    <s v="PMT-S130C-0709"/>
    <s v="IN-S130C-1176"/>
    <s v="USD"/>
    <n v="-175"/>
    <n v="-177.37200000000001"/>
    <n v="5.0659999999999998"/>
    <n v="-5.0659999999999998"/>
    <s v="Dazing Studio S.C"/>
    <s v="Brinda Calori"/>
    <s v="WFB wire 083019 - part of the $38,661.44 wire - paid in 106-US acct"/>
    <m/>
    <m/>
    <m/>
    <m/>
    <m/>
    <m/>
    <m/>
    <m/>
    <m/>
    <m/>
    <m/>
    <m/>
    <m/>
    <m/>
    <m/>
    <m/>
    <m/>
    <m/>
    <m/>
    <m/>
    <m/>
    <m/>
    <m/>
    <m/>
    <m/>
    <m/>
    <m/>
    <m/>
    <m/>
    <m/>
    <m/>
    <m/>
    <m/>
    <m/>
    <m/>
    <m/>
  </r>
  <r>
    <s v="11C (116) - Meltwater News Canada 2"/>
    <d v="2019-03-01T00:00:00"/>
    <s v="MARCH"/>
    <n v="2019"/>
    <x v="1"/>
    <s v="Deposited"/>
    <s v="PMT-S130C-0195"/>
    <s v=""/>
    <s v="EUR"/>
    <n v="-1"/>
    <n v="-1.135"/>
    <n v="1.135"/>
    <n v="-335.62200000000001"/>
    <s v="Ogilvy Barcelona"/>
    <s v="Yangzom Vitali-116"/>
    <s v=""/>
    <m/>
    <m/>
    <m/>
    <m/>
    <m/>
    <m/>
    <m/>
    <m/>
    <m/>
    <m/>
    <m/>
    <m/>
    <m/>
    <m/>
    <m/>
    <m/>
    <m/>
    <m/>
    <m/>
    <m/>
    <m/>
    <m/>
    <m/>
    <m/>
    <m/>
    <m/>
    <m/>
    <m/>
    <m/>
    <m/>
    <m/>
    <m/>
    <m/>
    <m/>
    <m/>
    <m/>
  </r>
  <r>
    <s v="11C (116) - Meltwater News Canada 2"/>
    <d v="2019-04-16T00:00:00"/>
    <s v="APRIL"/>
    <n v="2019"/>
    <x v="1"/>
    <s v="Deposited"/>
    <s v="PMT-S130C-0350"/>
    <s v="IN-S130C-1020"/>
    <s v="USD"/>
    <n v="-15178"/>
    <n v="-15479.468999999999"/>
    <n v="0.876"/>
    <n v="-344.68799999999999"/>
    <s v="Zimat Consultores Comunicación Total, S.A. de C.V. ZCC000823SN7"/>
    <s v="Yangzom Vitali-116"/>
    <s v="HSBC USD wire 04/15/19 - For: IN-S130C-1020 $7589.00 IN-S130C-1093 $7589.00 per remit - Customer rounded up from $15,177.14 to $15,178.00 (unapplied 0.86)"/>
    <m/>
    <m/>
    <m/>
    <m/>
    <m/>
    <m/>
    <m/>
    <m/>
    <m/>
    <m/>
    <m/>
    <m/>
    <m/>
    <m/>
    <m/>
    <m/>
    <m/>
    <m/>
    <m/>
    <m/>
    <m/>
    <m/>
    <m/>
    <m/>
    <m/>
    <m/>
    <m/>
    <m/>
    <m/>
    <m/>
    <m/>
    <m/>
    <m/>
    <m/>
    <m/>
    <m/>
  </r>
  <r>
    <s v="11C (116) - Meltwater News Canada 2"/>
    <d v="2019-10-11T00:00:00"/>
    <s v="OCTOBER"/>
    <n v="2019"/>
    <x v="1"/>
    <s v="Deposited"/>
    <s v="PMT-S130C-0810"/>
    <s v="IN-S130C-1771"/>
    <s v="CAD"/>
    <n v="-5486.26"/>
    <n v="-4179.8500000000004"/>
    <n v="1.4999999999999999E-2"/>
    <n v="-1.4999999999999999E-2"/>
    <s v="Sureté du Québec"/>
    <s v="Marta Boytcheva"/>
    <s v="HSBC LB 10/11/19"/>
    <m/>
    <m/>
    <m/>
    <m/>
    <m/>
    <m/>
    <m/>
    <m/>
    <m/>
    <m/>
    <m/>
    <m/>
    <m/>
    <m/>
    <m/>
    <m/>
    <m/>
    <m/>
    <m/>
    <m/>
    <m/>
    <m/>
    <m/>
    <m/>
    <m/>
    <m/>
    <m/>
    <m/>
    <m/>
    <m/>
    <m/>
    <m/>
    <m/>
    <m/>
    <m/>
    <m/>
  </r>
  <r>
    <s v="201 - Australia"/>
    <d v="2024-10-16T00:00:00"/>
    <s v="OCTOBER"/>
    <n v="2024"/>
    <x v="2"/>
    <s v="Deposited"/>
    <s v="PMT-S155-37916"/>
    <s v=""/>
    <s v="NZD"/>
    <n v="-31991"/>
    <n v="-20152.823"/>
    <n v="20152.823"/>
    <n v="-20152.823"/>
    <s v="Fonterra Co-Operative Group"/>
    <s v="Windy Go"/>
    <s v="1/FONTERRA CO-OPERATIVE GROUP LIMIT 2000132172 /ROC/2000132172 FX NZD 31991.00 AT 1.1342120 200182719 /TMS/2024-10-15T23:29:15 GMT/MID/1.104251"/>
    <m/>
    <m/>
    <m/>
    <m/>
    <m/>
    <m/>
    <m/>
    <m/>
    <m/>
    <m/>
    <m/>
    <m/>
    <m/>
    <m/>
    <m/>
    <m/>
    <m/>
    <m/>
    <m/>
    <m/>
    <m/>
    <m/>
    <m/>
    <m/>
    <m/>
    <m/>
    <m/>
    <m/>
    <m/>
    <m/>
    <m/>
    <m/>
    <m/>
    <m/>
    <m/>
    <m/>
  </r>
  <r>
    <s v="201 - Australia"/>
    <d v="2026-04-09T00:00:00"/>
    <s v="APRIL"/>
    <n v="2026"/>
    <x v="2"/>
    <s v="Deposited"/>
    <s v="PMT-S155-42950"/>
    <s v=""/>
    <s v="AUD"/>
    <n v="-18480"/>
    <n v="-13203.96"/>
    <n v="13203.96"/>
    <n v="-26251.494999999999"/>
    <s v="DUMMY CUSTOMER_CASHAPPS 201 - Australia"/>
    <s v="Windy Go"/>
    <s v="173200023166926 MARS NEDERLAND B 0001975"/>
    <m/>
    <m/>
    <m/>
    <m/>
    <m/>
    <m/>
    <m/>
    <m/>
    <m/>
    <m/>
    <m/>
    <m/>
    <m/>
    <m/>
    <m/>
    <m/>
    <m/>
    <m/>
    <m/>
    <m/>
    <m/>
    <m/>
    <m/>
    <m/>
    <m/>
    <m/>
    <m/>
    <m/>
    <m/>
    <m/>
    <m/>
    <m/>
    <m/>
    <m/>
    <m/>
    <m/>
  </r>
  <r>
    <s v="201 - Australia"/>
    <d v="2026-04-21T00:00:00"/>
    <s v="APRIL"/>
    <n v="2026"/>
    <x v="2"/>
    <s v="Deposited"/>
    <s v="PMT-S155-43051"/>
    <s v=""/>
    <s v="AUD"/>
    <n v="-16500"/>
    <n v="-11789.25"/>
    <n v="11789.25"/>
    <n v="-26251.494999999999"/>
    <s v="DUMMY CUSTOMER_CASHAPPS 201 - Australia"/>
    <s v="Windy Go"/>
    <s v="Meltwater Pont3 Pty Limite 0599873"/>
    <m/>
    <m/>
    <m/>
    <m/>
    <m/>
    <m/>
    <m/>
    <m/>
    <m/>
    <m/>
    <m/>
    <m/>
    <m/>
    <m/>
    <m/>
    <m/>
    <m/>
    <m/>
    <m/>
    <m/>
    <m/>
    <m/>
    <m/>
    <m/>
    <m/>
    <m/>
    <m/>
    <m/>
    <m/>
    <m/>
    <m/>
    <m/>
    <m/>
    <m/>
    <m/>
    <m/>
  </r>
  <r>
    <s v="201 - Australia"/>
    <d v="2023-01-24T00:00:00"/>
    <s v="JANUARY"/>
    <n v="2023"/>
    <x v="2"/>
    <s v="Deposited"/>
    <s v="PMT-S155-31177"/>
    <s v=""/>
    <s v="AUD"/>
    <n v="-8008"/>
    <n v="-5721.7160000000003"/>
    <n v="5721.7160000000003"/>
    <n v="-5721.7160000000003"/>
    <s v="Leisure-Tec Australia Pty Ltd"/>
    <s v=""/>
    <s v="LEISURE TEC 0241933"/>
    <m/>
    <m/>
    <m/>
    <m/>
    <m/>
    <m/>
    <m/>
    <m/>
    <m/>
    <m/>
    <m/>
    <m/>
    <m/>
    <m/>
    <m/>
    <m/>
    <m/>
    <m/>
    <m/>
    <m/>
    <m/>
    <m/>
    <m/>
    <m/>
    <m/>
    <m/>
    <m/>
    <m/>
    <m/>
    <m/>
    <m/>
    <m/>
    <m/>
    <m/>
    <m/>
    <m/>
  </r>
  <r>
    <s v="201 - Australia"/>
    <d v="2022-12-21T00:00:00"/>
    <s v="DECEMBER"/>
    <n v="2022"/>
    <x v="2"/>
    <s v="Deposited"/>
    <s v="PMT-S155-30851"/>
    <s v="IN-S155-424028"/>
    <s v="AUD"/>
    <n v="-15400"/>
    <n v="-11003.3"/>
    <n v="5501.65"/>
    <n v="-5501.65"/>
    <s v="POLICE CITIZENS YOUTH CLUBS NSW LTD"/>
    <s v="Windy Go"/>
    <s v="531785 PCYC NSW 0085562"/>
    <m/>
    <m/>
    <m/>
    <m/>
    <m/>
    <m/>
    <m/>
    <m/>
    <m/>
    <m/>
    <m/>
    <m/>
    <m/>
    <m/>
    <m/>
    <m/>
    <m/>
    <m/>
    <m/>
    <m/>
    <m/>
    <m/>
    <m/>
    <m/>
    <m/>
    <m/>
    <m/>
    <m/>
    <m/>
    <m/>
    <m/>
    <m/>
    <m/>
    <m/>
    <m/>
    <m/>
  </r>
  <r>
    <s v="201 - Australia"/>
    <d v="2025-06-23T00:00:00"/>
    <s v="JUNE"/>
    <n v="2025"/>
    <x v="2"/>
    <s v="Deposited"/>
    <s v="PMT-S155-39945"/>
    <s v=""/>
    <s v="AUD"/>
    <n v="-6184.2"/>
    <n v="-4418.6109999999999"/>
    <n v="4418.6109999999999"/>
    <n v="-4418.6109999999999"/>
    <s v="City of Hobart"/>
    <s v="Windy Go"/>
    <s v="CITY OF HOB 05748 CITY OF HOBART - 0448218"/>
    <m/>
    <m/>
    <m/>
    <m/>
    <m/>
    <m/>
    <m/>
    <m/>
    <m/>
    <m/>
    <m/>
    <m/>
    <m/>
    <m/>
    <m/>
    <m/>
    <m/>
    <m/>
    <m/>
    <m/>
    <m/>
    <m/>
    <m/>
    <m/>
    <m/>
    <m/>
    <m/>
    <m/>
    <m/>
    <m/>
    <m/>
    <m/>
    <m/>
    <m/>
    <m/>
    <m/>
  </r>
  <r>
    <s v="201 - Australia"/>
    <d v="2025-12-18T00:00:00"/>
    <s v="DECEMBER"/>
    <n v="2025"/>
    <x v="2"/>
    <s v="Deposited"/>
    <s v="PMT-S155-41991"/>
    <s v="IN-S155-431433"/>
    <s v="AUD"/>
    <n v="-4435.2"/>
    <n v="-3168.95"/>
    <n v="1584.4749999999999"/>
    <n v="0"/>
    <s v="Lovehoney Australia"/>
    <s v=""/>
    <s v="Lovehoney AU Lovehoney AU Pty 0916381"/>
    <m/>
    <m/>
    <m/>
    <m/>
    <m/>
    <m/>
    <m/>
    <m/>
    <m/>
    <m/>
    <m/>
    <m/>
    <m/>
    <m/>
    <m/>
    <m/>
    <m/>
    <m/>
    <m/>
    <m/>
    <m/>
    <m/>
    <m/>
    <m/>
    <m/>
    <m/>
    <m/>
    <m/>
    <m/>
    <m/>
    <m/>
    <m/>
    <m/>
    <m/>
    <m/>
    <m/>
  </r>
  <r>
    <s v="201 - Australia"/>
    <d v="2023-06-22T00:00:00"/>
    <s v="JUNE"/>
    <n v="2023"/>
    <x v="2"/>
    <s v="Deposited"/>
    <s v="PMT-S155-32846"/>
    <s v="IN-S155-424007"/>
    <s v="AUD"/>
    <n v="-16370.46"/>
    <n v="-11696.694"/>
    <n v="1038.4259999999999"/>
    <n v="-1038.4259999999999"/>
    <s v="The Village Building Company"/>
    <s v="Windy Go"/>
    <s v="INV-S155-424007 Recoveries Natio 0394335"/>
    <m/>
    <m/>
    <m/>
    <m/>
    <m/>
    <m/>
    <m/>
    <m/>
    <m/>
    <m/>
    <m/>
    <m/>
    <m/>
    <m/>
    <m/>
    <m/>
    <m/>
    <m/>
    <m/>
    <m/>
    <m/>
    <m/>
    <m/>
    <m/>
    <m/>
    <m/>
    <m/>
    <m/>
    <m/>
    <m/>
    <m/>
    <m/>
    <m/>
    <m/>
    <m/>
    <m/>
  </r>
  <r>
    <s v="201 - Australia"/>
    <d v="2023-11-20T00:00:00"/>
    <s v="NOVEMBER"/>
    <n v="2023"/>
    <x v="2"/>
    <s v="Deposited"/>
    <s v="PMT-S155-34558"/>
    <s v="IN-S155-426490"/>
    <s v="AUD"/>
    <n v="-12743.5"/>
    <n v="-9105.2309999999998"/>
    <n v="971.43399999999997"/>
    <n v="-971.43399999999997"/>
    <s v="SOUTHERN SYDNEY REGIONAL ORGANISATION OF COUNCILS"/>
    <s v="Windy Go"/>
    <s v="IN-S155-426306 SSROC 0813887"/>
    <m/>
    <m/>
    <m/>
    <m/>
    <m/>
    <m/>
    <m/>
    <m/>
    <m/>
    <m/>
    <m/>
    <m/>
    <m/>
    <m/>
    <m/>
    <m/>
    <m/>
    <m/>
    <m/>
    <m/>
    <m/>
    <m/>
    <m/>
    <m/>
    <m/>
    <m/>
    <m/>
    <m/>
    <m/>
    <m/>
    <m/>
    <m/>
    <m/>
    <m/>
    <m/>
    <m/>
  </r>
  <r>
    <s v="201 - Australia"/>
    <d v="2025-01-30T00:00:00"/>
    <s v="JANUARY"/>
    <n v="2025"/>
    <x v="2"/>
    <s v="Deposited"/>
    <s v="PMT-S155-38764"/>
    <s v=""/>
    <s v="AUD"/>
    <n v="-1050.5"/>
    <n v="-750.58199999999999"/>
    <n v="750.58199999999999"/>
    <n v="-750.58199999999999"/>
    <s v="The Red Agency pty Ltd trading as Red Havas"/>
    <s v="Windy Go"/>
    <s v="V1-51292223-P-MELN THE RED AGENCY P 0840256"/>
    <m/>
    <m/>
    <m/>
    <m/>
    <m/>
    <m/>
    <m/>
    <m/>
    <m/>
    <m/>
    <m/>
    <m/>
    <m/>
    <m/>
    <m/>
    <m/>
    <m/>
    <m/>
    <m/>
    <m/>
    <m/>
    <m/>
    <m/>
    <m/>
    <m/>
    <m/>
    <m/>
    <m/>
    <m/>
    <m/>
    <m/>
    <m/>
    <m/>
    <m/>
    <m/>
    <m/>
  </r>
  <r>
    <s v="201 - Australia"/>
    <d v="2023-01-17T00:00:00"/>
    <s v="JANUARY"/>
    <n v="2023"/>
    <x v="2"/>
    <s v="Deposited"/>
    <s v="PMT-S155-31081"/>
    <s v=""/>
    <s v="AUD"/>
    <n v="-986.9"/>
    <n v="-705.14"/>
    <n v="705.14"/>
    <n v="-705.14"/>
    <s v="Mirvac Procurement Pty Ltd"/>
    <s v=""/>
    <s v="PMT ID:     476819 MIRVAC 0986579"/>
    <m/>
    <m/>
    <m/>
    <m/>
    <m/>
    <m/>
    <m/>
    <m/>
    <m/>
    <m/>
    <m/>
    <m/>
    <m/>
    <m/>
    <m/>
    <m/>
    <m/>
    <m/>
    <m/>
    <m/>
    <m/>
    <m/>
    <m/>
    <m/>
    <m/>
    <m/>
    <m/>
    <m/>
    <m/>
    <m/>
    <m/>
    <m/>
    <m/>
    <m/>
    <m/>
    <m/>
  </r>
  <r>
    <s v="201 - Australia"/>
    <d v="2026-04-24T00:00:00"/>
    <s v="APRIL"/>
    <n v="2026"/>
    <x v="2"/>
    <s v="Deposited"/>
    <s v="PMT-S155-43101"/>
    <s v=""/>
    <s v="AUD"/>
    <n v="-741"/>
    <n v="-529.44500000000005"/>
    <n v="529.44500000000005"/>
    <n v="-26251.494999999999"/>
    <s v="DUMMY CUSTOMER_CASHAPPS 201 - Australia"/>
    <s v="Windy Go"/>
    <s v="689647123400424153 VERVESUPER 0780254"/>
    <m/>
    <m/>
    <m/>
    <m/>
    <m/>
    <m/>
    <m/>
    <m/>
    <m/>
    <m/>
    <m/>
    <m/>
    <m/>
    <m/>
    <m/>
    <m/>
    <m/>
    <m/>
    <m/>
    <m/>
    <m/>
    <m/>
    <m/>
    <m/>
    <m/>
    <m/>
    <m/>
    <m/>
    <m/>
    <m/>
    <m/>
    <m/>
    <m/>
    <m/>
    <m/>
    <m/>
  </r>
  <r>
    <s v="201 - Australia"/>
    <d v="2022-09-29T00:00:00"/>
    <s v="SEPTEMBER"/>
    <n v="2022"/>
    <x v="2"/>
    <s v="Deposited"/>
    <s v="PMT-S155-29838"/>
    <s v=""/>
    <s v="AUD"/>
    <n v="-550"/>
    <n v="-392.97500000000002"/>
    <n v="392.97500000000002"/>
    <n v="-26251.494999999999"/>
    <s v="DUMMY CUSTOMER_CASHAPPS 201 - Australia"/>
    <s v="Windy Go"/>
    <s v="MN2033605 CBA 0685610"/>
    <m/>
    <m/>
    <m/>
    <m/>
    <m/>
    <m/>
    <m/>
    <m/>
    <m/>
    <m/>
    <m/>
    <m/>
    <m/>
    <m/>
    <m/>
    <m/>
    <m/>
    <m/>
    <m/>
    <m/>
    <m/>
    <m/>
    <m/>
    <m/>
    <m/>
    <m/>
    <m/>
    <m/>
    <m/>
    <m/>
    <m/>
    <m/>
    <m/>
    <m/>
    <m/>
    <m/>
  </r>
  <r>
    <s v="201 - Australia"/>
    <d v="2022-05-18T00:00:00"/>
    <s v="MAY"/>
    <n v="2022"/>
    <x v="2"/>
    <s v="Deposited"/>
    <s v="PMT-S155-28115"/>
    <s v="IN-S155-422085"/>
    <s v="AUD"/>
    <n v="-963.9"/>
    <n v="-688.70699999999999"/>
    <n v="327.95600000000002"/>
    <n v="-327.95600000000002"/>
    <s v="ALWAYS HUMAN GROUP PTY LTD"/>
    <s v=""/>
    <s v="Lampoon Group Lampoon Group Pt 0592784"/>
    <m/>
    <m/>
    <m/>
    <m/>
    <m/>
    <m/>
    <m/>
    <m/>
    <m/>
    <m/>
    <m/>
    <m/>
    <m/>
    <m/>
    <m/>
    <m/>
    <m/>
    <m/>
    <m/>
    <m/>
    <m/>
    <m/>
    <m/>
    <m/>
    <m/>
    <m/>
    <m/>
    <m/>
    <m/>
    <m/>
    <m/>
    <m/>
    <m/>
    <m/>
    <m/>
    <m/>
  </r>
  <r>
    <s v="201 - Australia"/>
    <d v="2023-05-29T00:00:00"/>
    <s v="MAY"/>
    <n v="2023"/>
    <x v="2"/>
    <s v="Deposited"/>
    <s v="PMT-S155-32532"/>
    <s v="IN-S155-424125"/>
    <s v="AUD"/>
    <n v="-20630.21"/>
    <n v="-14740.285"/>
    <n v="289.02199999999999"/>
    <n v="-289.02199999999999"/>
    <s v="HAVAL Motors Australia Pty Ltd"/>
    <s v=""/>
    <s v="IN-S155-424125 Hav Recoveries Natio 0358677"/>
    <m/>
    <m/>
    <m/>
    <m/>
    <m/>
    <m/>
    <m/>
    <m/>
    <m/>
    <m/>
    <m/>
    <m/>
    <m/>
    <m/>
    <m/>
    <m/>
    <m/>
    <m/>
    <m/>
    <m/>
    <m/>
    <m/>
    <m/>
    <m/>
    <m/>
    <m/>
    <m/>
    <m/>
    <m/>
    <m/>
    <m/>
    <m/>
    <m/>
    <m/>
    <m/>
    <m/>
  </r>
  <r>
    <s v="201 - Australia"/>
    <d v="2026-04-20T00:00:00"/>
    <s v="APRIL"/>
    <n v="2026"/>
    <x v="2"/>
    <s v="Deposited"/>
    <s v="PMT-S155-43042"/>
    <s v=""/>
    <s v="AUD"/>
    <n v="-281.35000000000002"/>
    <n v="-201.02500000000001"/>
    <n v="201.02500000000001"/>
    <n v="-26251.494999999999"/>
    <s v="DUMMY CUSTOMER_CASHAPPS 201 - Australia"/>
    <s v="Windy Go"/>
    <s v="CVENTPAYMENTS-DMRH CVENTPAYMENTS 0530766"/>
    <m/>
    <m/>
    <m/>
    <m/>
    <m/>
    <m/>
    <m/>
    <m/>
    <m/>
    <m/>
    <m/>
    <m/>
    <m/>
    <m/>
    <m/>
    <m/>
    <m/>
    <m/>
    <m/>
    <m/>
    <m/>
    <m/>
    <m/>
    <m/>
    <m/>
    <m/>
    <m/>
    <m/>
    <m/>
    <m/>
    <m/>
    <m/>
    <m/>
    <m/>
    <m/>
    <m/>
  </r>
  <r>
    <s v="201 - Australia"/>
    <d v="2026-04-27T00:00:00"/>
    <s v="APRIL"/>
    <n v="2026"/>
    <x v="2"/>
    <s v="Deposited"/>
    <s v="PMT-S155-43111"/>
    <s v=""/>
    <s v="AUD"/>
    <n v="-188.72"/>
    <n v="-134.84"/>
    <n v="134.84"/>
    <n v="-26251.494999999999"/>
    <s v="DUMMY CUSTOMER_CASHAPPS 201 - Australia"/>
    <s v="Windy Go"/>
    <s v="CVENTPAYMENTS-HRNO CVENTPAYMENTS 0832990"/>
    <m/>
    <m/>
    <m/>
    <m/>
    <m/>
    <m/>
    <m/>
    <m/>
    <m/>
    <m/>
    <m/>
    <m/>
    <m/>
    <m/>
    <m/>
    <m/>
    <m/>
    <m/>
    <m/>
    <m/>
    <m/>
    <m/>
    <m/>
    <m/>
    <m/>
    <m/>
    <m/>
    <m/>
    <m/>
    <m/>
    <m/>
    <m/>
    <m/>
    <m/>
    <m/>
    <m/>
  </r>
  <r>
    <s v="201 - Australia"/>
    <d v="2022-05-17T00:00:00"/>
    <s v="MAY"/>
    <n v="2022"/>
    <x v="2"/>
    <s v="Deposited"/>
    <s v="PMT-S155-28095"/>
    <s v="IN-S155-420524"/>
    <s v="AUD"/>
    <n v="-7412.4"/>
    <n v="-5296.16"/>
    <n v="108.89"/>
    <n v="-108.89"/>
    <s v="Mornington Peninsula RTB Inc"/>
    <s v=""/>
    <s v="IN-S155-420524 Recoveries Natio 0538481"/>
    <m/>
    <m/>
    <m/>
    <m/>
    <m/>
    <m/>
    <m/>
    <m/>
    <m/>
    <m/>
    <m/>
    <m/>
    <m/>
    <m/>
    <m/>
    <m/>
    <m/>
    <m/>
    <m/>
    <m/>
    <m/>
    <m/>
    <m/>
    <m/>
    <m/>
    <m/>
    <m/>
    <m/>
    <m/>
    <m/>
    <m/>
    <m/>
    <m/>
    <m/>
    <m/>
    <m/>
  </r>
  <r>
    <s v="221 - HK"/>
    <d v="2025-07-10T00:00:00"/>
    <s v="JULY"/>
    <n v="2025"/>
    <x v="2"/>
    <s v="Deposited"/>
    <s v="PMT-S133-7108"/>
    <s v="IN-S133-408223"/>
    <s v="USD"/>
    <n v="-12937.5"/>
    <n v="-12937.037"/>
    <n v="2587.4070000000002"/>
    <n v="-2587.4070000000002"/>
    <s v="Zyxel Communications Corporation"/>
    <s v=""/>
    <s v="1/ZYXEL COMMUNICATIONS CORPORATION /OCMT/USD12937,50/ , /OGB/MEGA INTERNATIONAL COMMERCIAL BANK ,"/>
    <m/>
    <m/>
    <m/>
    <m/>
    <m/>
    <m/>
    <m/>
    <m/>
    <m/>
    <m/>
    <m/>
    <m/>
    <m/>
    <m/>
    <m/>
    <m/>
    <m/>
    <m/>
    <m/>
    <m/>
    <m/>
    <m/>
    <m/>
    <m/>
    <m/>
    <m/>
    <m/>
    <m/>
    <m/>
    <m/>
    <m/>
    <m/>
    <m/>
    <m/>
    <m/>
    <m/>
  </r>
  <r>
    <s v="221 - HK"/>
    <d v="2023-03-10T00:00:00"/>
    <s v="MARCH"/>
    <n v="2023"/>
    <x v="2"/>
    <s v="Deposited"/>
    <s v="PMT-S133-6062"/>
    <s v="IN-S133-407033"/>
    <s v="HKD"/>
    <n v="-66584.600000000006"/>
    <n v="-8498.7250000000004"/>
    <n v="272.96699999999998"/>
    <n v="-272.96699999999998"/>
    <s v="Zenith Integrated Communications Ltd"/>
    <s v=""/>
    <s v="/ORDP/FERRARI (HK) LIMITED /BREF/GHK2700150687002759 /OBK/007 /EREF/AP32100048814840 /REMI/"/>
    <m/>
    <m/>
    <m/>
    <m/>
    <m/>
    <m/>
    <m/>
    <m/>
    <m/>
    <m/>
    <m/>
    <m/>
    <m/>
    <m/>
    <m/>
    <m/>
    <m/>
    <m/>
    <m/>
    <m/>
    <m/>
    <m/>
    <m/>
    <m/>
    <m/>
    <m/>
    <m/>
    <m/>
    <m/>
    <m/>
    <m/>
    <m/>
    <m/>
    <m/>
    <m/>
    <m/>
  </r>
  <r>
    <s v="241 - Singapore"/>
    <d v="2023-06-16T00:00:00"/>
    <s v="JUNE"/>
    <n v="2023"/>
    <x v="2"/>
    <s v="Deposited"/>
    <s v="PMT-S158-8026"/>
    <s v=""/>
    <s v="SGD"/>
    <n v="-34003.79"/>
    <n v="-26612.216"/>
    <n v="26612.216"/>
    <n v="-26612.216"/>
    <s v="Temasek Capital Management Pte. Ltd."/>
    <s v=""/>
    <s v="INTERBANK GIRO Temasek Holdings (Private) Limited 024764 SUPPLIER PAYMENT"/>
    <m/>
    <m/>
    <m/>
    <m/>
    <m/>
    <m/>
    <m/>
    <m/>
    <m/>
    <m/>
    <m/>
    <m/>
    <m/>
    <m/>
    <m/>
    <m/>
    <m/>
    <m/>
    <m/>
    <m/>
    <m/>
    <m/>
    <m/>
    <m/>
    <m/>
    <m/>
    <m/>
    <m/>
    <m/>
    <m/>
    <m/>
    <m/>
    <m/>
    <m/>
    <m/>
    <m/>
  </r>
  <r>
    <s v="241 - Singapore"/>
    <d v="2023-06-16T00:00:00"/>
    <s v="JUNE"/>
    <n v="2023"/>
    <x v="2"/>
    <s v="Deposited"/>
    <s v="PMT-S158-8027"/>
    <s v=""/>
    <s v="EUR"/>
    <n v="-22932"/>
    <n v="-25232.159"/>
    <n v="25232.159"/>
    <n v="-48223.02"/>
    <s v="Danone Specialized Nutrition (Malaysia)"/>
    <s v=""/>
    <s v="INWARD TELEGRAPHIC TRANSFER ITT 3412060248/1 0016IT4175996 PT NUTRICIA INDONESIA SEJAHTERA EUR 22932 at SGD1.405914"/>
    <m/>
    <m/>
    <m/>
    <m/>
    <m/>
    <m/>
    <m/>
    <m/>
    <m/>
    <m/>
    <m/>
    <m/>
    <m/>
    <m/>
    <m/>
    <m/>
    <m/>
    <m/>
    <m/>
    <m/>
    <m/>
    <m/>
    <m/>
    <m/>
    <m/>
    <m/>
    <m/>
    <m/>
    <m/>
    <m/>
    <m/>
    <m/>
    <m/>
    <m/>
    <m/>
    <m/>
  </r>
  <r>
    <s v="241 - Singapore"/>
    <d v="2023-06-16T00:00:00"/>
    <s v="JUNE"/>
    <n v="2023"/>
    <x v="2"/>
    <s v="Deposited"/>
    <s v="PMT-S158-8030"/>
    <s v=""/>
    <s v="SGD"/>
    <n v="-29376.6"/>
    <n v="-22990.862000000001"/>
    <n v="22990.862000000001"/>
    <n v="-48223.02"/>
    <s v="Danone Specialized Nutrition (Malaysia)"/>
    <s v=""/>
    <s v="SG-2021-0081"/>
    <m/>
    <m/>
    <m/>
    <m/>
    <m/>
    <m/>
    <m/>
    <m/>
    <m/>
    <m/>
    <m/>
    <m/>
    <m/>
    <m/>
    <m/>
    <m/>
    <m/>
    <m/>
    <m/>
    <m/>
    <m/>
    <m/>
    <m/>
    <m/>
    <m/>
    <m/>
    <m/>
    <m/>
    <m/>
    <m/>
    <m/>
    <m/>
    <m/>
    <m/>
    <m/>
    <m/>
  </r>
  <r>
    <s v="241 - Singapore"/>
    <d v="2023-06-16T00:00:00"/>
    <s v="JUNE"/>
    <n v="2023"/>
    <x v="2"/>
    <s v="Deposited"/>
    <s v="PMT-S158-8029"/>
    <s v=""/>
    <s v="SGD"/>
    <n v="-15334"/>
    <n v="-12000.772000000001"/>
    <n v="12000.772000000001"/>
    <n v="-16462"/>
    <s v="Nutricia Internaonal Pvt. Ltd."/>
    <s v=""/>
    <s v="MEPS RECEIPT MER 1IR209298736C01 0016II4814496 NUTRICIA INTERNATIONAL PRIVATE SGD 15334"/>
    <m/>
    <m/>
    <m/>
    <m/>
    <m/>
    <m/>
    <m/>
    <m/>
    <m/>
    <m/>
    <m/>
    <m/>
    <m/>
    <m/>
    <m/>
    <m/>
    <m/>
    <m/>
    <m/>
    <m/>
    <m/>
    <m/>
    <m/>
    <m/>
    <m/>
    <m/>
    <m/>
    <m/>
    <m/>
    <m/>
    <m/>
    <m/>
    <m/>
    <m/>
    <m/>
    <m/>
  </r>
  <r>
    <s v="241 - Singapore"/>
    <d v="2025-02-24T00:00:00"/>
    <s v="FEBRUARY"/>
    <n v="2025"/>
    <x v="2"/>
    <s v="Deposited"/>
    <s v="PMT-S158-10670"/>
    <s v="IN-S158-409318"/>
    <s v="USD"/>
    <n v="-46200"/>
    <n v="-47256.743999999999"/>
    <n v="11814.186"/>
    <n v="1148.6669999999999"/>
    <s v="TBG SHARED SERVICES INC."/>
    <s v=""/>
    <s v="TBG SHARED SERVICES INC /URI/PAYMENT FOR LICENSE(REVIEW SIT ES,AUDIENCE META BRONZE AND SOCIAL ESSENTIALS L2) INV NO.IN- S158-409 318///ROC/6678948052FS FX USD 46185.00 AT 1.3074020 617282642 /TMS/2025-02-24T01:19:27 GMT/MID/1.334258"/>
    <m/>
    <m/>
    <m/>
    <m/>
    <m/>
    <m/>
    <m/>
    <m/>
    <m/>
    <m/>
    <m/>
    <m/>
    <m/>
    <m/>
    <m/>
    <m/>
    <m/>
    <m/>
    <m/>
    <m/>
    <m/>
    <m/>
    <m/>
    <m/>
    <m/>
    <m/>
    <m/>
    <m/>
    <m/>
    <m/>
    <m/>
    <m/>
    <m/>
    <m/>
    <m/>
    <m/>
  </r>
  <r>
    <s v="241 - Singapore"/>
    <d v="2023-06-16T00:00:00"/>
    <s v="JUNE"/>
    <n v="2023"/>
    <x v="2"/>
    <s v="Deposited"/>
    <s v="PMT-S158-8028"/>
    <s v=""/>
    <s v="EUR"/>
    <n v="-10479.58"/>
    <n v="-11467.601000000001"/>
    <n v="11467.601000000001"/>
    <n v="-11467.601000000001"/>
    <s v="Moet Hennessy Asia Pacific Pte. Ltd."/>
    <s v=""/>
    <s v="INWARD TELEGRAPHIC TRANSFER ITT XSS90750 0016IT4524256 MOET HENNESSY ASIA PACIFIC PTE LTD EUR 10479.58 at SGD1.398218"/>
    <m/>
    <m/>
    <m/>
    <m/>
    <m/>
    <m/>
    <m/>
    <m/>
    <m/>
    <m/>
    <m/>
    <m/>
    <m/>
    <m/>
    <m/>
    <m/>
    <m/>
    <m/>
    <m/>
    <m/>
    <m/>
    <m/>
    <m/>
    <m/>
    <m/>
    <m/>
    <m/>
    <m/>
    <m/>
    <m/>
    <m/>
    <m/>
    <m/>
    <m/>
    <m/>
    <m/>
  </r>
  <r>
    <s v="241 - Singapore"/>
    <d v="2026-01-02T00:00:00"/>
    <s v="JANUARY"/>
    <n v="2026"/>
    <x v="2"/>
    <s v="Deposited"/>
    <s v="PMT-S158-11988"/>
    <s v="IN-S158-410112"/>
    <s v="USD"/>
    <n v="-70186.67"/>
    <n v="-70600.781000000003"/>
    <n v="7564.3680000000004"/>
    <n v="-7564.3680000000004"/>
    <s v="PUBLiCUS Asia, Inc."/>
    <s v=""/>
    <s v=""/>
    <m/>
    <m/>
    <m/>
    <m/>
    <m/>
    <m/>
    <m/>
    <m/>
    <m/>
    <m/>
    <m/>
    <m/>
    <m/>
    <m/>
    <m/>
    <m/>
    <m/>
    <m/>
    <m/>
    <m/>
    <m/>
    <m/>
    <m/>
    <m/>
    <m/>
    <m/>
    <m/>
    <m/>
    <m/>
    <m/>
    <m/>
    <m/>
    <m/>
    <m/>
    <m/>
    <m/>
  </r>
  <r>
    <s v="241 - Singapore"/>
    <d v="2023-06-16T00:00:00"/>
    <s v="JUNE"/>
    <n v="2023"/>
    <x v="2"/>
    <s v="Deposited"/>
    <s v="PMT-S158-8025"/>
    <s v=""/>
    <s v="SGD"/>
    <n v="-7074.6"/>
    <n v="-5536.759"/>
    <n v="5536.759"/>
    <n v="-5536.759"/>
    <s v="Sephora Asia Pte Ltd"/>
    <s v=""/>
    <s v="INWARD TELEGRAPHIC TRANSFER ITT 285360429 0016IT2711743 SEPHORA ASIA PTE. LTD. USD 5735 at SGD1.347185"/>
    <m/>
    <m/>
    <m/>
    <m/>
    <m/>
    <m/>
    <m/>
    <m/>
    <m/>
    <m/>
    <m/>
    <m/>
    <m/>
    <m/>
    <m/>
    <m/>
    <m/>
    <m/>
    <m/>
    <m/>
    <m/>
    <m/>
    <m/>
    <m/>
    <m/>
    <m/>
    <m/>
    <m/>
    <m/>
    <m/>
    <m/>
    <m/>
    <m/>
    <m/>
    <m/>
    <m/>
  </r>
  <r>
    <s v="241 - Singapore"/>
    <d v="2026-01-16T00:00:00"/>
    <s v="JANUARY"/>
    <n v="2026"/>
    <x v="2"/>
    <s v="Deposited"/>
    <s v="PMT-S158-12058"/>
    <s v="IN-S158-410186"/>
    <s v="USD"/>
    <n v="-10080"/>
    <n v="-9954.8490000000002"/>
    <n v="4977.4250000000002"/>
    <n v="-4977.4250000000002"/>
    <s v="Blink CX Co."/>
    <s v=""/>
    <s v="CONCENTRIX SOLUTIONS CORPORATION /RFB/2026-01-000037///POP INV INS15 8409612,INS158410186INV INS1584096 12 INV INS158410186 FX USD 10080.00 AT 1.2618870 523300787/TMS/2026-01-16T09:22:44 GMT/MID/1.287715"/>
    <m/>
    <m/>
    <m/>
    <m/>
    <m/>
    <m/>
    <m/>
    <m/>
    <m/>
    <m/>
    <m/>
    <m/>
    <m/>
    <m/>
    <m/>
    <m/>
    <m/>
    <m/>
    <m/>
    <m/>
    <m/>
    <m/>
    <m/>
    <m/>
    <m/>
    <m/>
    <m/>
    <m/>
    <m/>
    <m/>
    <m/>
    <m/>
    <m/>
    <m/>
    <m/>
    <m/>
  </r>
  <r>
    <s v="241 - Singapore"/>
    <d v="2025-11-12T00:00:00"/>
    <s v="NOVEMBER"/>
    <n v="2025"/>
    <x v="2"/>
    <s v="Not Deposited"/>
    <s v="PMT-S158-11743"/>
    <s v=""/>
    <s v="EUR"/>
    <n v="-4054.05"/>
    <n v="-4461.2290000000003"/>
    <n v="4461.2290000000003"/>
    <n v="-16462"/>
    <s v="Nutricia Internaonal Pvt. Ltd."/>
    <s v=""/>
    <s v="PMT-S158-8031 from dummy to customer account"/>
    <m/>
    <m/>
    <m/>
    <m/>
    <m/>
    <m/>
    <m/>
    <m/>
    <m/>
    <m/>
    <m/>
    <m/>
    <m/>
    <m/>
    <m/>
    <m/>
    <m/>
    <m/>
    <m/>
    <m/>
    <m/>
    <m/>
    <m/>
    <m/>
    <m/>
    <m/>
    <m/>
    <m/>
    <m/>
    <m/>
    <m/>
    <m/>
    <m/>
    <m/>
    <m/>
    <m/>
  </r>
  <r>
    <s v="241 - Singapore"/>
    <d v="2023-06-16T00:00:00"/>
    <s v="JUNE"/>
    <n v="2023"/>
    <x v="2"/>
    <s v="Deposited"/>
    <s v="PMT-S158-8024"/>
    <s v=""/>
    <s v="USD"/>
    <n v="-3888"/>
    <n v="-4101.7299999999996"/>
    <n v="4101.7299999999996"/>
    <n v="-4101.7299999999996"/>
    <s v="Danone Specialized Nutrition (Thailand) Co., Ltd."/>
    <s v=""/>
    <s v="Passion Point Media Co. USD 3888 at SGD1.347992"/>
    <m/>
    <m/>
    <m/>
    <m/>
    <m/>
    <m/>
    <m/>
    <m/>
    <m/>
    <m/>
    <m/>
    <m/>
    <m/>
    <m/>
    <m/>
    <m/>
    <m/>
    <m/>
    <m/>
    <m/>
    <m/>
    <m/>
    <m/>
    <m/>
    <m/>
    <m/>
    <m/>
    <m/>
    <m/>
    <m/>
    <m/>
    <m/>
    <m/>
    <m/>
    <m/>
    <m/>
  </r>
  <r>
    <s v="241 - Singapore"/>
    <d v="2026-04-15T00:00:00"/>
    <s v="APRIL"/>
    <n v="2026"/>
    <x v="2"/>
    <s v="Not Deposited"/>
    <s v="PMT-S158-12595"/>
    <s v="IN-S158-410328"/>
    <s v="USD"/>
    <n v="-35840"/>
    <n v="-35672.517"/>
    <n v="3822.0590000000002"/>
    <n v="-3822.0590000000002"/>
    <s v="Suyen Corporation"/>
    <s v=""/>
    <s v="Payment for 241-Singapore IN-S158-410328 received in 221-HK"/>
    <m/>
    <m/>
    <m/>
    <m/>
    <m/>
    <m/>
    <m/>
    <m/>
    <m/>
    <m/>
    <m/>
    <m/>
    <m/>
    <m/>
    <m/>
    <m/>
    <m/>
    <m/>
    <m/>
    <m/>
    <m/>
    <m/>
    <m/>
    <m/>
    <m/>
    <m/>
    <m/>
    <m/>
    <m/>
    <m/>
    <m/>
    <m/>
    <m/>
    <m/>
    <m/>
    <m/>
  </r>
  <r>
    <s v="241 - Singapore"/>
    <d v="2026-04-15T00:00:00"/>
    <s v="APRIL"/>
    <n v="2026"/>
    <x v="2"/>
    <s v="Deposited"/>
    <s v="PMT-S158-12593"/>
    <s v="IN-S158-410331"/>
    <s v="USD"/>
    <n v="-32076.799999999999"/>
    <n v="-31278.687999999998"/>
    <n v="3351.2860000000001"/>
    <n v="-3351.2860000000001"/>
    <s v="SM PRIME HOLDINGS INC."/>
    <s v=""/>
    <s v="1/SM PRIME HOLDINGS INC IN S158 410331 SOCIAL MEDIA CRISIS MANAGEMENT SUBSCRIPTION FX USD 32076.80 AT 1.2459590 528325969 /TMS/2026-04-15T08:14:19 GMT/MID/1.271462"/>
    <m/>
    <m/>
    <m/>
    <m/>
    <m/>
    <m/>
    <m/>
    <m/>
    <m/>
    <m/>
    <m/>
    <m/>
    <m/>
    <m/>
    <m/>
    <m/>
    <m/>
    <m/>
    <m/>
    <m/>
    <m/>
    <m/>
    <m/>
    <m/>
    <m/>
    <m/>
    <m/>
    <m/>
    <m/>
    <m/>
    <m/>
    <m/>
    <m/>
    <m/>
    <m/>
    <m/>
  </r>
  <r>
    <s v="241 - Singapore"/>
    <d v="2026-05-04T00:00:00"/>
    <s v="MAY"/>
    <n v="2026"/>
    <x v="2"/>
    <s v="Deposited"/>
    <s v="PMT-S158-12718"/>
    <s v=""/>
    <s v="SGD"/>
    <n v="-4086"/>
    <n v="-3197.806"/>
    <n v="3197.806"/>
    <n v="-3197.806"/>
    <s v="DUMMY CUSTOMER_CASHAPPS 241 - Singapore"/>
    <s v="Mahek Chugani-242"/>
    <s v="/CREF/7458424-38000-SG-ACH/BREF/J11 700018855 /EREF/SG260424073/PURP/SALA /OCMT/SGD4086,00/"/>
    <m/>
    <m/>
    <m/>
    <m/>
    <m/>
    <m/>
    <m/>
    <m/>
    <m/>
    <m/>
    <m/>
    <m/>
    <m/>
    <m/>
    <m/>
    <m/>
    <m/>
    <m/>
    <m/>
    <m/>
    <m/>
    <m/>
    <m/>
    <m/>
    <m/>
    <m/>
    <m/>
    <m/>
    <m/>
    <m/>
    <m/>
    <m/>
    <m/>
    <m/>
    <m/>
    <m/>
  </r>
  <r>
    <s v="241 - Singapore"/>
    <d v="2026-05-05T00:00:00"/>
    <s v="MAY"/>
    <n v="2026"/>
    <x v="2"/>
    <s v="Deposited"/>
    <s v="PMT-S158-12723"/>
    <s v="IN-S158-410178"/>
    <s v="USD"/>
    <n v="-20213.8"/>
    <n v="-19806.392"/>
    <n v="2127.0500000000002"/>
    <n v="-2127.0500000000002"/>
    <s v="Bowman Technologies Inc"/>
    <s v=""/>
    <s v="BOWMAN TECHNOLOGIES INC. /INV/SUPPLIERS PAYMENT PAYMENT FOR SUBSCRIPTION QTY 19 ITEM DESC CA SO CIAL ESSENTIALS L2.. FX USD 20213.80 AT 1.2519980 529478442/TMS/2026-05-05T09:21:01 GMT/MID/1.277626"/>
    <m/>
    <m/>
    <m/>
    <m/>
    <m/>
    <m/>
    <m/>
    <m/>
    <m/>
    <m/>
    <m/>
    <m/>
    <m/>
    <m/>
    <m/>
    <m/>
    <m/>
    <m/>
    <m/>
    <m/>
    <m/>
    <m/>
    <m/>
    <m/>
    <m/>
    <m/>
    <m/>
    <m/>
    <m/>
    <m/>
    <m/>
    <m/>
    <m/>
    <m/>
    <m/>
    <m/>
  </r>
  <r>
    <s v="241 - Singapore"/>
    <d v="2026-02-12T00:00:00"/>
    <s v="FEBRUARY"/>
    <n v="2026"/>
    <x v="2"/>
    <s v="Deposited"/>
    <s v="PMT-S158-12205"/>
    <s v="IN-S158-410166"/>
    <s v="USD"/>
    <n v="-5000"/>
    <n v="-4974.2860000000001"/>
    <n v="1909.018"/>
    <n v="-1909.018"/>
    <s v="The Huddle Room"/>
    <s v=""/>
    <s v=""/>
    <m/>
    <m/>
    <m/>
    <m/>
    <m/>
    <m/>
    <m/>
    <m/>
    <m/>
    <m/>
    <m/>
    <m/>
    <m/>
    <m/>
    <m/>
    <m/>
    <m/>
    <m/>
    <m/>
    <m/>
    <m/>
    <m/>
    <m/>
    <m/>
    <m/>
    <m/>
    <m/>
    <m/>
    <m/>
    <m/>
    <m/>
    <m/>
    <m/>
    <m/>
    <m/>
    <m/>
  </r>
  <r>
    <s v="241 - Singapore"/>
    <d v="2026-04-30T00:00:00"/>
    <s v="APRIL"/>
    <n v="2026"/>
    <x v="2"/>
    <s v="Deposited"/>
    <s v="PMT-S158-12708"/>
    <s v="IN-S158-410605"/>
    <s v="USD"/>
    <n v="-14235.5"/>
    <n v="-13975.742"/>
    <n v="1498.9770000000001"/>
    <n v="-1498.9770000000001"/>
    <s v="St. Luke's Medical Center"/>
    <s v=""/>
    <s v="ST LUKE S MEDICAL CENTER GLOBAL CIT IN S158 410605 CA ADDITIONAL SEARCH ES USERS AND SITE REVIEWS FX USD 14235.50 AT 1.2544360 529153071 /TMS/2026-04-30T01:17:09 GMT/MID/1.280822"/>
    <m/>
    <m/>
    <m/>
    <m/>
    <m/>
    <m/>
    <m/>
    <m/>
    <m/>
    <m/>
    <m/>
    <m/>
    <m/>
    <m/>
    <m/>
    <m/>
    <m/>
    <m/>
    <m/>
    <m/>
    <m/>
    <m/>
    <m/>
    <m/>
    <m/>
    <m/>
    <m/>
    <m/>
    <m/>
    <m/>
    <m/>
    <m/>
    <m/>
    <m/>
    <m/>
    <m/>
  </r>
  <r>
    <s v="241 - Singapore"/>
    <d v="2026-04-16T00:00:00"/>
    <s v="APRIL"/>
    <n v="2026"/>
    <x v="2"/>
    <s v="Deposited"/>
    <s v="PMT-S158-12609"/>
    <s v="IN-S158-410316"/>
    <s v="USD"/>
    <n v="-7433"/>
    <n v="-7244.3059999999996"/>
    <n v="777.74099999999999"/>
    <n v="-777.74099999999999"/>
    <s v="Intelligent Beauty Skin Solutions, Inc. Business Style: Belo Medical Group"/>
    <s v=""/>
    <s v="INTELLIGENT BEAUTY SKIN SOLUTIONS I IN S158 410316 HO FX USD 7433.00 AT 1.2453140 528384503/TMS/2026-04-16T07:40:19 GMT/MID/1.270803"/>
    <m/>
    <m/>
    <m/>
    <m/>
    <m/>
    <m/>
    <m/>
    <m/>
    <m/>
    <m/>
    <m/>
    <m/>
    <m/>
    <m/>
    <m/>
    <m/>
    <m/>
    <m/>
    <m/>
    <m/>
    <m/>
    <m/>
    <m/>
    <m/>
    <m/>
    <m/>
    <m/>
    <m/>
    <m/>
    <m/>
    <m/>
    <m/>
    <m/>
    <m/>
    <m/>
    <m/>
  </r>
  <r>
    <s v="241 - Singapore"/>
    <d v="2023-11-06T00:00:00"/>
    <s v="NOVEMBER"/>
    <n v="2023"/>
    <x v="2"/>
    <s v="Deposited"/>
    <s v="PMT-S158-8648"/>
    <s v=""/>
    <s v="SGD"/>
    <n v="-782.25"/>
    <n v="-612.20799999999997"/>
    <n v="612.20799999999997"/>
    <n v="-612.20799999999997"/>
    <s v="PT. Sompo Insurance Indonesia"/>
    <s v=""/>
    <s v="PT. SOMPO INSURANCE INDONESIA IN-S158-407449"/>
    <m/>
    <m/>
    <m/>
    <m/>
    <m/>
    <m/>
    <m/>
    <m/>
    <m/>
    <m/>
    <m/>
    <m/>
    <m/>
    <m/>
    <m/>
    <m/>
    <m/>
    <m/>
    <m/>
    <m/>
    <m/>
    <m/>
    <m/>
    <m/>
    <m/>
    <m/>
    <m/>
    <m/>
    <m/>
    <m/>
    <m/>
    <m/>
    <m/>
    <m/>
    <m/>
    <m/>
  </r>
  <r>
    <s v="241 - Singapore"/>
    <d v="2023-05-17T00:00:00"/>
    <s v="MAY"/>
    <n v="2023"/>
    <x v="2"/>
    <s v="Deposited"/>
    <s v="PMT-S158-7784"/>
    <s v=""/>
    <s v="SGD"/>
    <n v="-761.07"/>
    <n v="-595.63199999999995"/>
    <n v="595.63199999999995"/>
    <n v="-595.63199999999995"/>
    <s v="InsightzClub Pte LTD"/>
    <s v=""/>
    <s v="1/CMC WORLDWIDE B.V. /URI/IN-S158-405515,our ref 345568 . Refund double payment///ROC/EC313 0I4CO3S5G00 FX EUR 539.99 AT 1.4094130 234341493/TMS/2023-05-17T01:18:23 GMT/MID/1.456891"/>
    <m/>
    <m/>
    <m/>
    <m/>
    <m/>
    <m/>
    <m/>
    <m/>
    <m/>
    <m/>
    <m/>
    <m/>
    <m/>
    <m/>
    <m/>
    <m/>
    <m/>
    <m/>
    <m/>
    <m/>
    <m/>
    <m/>
    <m/>
    <m/>
    <m/>
    <m/>
    <m/>
    <m/>
    <m/>
    <m/>
    <m/>
    <m/>
    <m/>
    <m/>
    <m/>
    <m/>
  </r>
  <r>
    <s v="241 - Singapore"/>
    <d v="2026-04-28T00:00:00"/>
    <s v="APRIL"/>
    <n v="2026"/>
    <x v="2"/>
    <s v="Deposited"/>
    <s v="PMT-S158-12678"/>
    <s v="IN-S158-410595"/>
    <s v="USD"/>
    <n v="-5115.6000000000004"/>
    <n v="-5001.3729999999996"/>
    <n v="535.86300000000006"/>
    <n v="-535.86300000000006"/>
    <s v="LouderPH"/>
    <s v=""/>
    <s v="1/LOUDERPH INC /URI/OTHER-PAYMENT OF MONTHLY SUBSC RIPTI 6562385010///ROC/PHNTR0225355 /1 FX USD 5115.60 AT 1.2492210 529004653/TMS/2026-04-28T01:17:03 GMT/MID/1.274802"/>
    <m/>
    <m/>
    <m/>
    <m/>
    <m/>
    <m/>
    <m/>
    <m/>
    <m/>
    <m/>
    <m/>
    <m/>
    <m/>
    <m/>
    <m/>
    <m/>
    <m/>
    <m/>
    <m/>
    <m/>
    <m/>
    <m/>
    <m/>
    <m/>
    <m/>
    <m/>
    <m/>
    <m/>
    <m/>
    <m/>
    <m/>
    <m/>
    <m/>
    <m/>
    <m/>
    <m/>
  </r>
  <r>
    <s v="241 - Singapore"/>
    <d v="2026-03-09T00:00:00"/>
    <s v="MARCH"/>
    <n v="2026"/>
    <x v="2"/>
    <s v="Deposited"/>
    <s v="PMT-S158-12337"/>
    <s v="IN-S158-410484"/>
    <s v="SGD"/>
    <n v="-8595.74"/>
    <n v="-6727.241"/>
    <n v="17.053000000000001"/>
    <n v="6693.134"/>
    <s v="Ministry of Sustainability and the Environment"/>
    <s v=""/>
    <s v="/EREF/5004731176/PURP/OTHR /IREF/20260309OCBCSGSGBBP0030373/OBK/OCBCSGSG /ORDP/THE ACCOUNTANT GENERAL /OCMT/SGD41265,22/"/>
    <m/>
    <m/>
    <m/>
    <m/>
    <m/>
    <m/>
    <m/>
    <m/>
    <m/>
    <m/>
    <m/>
    <m/>
    <m/>
    <m/>
    <m/>
    <m/>
    <m/>
    <m/>
    <m/>
    <m/>
    <m/>
    <m/>
    <m/>
    <m/>
    <m/>
    <m/>
    <m/>
    <m/>
    <m/>
    <m/>
    <m/>
    <m/>
    <m/>
    <m/>
    <m/>
    <m/>
  </r>
  <r>
    <s v="302 - Netherlands"/>
    <d v="2023-06-02T00:00:00"/>
    <s v="JUNE"/>
    <n v="2023"/>
    <x v="3"/>
    <s v="Deposited"/>
    <s v="PMT-S147-14165"/>
    <s v=""/>
    <s v="EUR"/>
    <n v="-24200"/>
    <n v="-28300.69"/>
    <n v="28300.69"/>
    <n v="-28300.69"/>
    <s v="IBFD"/>
    <s v="Prabhat Aggarwal"/>
    <s v="/EREF/001VENDPAY001982-5637200 592-04/ORDP//NAME/STG INTERNATIONAA L BELASTING DOCUMENTATIE BUREAU/ID//REMI/IN-S147-413743/ISDT/2023 0602/ULTD//NAME//ID//ULTB//NAME//ID//PURP//PRTRY//OCMT/EUR24200,/ EXCH/1.0000000"/>
    <m/>
    <m/>
    <m/>
    <m/>
    <m/>
    <m/>
    <m/>
    <m/>
    <m/>
    <m/>
    <m/>
    <m/>
    <m/>
    <m/>
    <m/>
    <m/>
    <m/>
    <m/>
    <m/>
    <m/>
    <m/>
    <m/>
    <m/>
    <m/>
    <m/>
    <m/>
    <m/>
    <m/>
    <m/>
    <m/>
    <m/>
    <m/>
    <m/>
    <m/>
    <m/>
    <m/>
  </r>
  <r>
    <s v="302 - Netherlands"/>
    <d v="2026-03-27T00:00:00"/>
    <s v="MARCH"/>
    <n v="2026"/>
    <x v="3"/>
    <s v="Deposited"/>
    <s v="PMT-S147-17809"/>
    <s v=""/>
    <s v="EUR"/>
    <n v="-12337.5"/>
    <n v="-14428.089"/>
    <n v="14428.089"/>
    <n v="-17457.993999999999"/>
    <s v="DUFRY INTERNATIONAL AG"/>
    <s v="Prabhat Aggarwal"/>
    <s v="/EREF/2000111053/ORDP//NAME/DUFRY IN TERNATIONAL AG/ID/549300I08UA 8SMJON743 BOID/REMI/20260113/IN-S147-416715/12337.50 1700182739 1 700182739/ISDT/20260327/ULTD//NAME//ID//ULTB//NAME//ID//PURP//PRT RY//OCMT/EUR12337,5/EXCH/1.0000000"/>
    <m/>
    <m/>
    <m/>
    <m/>
    <m/>
    <m/>
    <m/>
    <m/>
    <m/>
    <m/>
    <m/>
    <m/>
    <m/>
    <m/>
    <m/>
    <m/>
    <m/>
    <m/>
    <m/>
    <m/>
    <m/>
    <m/>
    <m/>
    <m/>
    <m/>
    <m/>
    <m/>
    <m/>
    <m/>
    <m/>
    <m/>
    <m/>
    <m/>
    <m/>
    <m/>
    <m/>
  </r>
  <r>
    <s v="302 - Netherlands"/>
    <d v="2022-12-27T00:00:00"/>
    <s v="DECEMBER"/>
    <n v="2022"/>
    <x v="3"/>
    <s v="Deposited"/>
    <s v="PMT-S147-13355"/>
    <s v="IN-S147-413006"/>
    <s v="EUR"/>
    <n v="-37510"/>
    <n v="-43866.07"/>
    <n v="12854.173000000001"/>
    <n v="-12854.173000000001"/>
    <s v="KPMG Staffing &amp; Facility Services B.V."/>
    <s v="Prabhat Aggarwal"/>
    <s v="/EREF/2000372831/ORDP//NAME/KPMG N.V ./ID//REMI/ACCOUNT WITNO.IN-S 147-413006/13.12.2022/ISDT/20221227/ULTD//NAME//ID//ULTB//NAME//I D//PURP//PRTRY//OCMT/EUR37510,/EXCH/1.0000000"/>
    <m/>
    <m/>
    <m/>
    <m/>
    <m/>
    <m/>
    <m/>
    <m/>
    <m/>
    <m/>
    <m/>
    <m/>
    <m/>
    <m/>
    <m/>
    <m/>
    <m/>
    <m/>
    <m/>
    <m/>
    <m/>
    <m/>
    <m/>
    <m/>
    <m/>
    <m/>
    <m/>
    <m/>
    <m/>
    <m/>
    <m/>
    <m/>
    <m/>
    <m/>
    <m/>
    <m/>
  </r>
  <r>
    <s v="302 - Netherlands"/>
    <d v="2026-03-04T00:00:00"/>
    <s v="MARCH"/>
    <n v="2026"/>
    <x v="3"/>
    <s v="Deposited"/>
    <s v="PMT-S147-17729"/>
    <s v="IN-S147-416756"/>
    <s v="EUR"/>
    <n v="-25676.21"/>
    <n v="-30027.044000000002"/>
    <n v="11407.54"/>
    <n v="-11407.54"/>
    <s v="Scania Nederland B.V."/>
    <s v="Prabhat Aggarwal"/>
    <s v="/EREF/00057562/ORDP//NAME/SCANIA NEDER LAND B.V./ID/27136821 COID/ REMI/INS147416756/ISDT/20260304/ULTD//NAME//ID//ULTB//NAME//ID//P URP//PRTRY//OCMT/EUR25676,21/EXCH/1.0000000"/>
    <m/>
    <m/>
    <m/>
    <m/>
    <m/>
    <m/>
    <m/>
    <m/>
    <m/>
    <m/>
    <m/>
    <m/>
    <m/>
    <m/>
    <m/>
    <m/>
    <m/>
    <m/>
    <m/>
    <m/>
    <m/>
    <m/>
    <m/>
    <m/>
    <m/>
    <m/>
    <m/>
    <m/>
    <m/>
    <m/>
    <m/>
    <m/>
    <m/>
    <m/>
    <m/>
    <m/>
  </r>
  <r>
    <s v="302 - Netherlands"/>
    <d v="2023-11-16T00:00:00"/>
    <s v="NOVEMBER"/>
    <n v="2023"/>
    <x v="3"/>
    <s v="Deposited"/>
    <s v="PMT-S147-14799"/>
    <s v=""/>
    <s v="EUR"/>
    <n v="-7865"/>
    <n v="-9197.7240000000002"/>
    <n v="9197.7240000000002"/>
    <n v="-9197.7240000000002"/>
    <s v="Tommy Hilfiger Europe B.V."/>
    <s v="Prabhat Aggarwal"/>
    <s v="/EREF/TH31202311152000046285/OR DP//NAME/PVH EUROPE B.V./ID/693693 0 NS/REMI/IN-S147-412319PVHETOMMY HILFIGER EUROPE BV/ISDT/2023111 6/ULTD//NAME/PVH EUROPE BV/ID//ULTB//NAME//ID//PURP//PRTRY//OCMT/ EUR7865,/EXCH/1.0000000"/>
    <m/>
    <m/>
    <m/>
    <m/>
    <m/>
    <m/>
    <m/>
    <m/>
    <m/>
    <m/>
    <m/>
    <m/>
    <m/>
    <m/>
    <m/>
    <m/>
    <m/>
    <m/>
    <m/>
    <m/>
    <m/>
    <m/>
    <m/>
    <m/>
    <m/>
    <m/>
    <m/>
    <m/>
    <m/>
    <m/>
    <m/>
    <m/>
    <m/>
    <m/>
    <m/>
    <m/>
  </r>
  <r>
    <s v="302 - Netherlands"/>
    <d v="2023-11-16T00:00:00"/>
    <s v="NOVEMBER"/>
    <n v="2023"/>
    <x v="3"/>
    <s v="Deposited"/>
    <s v="PMT-S147-14797"/>
    <s v=""/>
    <s v="EUR"/>
    <n v="-5929"/>
    <n v="-6933.6689999999999"/>
    <n v="6933.6689999999999"/>
    <n v="-6933.6689999999999"/>
    <s v="Optiver Services BV"/>
    <s v="Prabhat Aggarwal"/>
    <s v="/EREF/10903-00010903/31/ORDP//NAM E/OPTIVER SERVICES B.V./ID//REMI /IN-S-147-414299/ISDT/20231116/ULTD//NAME//ID//ULTB//NAME//ID//PU RP//PRTRY//OCMT/EUR5929,/EXCH/1.0000000"/>
    <m/>
    <m/>
    <m/>
    <m/>
    <m/>
    <m/>
    <m/>
    <m/>
    <m/>
    <m/>
    <m/>
    <m/>
    <m/>
    <m/>
    <m/>
    <m/>
    <m/>
    <m/>
    <m/>
    <m/>
    <m/>
    <m/>
    <m/>
    <m/>
    <m/>
    <m/>
    <m/>
    <m/>
    <m/>
    <m/>
    <m/>
    <m/>
    <m/>
    <m/>
    <m/>
    <m/>
  </r>
  <r>
    <s v="302 - Netherlands"/>
    <d v="2025-12-19T00:00:00"/>
    <s v="DECEMBER"/>
    <n v="2025"/>
    <x v="3"/>
    <s v="Deposited"/>
    <s v="PMT-S147-17435"/>
    <s v="IN-S147-416618"/>
    <s v="EUR"/>
    <n v="-8578.5"/>
    <n v="-10032.127"/>
    <n v="4297.7290000000003"/>
    <n v="-4297.7290000000003"/>
    <s v="NV Mediahuis"/>
    <s v="Prabhat Aggarwal"/>
    <s v="/EREF/31-000251218200603/ORDP// NAME/MEDIAHUIS/ID/0439849666 NS KB O-BCE/REMI/IN-S147-416618/ISDT/20251219/ULTD//NAME//ID//ULTB//NAM E//ID//PURP//PRTRY//OCMT/EUR8578,5/EXCH/1.0000000"/>
    <m/>
    <m/>
    <m/>
    <m/>
    <m/>
    <m/>
    <m/>
    <m/>
    <m/>
    <m/>
    <m/>
    <m/>
    <m/>
    <m/>
    <m/>
    <m/>
    <m/>
    <m/>
    <m/>
    <m/>
    <m/>
    <m/>
    <m/>
    <m/>
    <m/>
    <m/>
    <m/>
    <m/>
    <m/>
    <m/>
    <m/>
    <m/>
    <m/>
    <m/>
    <m/>
    <m/>
  </r>
  <r>
    <s v="302 - Netherlands"/>
    <d v="2022-06-21T00:00:00"/>
    <s v="JUNE"/>
    <n v="2022"/>
    <x v="3"/>
    <s v="Deposited"/>
    <s v="PMT-S147-12452"/>
    <s v="IN-S147-411971"/>
    <s v="EUR"/>
    <n v="-29040"/>
    <n v="-33960.828000000001"/>
    <n v="4245.1040000000003"/>
    <n v="-4245.1040000000003"/>
    <s v="CD Communications"/>
    <s v="Prabhat Aggarwal"/>
    <s v="/EREF/NOTPROVIDED/ORDP//NAME/CD COM MUNICATIONS/ID//REMI/INVOICE:I N-S147-411972,411971,411055/ISDT/20220621/ULTD//NAME//ID//ULTB/ /NAME//ID//PURP//PRTRY//OCMT/EUR32670,/EXCH/1.0000000"/>
    <m/>
    <m/>
    <m/>
    <m/>
    <m/>
    <m/>
    <m/>
    <m/>
    <m/>
    <m/>
    <m/>
    <m/>
    <m/>
    <m/>
    <m/>
    <m/>
    <m/>
    <m/>
    <m/>
    <m/>
    <m/>
    <m/>
    <m/>
    <m/>
    <m/>
    <m/>
    <m/>
    <m/>
    <m/>
    <m/>
    <m/>
    <m/>
    <m/>
    <m/>
    <m/>
    <m/>
  </r>
  <r>
    <s v="302 - Netherlands"/>
    <d v="2023-03-15T00:00:00"/>
    <s v="MARCH"/>
    <n v="2023"/>
    <x v="3"/>
    <s v="Deposited"/>
    <s v="PMT-S147-13865"/>
    <s v=""/>
    <s v="EUR"/>
    <n v="-3623.95"/>
    <n v="-4238.0280000000002"/>
    <n v="4238.0280000000002"/>
    <n v="-8203.4699999999993"/>
    <s v="DUMMY CUSTOMER_CASHAPPS 302 - Netherlands"/>
    <s v="Prabhat Aggarwal"/>
    <s v="/EREF/NOTPROVIDED/ORDP//NAME/AA KANT OOR TOTAAL B.V./ID//REMI/V100 24931/ISDT/20230315/ULTD//NAME//ID//ULTB//NAME//ID//PURP//PRTRY// OCMT/EUR3623,95/EXCH/1.0000000"/>
    <m/>
    <m/>
    <m/>
    <m/>
    <m/>
    <m/>
    <m/>
    <m/>
    <m/>
    <m/>
    <m/>
    <m/>
    <m/>
    <m/>
    <m/>
    <m/>
    <m/>
    <m/>
    <m/>
    <m/>
    <m/>
    <m/>
    <m/>
    <m/>
    <m/>
    <m/>
    <m/>
    <m/>
    <m/>
    <m/>
    <m/>
    <m/>
    <m/>
    <m/>
    <m/>
    <m/>
  </r>
  <r>
    <s v="302 - Netherlands"/>
    <d v="2024-02-23T00:00:00"/>
    <s v="FEBRUARY"/>
    <n v="2024"/>
    <x v="3"/>
    <s v="Deposited"/>
    <s v="PMT-S147-15317"/>
    <s v=""/>
    <s v="EUR"/>
    <n v="-3390.86"/>
    <n v="-3965.4409999999998"/>
    <n v="3965.4409999999998"/>
    <n v="-8203.4699999999993"/>
    <s v="DUMMY CUSTOMER_CASHAPPS 302 - Netherlands"/>
    <s v="Prabhat Aggarwal"/>
    <s v="/EREF/SC20240222092602655609148 2406/ORDP//NAME/GRUNDSTUCKS-FONDSG VW/ID//REMI/SC SETTLEMENT 2022/ISDT/20240223/ULTD//NAME//ID//ULTB //NAME//ID//PURP//PRTRY//OCMT/EUR3390,86/EXCH/1.0000000"/>
    <m/>
    <m/>
    <m/>
    <m/>
    <m/>
    <m/>
    <m/>
    <m/>
    <m/>
    <m/>
    <m/>
    <m/>
    <m/>
    <m/>
    <m/>
    <m/>
    <m/>
    <m/>
    <m/>
    <m/>
    <m/>
    <m/>
    <m/>
    <m/>
    <m/>
    <m/>
    <m/>
    <m/>
    <m/>
    <m/>
    <m/>
    <m/>
    <m/>
    <m/>
    <m/>
    <m/>
  </r>
  <r>
    <s v="302 - Netherlands"/>
    <d v="2025-02-05T00:00:00"/>
    <s v="FEBRUARY"/>
    <n v="2025"/>
    <x v="3"/>
    <s v="Deposited"/>
    <s v="PMT-S147-16487"/>
    <s v="IN-S147-415843"/>
    <s v="EUR"/>
    <n v="-12039.5"/>
    <n v="-14079.593000000001"/>
    <n v="2443.5659999999998"/>
    <n v="-2443.5659999999998"/>
    <s v="BouMatic Gascoigne Mélotte"/>
    <s v="Georgia Albutt-392"/>
    <s v="/EREF/202502041558462790ISABEL /ORDP//NAME/BOUMATIC GASCOIGNE MELO TTE/ID//REMI/IN-S147-415594/ISDT/20250205/ULTD//NAME//ID//ULTB//N AME//ID//PURP//PRTRY//OCMT/EUR12039,5/EXCH/1.0000000"/>
    <m/>
    <m/>
    <m/>
    <m/>
    <m/>
    <m/>
    <m/>
    <m/>
    <m/>
    <m/>
    <m/>
    <m/>
    <m/>
    <m/>
    <m/>
    <m/>
    <m/>
    <m/>
    <m/>
    <m/>
    <m/>
    <m/>
    <m/>
    <m/>
    <m/>
    <m/>
    <m/>
    <m/>
    <m/>
    <m/>
    <m/>
    <m/>
    <m/>
    <m/>
    <m/>
    <m/>
  </r>
  <r>
    <s v="302 - Netherlands"/>
    <d v="2022-12-27T00:00:00"/>
    <s v="DECEMBER"/>
    <n v="2022"/>
    <x v="3"/>
    <s v="Deposited"/>
    <s v="PMT-S147-13350"/>
    <s v="IN-S147-413332"/>
    <s v="EUR"/>
    <n v="-8984.25"/>
    <n v="-10506.630999999999"/>
    <n v="477.58"/>
    <n v="-477.58"/>
    <s v="Cohedron B.V."/>
    <s v="Prabhat Aggarwal"/>
    <s v="/EREF/0000600050670006363000120 984/ORDP//NAME/COHEDRON B.V./ID//R EMI/FACTUUR:IN-S147-412857/ISDT/20221227/ULTD//NAME//ID//ULTB//NA ME//ID//PURP//PRTRY//OCMT/EUR8984,25/EXCH/1.0000000"/>
    <m/>
    <m/>
    <m/>
    <m/>
    <m/>
    <m/>
    <m/>
    <m/>
    <m/>
    <m/>
    <m/>
    <m/>
    <m/>
    <m/>
    <m/>
    <m/>
    <m/>
    <m/>
    <m/>
    <m/>
    <m/>
    <m/>
    <m/>
    <m/>
    <m/>
    <m/>
    <m/>
    <m/>
    <m/>
    <m/>
    <m/>
    <m/>
    <m/>
    <m/>
    <m/>
    <m/>
  </r>
  <r>
    <s v="311 - Germany"/>
    <d v="2026-03-05T00:00:00"/>
    <s v="MARCH"/>
    <n v="2026"/>
    <x v="3"/>
    <s v="Not Deposited"/>
    <s v="PMT-S109-54641"/>
    <s v="IN-S109-448351"/>
    <s v="EUR"/>
    <n v="-169254.39"/>
    <n v="-197934.546"/>
    <n v="77986.527000000002"/>
    <n v="-77986.527000000002"/>
    <s v="Schindler Digital Innovation GmbH"/>
    <s v="Theresa Saal"/>
    <s v="Payment for 109-Germany IN-S109-448351 received in 102-US"/>
    <m/>
    <m/>
    <m/>
    <m/>
    <m/>
    <m/>
    <m/>
    <m/>
    <m/>
    <m/>
    <m/>
    <m/>
    <m/>
    <m/>
    <m/>
    <m/>
    <m/>
    <m/>
    <m/>
    <m/>
    <m/>
    <m/>
    <m/>
    <m/>
    <m/>
    <m/>
    <m/>
    <m/>
    <m/>
    <m/>
    <m/>
    <m/>
    <m/>
    <m/>
    <m/>
    <m/>
  </r>
  <r>
    <s v="311 - Germany"/>
    <d v="2026-03-04T00:00:00"/>
    <s v="MARCH"/>
    <n v="2026"/>
    <x v="3"/>
    <s v="Not Deposited"/>
    <s v="PMT-S109-54633"/>
    <s v=""/>
    <s v="EUR"/>
    <n v="-32188.71"/>
    <n v="-37643.087"/>
    <n v="37643.087"/>
    <n v="-37643.087"/>
    <s v="German Naval Yards Kiel GmbH"/>
    <s v="Theresa Saal"/>
    <s v="PMT-S109-44300 to be moved to customer SA-S109-DE-1720583 German Naval Yards Kiel GmbH"/>
    <m/>
    <m/>
    <m/>
    <m/>
    <m/>
    <m/>
    <m/>
    <m/>
    <m/>
    <m/>
    <m/>
    <m/>
    <m/>
    <m/>
    <m/>
    <m/>
    <m/>
    <m/>
    <m/>
    <m/>
    <m/>
    <m/>
    <m/>
    <m/>
    <m/>
    <m/>
    <m/>
    <m/>
    <m/>
    <m/>
    <m/>
    <m/>
    <m/>
    <m/>
    <m/>
    <m/>
  </r>
  <r>
    <s v="311 - Germany"/>
    <d v="2025-01-23T00:00:00"/>
    <s v="JANUARY"/>
    <n v="2025"/>
    <x v="3"/>
    <s v="Deposited"/>
    <s v="PMT-S109-49863"/>
    <s v="IN-S109-444970"/>
    <s v="EUR"/>
    <n v="-25280.06"/>
    <n v="-29563.766"/>
    <n v="23310.062000000002"/>
    <n v="44115.116000000002"/>
    <s v="Freudenberg &amp; Co. Kommanditgesellschaft"/>
    <s v="Theresa Saal"/>
    <s v="2000025892       1490612675250123 /ORD.CUST/FREUDENBERG + CO. KOMMANDITGESELLSC HAFT/EREF/200002589 2/PAY.DET./IN-S109-444970/23.12.2024/"/>
    <m/>
    <m/>
    <m/>
    <m/>
    <m/>
    <m/>
    <m/>
    <m/>
    <m/>
    <m/>
    <m/>
    <m/>
    <m/>
    <m/>
    <m/>
    <m/>
    <m/>
    <m/>
    <m/>
    <m/>
    <m/>
    <m/>
    <m/>
    <m/>
    <m/>
    <m/>
    <m/>
    <m/>
    <m/>
    <m/>
    <m/>
    <m/>
    <m/>
    <m/>
    <m/>
    <m/>
  </r>
  <r>
    <s v="311 - Germany"/>
    <d v="2025-01-21T00:00:00"/>
    <s v="JANUARY"/>
    <n v="2025"/>
    <x v="3"/>
    <s v="Deposited"/>
    <s v="PMT-S109-49823"/>
    <s v=""/>
    <s v="EUR"/>
    <n v="-14994"/>
    <n v="-17534.733"/>
    <n v="17534.733"/>
    <n v="-17534.733"/>
    <s v="PETA Deutschland e.V."/>
    <s v="Theresa Saal"/>
    <s v="4552005695-00000 1490534006250 120 /ORD.CUST/PETA DEUTSCHLAND E.V./EREF/4552005695-0000001/PAY.DET./ RNR. IN-S109-445242 RDAT. 07.01.202 5"/>
    <m/>
    <m/>
    <m/>
    <m/>
    <m/>
    <m/>
    <m/>
    <m/>
    <m/>
    <m/>
    <m/>
    <m/>
    <m/>
    <m/>
    <m/>
    <m/>
    <m/>
    <m/>
    <m/>
    <m/>
    <m/>
    <m/>
    <m/>
    <m/>
    <m/>
    <m/>
    <m/>
    <m/>
    <m/>
    <m/>
    <m/>
    <m/>
    <m/>
    <m/>
    <m/>
    <m/>
  </r>
  <r>
    <s v="311 - Germany"/>
    <d v="2026-05-04T00:00:00"/>
    <s v="MAY"/>
    <n v="2026"/>
    <x v="3"/>
    <s v="Deposited"/>
    <s v="PMT-S109-55381"/>
    <s v=""/>
    <s v="EUR"/>
    <n v="-14700"/>
    <n v="-17190.915000000001"/>
    <n v="17190.915000000001"/>
    <n v="-34031.697"/>
    <s v="Watches and Wonders Geneva Foundation"/>
    <s v="Nathalie Darmois"/>
    <s v="FRSC TENEO PARIS 1480730582260 504 /ORD.CUST/TENEO PARIS/EREF/FRSC TENEO PARIS"/>
    <m/>
    <m/>
    <m/>
    <m/>
    <m/>
    <m/>
    <m/>
    <m/>
    <m/>
    <m/>
    <m/>
    <m/>
    <m/>
    <m/>
    <m/>
    <m/>
    <m/>
    <m/>
    <m/>
    <m/>
    <m/>
    <m/>
    <m/>
    <m/>
    <m/>
    <m/>
    <m/>
    <m/>
    <m/>
    <m/>
    <m/>
    <m/>
    <m/>
    <m/>
    <m/>
    <m/>
  </r>
  <r>
    <s v="311 - Germany"/>
    <d v="2026-05-04T00:00:00"/>
    <s v="MAY"/>
    <n v="2026"/>
    <x v="3"/>
    <s v="Deposited"/>
    <s v="PMT-S109-55380"/>
    <s v=""/>
    <s v="EUR"/>
    <n v="-14400.6"/>
    <n v="-16840.781999999999"/>
    <n v="16840.781999999999"/>
    <n v="-34031.697"/>
    <s v="Watches and Wonders Geneva Foundation"/>
    <s v="Nathalie Darmois"/>
    <s v="NONREF           1480730727260504 /ORD.CUST/CIRCULO DE COMUNICACION SL/PAY.DET./B87255071 CIRCULO C OMUNICACION"/>
    <m/>
    <m/>
    <m/>
    <m/>
    <m/>
    <m/>
    <m/>
    <m/>
    <m/>
    <m/>
    <m/>
    <m/>
    <m/>
    <m/>
    <m/>
    <m/>
    <m/>
    <m/>
    <m/>
    <m/>
    <m/>
    <m/>
    <m/>
    <m/>
    <m/>
    <m/>
    <m/>
    <m/>
    <m/>
    <m/>
    <m/>
    <m/>
    <m/>
    <m/>
    <m/>
    <m/>
  </r>
  <r>
    <s v="311 - Germany"/>
    <d v="2024-12-09T00:00:00"/>
    <s v="DECEMBER"/>
    <n v="2024"/>
    <x v="3"/>
    <s v="Deposited"/>
    <s v="PMT-S109-49300"/>
    <s v=""/>
    <s v="EUR"/>
    <n v="-13860"/>
    <n v="-16208.576999999999"/>
    <n v="16208.576999999999"/>
    <n v="-16208.576999999999"/>
    <s v="TCC Global N.V."/>
    <s v=""/>
    <s v="TCC GLOBAL NV SEE ACCOUNT INFO 1489387824241209 /ORD.CUST/TCC GLOBAL NV/EREF/SEE ACCOUNT INFO/PAY.DET./SEE ACCOUN T INFO"/>
    <m/>
    <m/>
    <m/>
    <m/>
    <m/>
    <m/>
    <m/>
    <m/>
    <m/>
    <m/>
    <m/>
    <m/>
    <m/>
    <m/>
    <m/>
    <m/>
    <m/>
    <m/>
    <m/>
    <m/>
    <m/>
    <m/>
    <m/>
    <m/>
    <m/>
    <m/>
    <m/>
    <m/>
    <m/>
    <m/>
    <m/>
    <m/>
    <m/>
    <m/>
    <m/>
    <m/>
  </r>
  <r>
    <s v="311 - Germany"/>
    <d v="2023-09-28T00:00:00"/>
    <s v="SEPTEMBER"/>
    <n v="2023"/>
    <x v="3"/>
    <s v="Deposited"/>
    <s v="PMT-S109-43981"/>
    <s v=""/>
    <s v="EUR"/>
    <n v="-13000"/>
    <n v="-15202.85"/>
    <n v="15202.85"/>
    <n v="-15202.85"/>
    <s v="World Heart Federation"/>
    <s v="Theresa Saal"/>
    <s v="NONREF           1700772713230928 /OCMT/EUR13000,//ORD.CUST/1/HSBC CONT. EUROPE SA,GERMANY 2/HANSA ALLEE 3/PAY.DET./RETURN REG.PAYMENT DD.27.09.2023REF.2872179 FOR EUR 13.000,00 YOURREF.PMT-S109-34526 RSN.INSUFFICIENTOR WRONG BEN EFICIARY DETAILS"/>
    <m/>
    <m/>
    <m/>
    <m/>
    <m/>
    <m/>
    <m/>
    <m/>
    <m/>
    <m/>
    <m/>
    <m/>
    <m/>
    <m/>
    <m/>
    <m/>
    <m/>
    <m/>
    <m/>
    <m/>
    <m/>
    <m/>
    <m/>
    <m/>
    <m/>
    <m/>
    <m/>
    <m/>
    <m/>
    <m/>
    <m/>
    <m/>
    <m/>
    <m/>
    <m/>
    <m/>
  </r>
  <r>
    <s v="311 - Germany"/>
    <d v="2022-11-14T00:00:00"/>
    <s v="NOVEMBER"/>
    <n v="2022"/>
    <x v="3"/>
    <s v="Deposited"/>
    <s v="PMT-S109-39745"/>
    <s v=""/>
    <s v="EUR"/>
    <n v="-9000"/>
    <n v="-10525.05"/>
    <n v="10525.05"/>
    <n v="-32386.678"/>
    <s v="DUMMY CUSTOMER_CASHAPPS 311 - Germany"/>
    <s v="Theresa Saal"/>
    <s v="62211091638      1485571916221114 /ORD.CUST/CMN/EREF/62211091638/PAY.DET./CMN 92008388"/>
    <m/>
    <m/>
    <m/>
    <m/>
    <m/>
    <m/>
    <m/>
    <m/>
    <m/>
    <m/>
    <m/>
    <m/>
    <m/>
    <m/>
    <m/>
    <m/>
    <m/>
    <m/>
    <m/>
    <m/>
    <m/>
    <m/>
    <m/>
    <m/>
    <m/>
    <m/>
    <m/>
    <m/>
    <m/>
    <m/>
    <m/>
    <m/>
    <m/>
    <m/>
    <m/>
    <m/>
  </r>
  <r>
    <s v="311 - Germany"/>
    <d v="2025-01-13T00:00:00"/>
    <s v="JANUARY"/>
    <n v="2025"/>
    <x v="3"/>
    <s v="Deposited"/>
    <s v="PMT-S109-49689"/>
    <s v=""/>
    <s v="EUR"/>
    <n v="-8627.5"/>
    <n v="-10089.43"/>
    <n v="10089.43"/>
    <n v="-10089.43"/>
    <s v="Malt Community GmbH"/>
    <s v=""/>
    <s v="2501101050-00000 14903249532501 13 /ORD.CUST/MALT COMMUNITY GMBH/EREF/2501101050-0000008/PAY.DET./RN R 0 DATUM 08.01.2025 BETRAG 8.627,50 KTO. 84029"/>
    <m/>
    <m/>
    <m/>
    <m/>
    <m/>
    <m/>
    <m/>
    <m/>
    <m/>
    <m/>
    <m/>
    <m/>
    <m/>
    <m/>
    <m/>
    <m/>
    <m/>
    <m/>
    <m/>
    <m/>
    <m/>
    <m/>
    <m/>
    <m/>
    <m/>
    <m/>
    <m/>
    <m/>
    <m/>
    <m/>
    <m/>
    <m/>
    <m/>
    <m/>
    <m/>
    <m/>
  </r>
  <r>
    <s v="311 - Germany"/>
    <d v="2025-01-17T00:00:00"/>
    <s v="JANUARY"/>
    <n v="2025"/>
    <x v="3"/>
    <s v="Deposited"/>
    <s v="PMT-S109-49777"/>
    <s v=""/>
    <s v="EUR"/>
    <n v="-7973"/>
    <n v="-9324.0249999999996"/>
    <n v="9324.0249999999996"/>
    <n v="-9324.0249999999996"/>
    <s v="Conductix-Wampfler AG"/>
    <s v="Theresa Saal"/>
    <s v="2100333696       1490471688250117 /ORD.CUST/CONDUCTIX-WAMPFLER GMBH D/EREF/2100333696/PAY.DET.//INV /IN-S109-444935 3.1.2025"/>
    <m/>
    <m/>
    <m/>
    <m/>
    <m/>
    <m/>
    <m/>
    <m/>
    <m/>
    <m/>
    <m/>
    <m/>
    <m/>
    <m/>
    <m/>
    <m/>
    <m/>
    <m/>
    <m/>
    <m/>
    <m/>
    <m/>
    <m/>
    <m/>
    <m/>
    <m/>
    <m/>
    <m/>
    <m/>
    <m/>
    <m/>
    <m/>
    <m/>
    <m/>
    <m/>
    <m/>
  </r>
  <r>
    <s v="311 - Germany"/>
    <d v="2024-02-08T00:00:00"/>
    <s v="FEBRUARY"/>
    <n v="2024"/>
    <x v="3"/>
    <s v="Deposited"/>
    <s v="PMT-S109-45927"/>
    <s v=""/>
    <s v="EUR"/>
    <n v="-7905"/>
    <n v="-9244.5020000000004"/>
    <n v="9244.5020000000004"/>
    <n v="-9244.5020000000004"/>
    <s v="IMPERIAL YACHTS"/>
    <s v="Jan Sutherland"/>
    <s v="VIR SEPA 06022   1480731066240208 /ORD.CUST/TRESORERIE GENERALE DES FINANCES/EREF/VIR SEPA 06/02/20 24 11 45 30-00003/PAY.DET./INVOICE . IN-S109-438194 DATE 20 01 2 023"/>
    <m/>
    <m/>
    <m/>
    <m/>
    <m/>
    <m/>
    <m/>
    <m/>
    <m/>
    <m/>
    <m/>
    <m/>
    <m/>
    <m/>
    <m/>
    <m/>
    <m/>
    <m/>
    <m/>
    <m/>
    <m/>
    <m/>
    <m/>
    <m/>
    <m/>
    <m/>
    <m/>
    <m/>
    <m/>
    <m/>
    <m/>
    <m/>
    <m/>
    <m/>
    <m/>
    <m/>
  </r>
  <r>
    <s v="311 - Germany"/>
    <d v="2024-06-12T00:00:00"/>
    <s v="JUNE"/>
    <n v="2024"/>
    <x v="3"/>
    <s v="Deposited"/>
    <s v="PMT-S109-47567"/>
    <s v="864"/>
    <s v="EUR"/>
    <n v="-47600"/>
    <n v="-55665.82"/>
    <n v="8887.82"/>
    <n v="-8887.82"/>
    <s v="CSL Behring GmbH"/>
    <s v=""/>
    <s v="2000147351       1484318938240612 /ORD.CUST/CSL BEHRING GMBH/EREF/2000147351/PAY.DET.//REF/IN-S109- 442932 14.5.2024 20001 47351"/>
    <m/>
    <m/>
    <m/>
    <m/>
    <m/>
    <m/>
    <m/>
    <m/>
    <m/>
    <m/>
    <m/>
    <m/>
    <m/>
    <m/>
    <m/>
    <m/>
    <m/>
    <m/>
    <m/>
    <m/>
    <m/>
    <m/>
    <m/>
    <m/>
    <m/>
    <m/>
    <m/>
    <m/>
    <m/>
    <m/>
    <m/>
    <m/>
    <m/>
    <m/>
    <m/>
    <m/>
  </r>
  <r>
    <s v="311 - Germany"/>
    <d v="2025-10-23T00:00:00"/>
    <s v="OCTOBER"/>
    <n v="2025"/>
    <x v="3"/>
    <s v="Deposited"/>
    <s v="PMT-S109-52879"/>
    <s v="IN-S109-447156"/>
    <s v="EUR"/>
    <n v="-34319.599999999999"/>
    <n v="-40135.055999999997"/>
    <n v="8489.0380000000005"/>
    <n v="-8489.0380000000005"/>
    <s v="COHAUSZ &amp; FLORACK Patent- und Rechtsanwälte"/>
    <s v="Theresa Saal"/>
    <s v="36704            1496836965251023 /ORD.CUST/COHAUSZ + FLORACK PATENT- UND RECHT SANWALTE/EREF/36704 /PAY.DET./RG-NR. IN-S109-447156,IN-S109-4473 73"/>
    <m/>
    <m/>
    <m/>
    <m/>
    <m/>
    <m/>
    <m/>
    <m/>
    <m/>
    <m/>
    <m/>
    <m/>
    <m/>
    <m/>
    <m/>
    <m/>
    <m/>
    <m/>
    <m/>
    <m/>
    <m/>
    <m/>
    <m/>
    <m/>
    <m/>
    <m/>
    <m/>
    <m/>
    <m/>
    <m/>
    <m/>
    <m/>
    <m/>
    <m/>
    <m/>
    <m/>
  </r>
  <r>
    <s v="311 - Germany"/>
    <d v="2022-08-31T00:00:00"/>
    <s v="AUGUST"/>
    <n v="2022"/>
    <x v="3"/>
    <s v="Deposited"/>
    <s v="PMT-S109-38755"/>
    <s v=""/>
    <s v="EUR"/>
    <n v="-7200"/>
    <n v="-8420.0400000000009"/>
    <n v="8420.0400000000009"/>
    <n v="-8420.0400000000009"/>
    <s v="FMR GLOBAL HEALTH"/>
    <s v="Sophie Sadoune-MW"/>
    <s v="67482            1482839834220831 /ORD.CUST/VERISURE/EREF/67482/PAY.DET./IN-S109-435642"/>
    <m/>
    <m/>
    <m/>
    <m/>
    <m/>
    <m/>
    <m/>
    <m/>
    <m/>
    <m/>
    <m/>
    <m/>
    <m/>
    <m/>
    <m/>
    <m/>
    <m/>
    <m/>
    <m/>
    <m/>
    <m/>
    <m/>
    <m/>
    <m/>
    <m/>
    <m/>
    <m/>
    <m/>
    <m/>
    <m/>
    <m/>
    <m/>
    <m/>
    <m/>
    <m/>
    <m/>
  </r>
  <r>
    <s v="311 - Germany"/>
    <d v="2023-05-19T00:00:00"/>
    <s v="MAY"/>
    <n v="2023"/>
    <x v="3"/>
    <s v="Deposited"/>
    <s v="PMT-S109-42725"/>
    <s v=""/>
    <s v="EUR"/>
    <n v="-7114.81"/>
    <n v="-8320.4150000000009"/>
    <n v="8320.4150000000009"/>
    <n v="-32386.678"/>
    <s v="DUMMY CUSTOMER_CASHAPPS 311 - Germany"/>
    <s v="Theresa Saal"/>
    <s v="230518-18KOG0010 14923488802305 19 /ORD.CUST/CANADA LIFE ASSURANC/EREF/230518-18KOG0010000018/PAY.DE T./L97451-CLE6774607E R113L97451"/>
    <m/>
    <m/>
    <m/>
    <m/>
    <m/>
    <m/>
    <m/>
    <m/>
    <m/>
    <m/>
    <m/>
    <m/>
    <m/>
    <m/>
    <m/>
    <m/>
    <m/>
    <m/>
    <m/>
    <m/>
    <m/>
    <m/>
    <m/>
    <m/>
    <m/>
    <m/>
    <m/>
    <m/>
    <m/>
    <m/>
    <m/>
    <m/>
    <m/>
    <m/>
    <m/>
    <m/>
  </r>
  <r>
    <s v="311 - Germany"/>
    <d v="2023-05-11T00:00:00"/>
    <s v="MAY"/>
    <n v="2023"/>
    <x v="3"/>
    <s v="Deposited"/>
    <s v="PMT-S109-42615"/>
    <s v=""/>
    <s v="EUR"/>
    <n v="-6500"/>
    <n v="-7601.4250000000002"/>
    <n v="7601.4250000000002"/>
    <n v="-7601.4250000000002"/>
    <s v="Emile Henry"/>
    <s v="Sophie Sadoune-MW"/>
    <s v="0000703600189431 14920756342305 11 /ORD.CUST/EMILE HENRY/EREF/0000703600189431"/>
    <m/>
    <m/>
    <m/>
    <m/>
    <m/>
    <m/>
    <m/>
    <m/>
    <m/>
    <m/>
    <m/>
    <m/>
    <m/>
    <m/>
    <m/>
    <m/>
    <m/>
    <m/>
    <m/>
    <m/>
    <m/>
    <m/>
    <m/>
    <m/>
    <m/>
    <m/>
    <m/>
    <m/>
    <m/>
    <m/>
    <m/>
    <m/>
    <m/>
    <m/>
    <m/>
    <m/>
  </r>
  <r>
    <s v="311 - Germany"/>
    <d v="2024-01-16T00:00:00"/>
    <s v="JANUARY"/>
    <n v="2024"/>
    <x v="3"/>
    <s v="Deposited"/>
    <s v="PMT-S109-45438"/>
    <s v=""/>
    <s v="EUR"/>
    <n v="-6500"/>
    <n v="-7601.4250000000002"/>
    <n v="7601.4250000000002"/>
    <n v="-7601.4250000000002"/>
    <s v="Eleven Factory SL"/>
    <s v=""/>
    <s v="NONREF           1480048019240116 /ORD.CUST/ELEVEN FACTORY SL/PAY.DET./FRA 441663"/>
    <m/>
    <m/>
    <m/>
    <m/>
    <m/>
    <m/>
    <m/>
    <m/>
    <m/>
    <m/>
    <m/>
    <m/>
    <m/>
    <m/>
    <m/>
    <m/>
    <m/>
    <m/>
    <m/>
    <m/>
    <m/>
    <m/>
    <m/>
    <m/>
    <m/>
    <m/>
    <m/>
    <m/>
    <m/>
    <m/>
    <m/>
    <m/>
    <m/>
    <m/>
    <m/>
    <m/>
  </r>
  <r>
    <s v="311 - Germany"/>
    <d v="2023-04-03T00:00:00"/>
    <s v="APRIL"/>
    <n v="2023"/>
    <x v="3"/>
    <s v="Deposited"/>
    <s v="PMT-S109-42113"/>
    <s v=""/>
    <s v="EUR"/>
    <n v="-5500"/>
    <n v="-6431.9750000000004"/>
    <n v="6431.9750000000004"/>
    <n v="-6431.9750000000004"/>
    <s v="Algeco"/>
    <s v="Nathalie Darmois-MW1"/>
    <s v="4700244165       1490693858230403 /ORD.CUST/ALGECO/EREF/4700244165/PAY.DET.//INV/INS109437305 30.11 .2022"/>
    <m/>
    <m/>
    <m/>
    <m/>
    <m/>
    <m/>
    <m/>
    <m/>
    <m/>
    <m/>
    <m/>
    <m/>
    <m/>
    <m/>
    <m/>
    <m/>
    <m/>
    <m/>
    <m/>
    <m/>
    <m/>
    <m/>
    <m/>
    <m/>
    <m/>
    <m/>
    <m/>
    <m/>
    <m/>
    <m/>
    <m/>
    <m/>
    <m/>
    <m/>
    <m/>
    <m/>
  </r>
  <r>
    <s v="311 - Germany"/>
    <d v="2023-05-12T00:00:00"/>
    <s v="MAY"/>
    <n v="2023"/>
    <x v="3"/>
    <s v="Deposited"/>
    <s v="PMT-S109-42628"/>
    <s v="IN-S109-439093"/>
    <s v="EUR"/>
    <n v="-7327"/>
    <n v="-8568.56"/>
    <n v="6431.9750000000004"/>
    <n v="-6431.9750000000004"/>
    <s v="Syndicat d’énergie d’Indre-et-Loire"/>
    <s v="Sophie Sadoune-MW"/>
    <s v="1603709006640020 14921070642305 12 /ORD.CUST/PAIERIE DEPARTEMENTALE INDRE-ET-LOI RE/EREF/16037090066 4002023-05-101586/PAY.DET./FAC. IN-S109-439093 DU 17/04/23 BRE VU E DE PRESSE ETNEWSLETTER PERIODE 29/04/23 AU 28/04/2023SY INTERC ENE RGIE INDRE LOIRE"/>
    <m/>
    <m/>
    <m/>
    <m/>
    <m/>
    <m/>
    <m/>
    <m/>
    <m/>
    <m/>
    <m/>
    <m/>
    <m/>
    <m/>
    <m/>
    <m/>
    <m/>
    <m/>
    <m/>
    <m/>
    <m/>
    <m/>
    <m/>
    <m/>
    <m/>
    <m/>
    <m/>
    <m/>
    <m/>
    <m/>
    <m/>
    <m/>
    <m/>
    <m/>
    <m/>
    <m/>
  </r>
  <r>
    <s v="311 - Germany"/>
    <d v="2025-09-12T00:00:00"/>
    <s v="SEPTEMBER"/>
    <n v="2025"/>
    <x v="3"/>
    <s v="Deposited"/>
    <s v="PMT-S109-52470"/>
    <s v="PMT-S109-52470"/>
    <s v="USD"/>
    <n v="-17950"/>
    <n v="-17750.427"/>
    <n v="5883.8419999999996"/>
    <n v="-5883.8419999999996"/>
    <s v="International Rescue Committee"/>
    <s v="Theresa Saal"/>
    <s v="NONREF           1803018587250912 /OCMT/USD17950,//CHGS/USD29,21//PAY.BANK/JPMORGAN CHASE BANK,/ORD .CUST/INTERNATIONAL RESCUE COMMITTEE,INC. RESCUE/PAY.DET./IN-S10 4-439521,IN-S109-446861/ROC/9824700254JO"/>
    <m/>
    <m/>
    <m/>
    <m/>
    <m/>
    <m/>
    <m/>
    <m/>
    <m/>
    <m/>
    <m/>
    <m/>
    <m/>
    <m/>
    <m/>
    <m/>
    <m/>
    <m/>
    <m/>
    <m/>
    <m/>
    <m/>
    <m/>
    <m/>
    <m/>
    <m/>
    <m/>
    <m/>
    <m/>
    <m/>
    <m/>
    <m/>
    <m/>
    <m/>
    <m/>
    <m/>
  </r>
  <r>
    <s v="311 - Germany"/>
    <d v="2026-04-16T00:00:00"/>
    <s v="APRIL"/>
    <n v="2026"/>
    <x v="3"/>
    <s v="Deposited"/>
    <s v="PMT-S109-55181"/>
    <s v=""/>
    <s v="EUR"/>
    <n v="-4557.7"/>
    <n v="-5330.0020000000004"/>
    <n v="5330.0020000000004"/>
    <n v="-5330.0020000000004"/>
    <s v="VDI Technologiezentrum GmbH"/>
    <s v="Theresa Saal"/>
    <s v="0402641043       1480429017260416 /ORD.CUST/VDI TECHNOLOGIEZENTRUM GMBH/EREF/0402641043/PAY.DET./IN S109-449170+"/>
    <m/>
    <m/>
    <m/>
    <m/>
    <m/>
    <m/>
    <m/>
    <m/>
    <m/>
    <m/>
    <m/>
    <m/>
    <m/>
    <m/>
    <m/>
    <m/>
    <m/>
    <m/>
    <m/>
    <m/>
    <m/>
    <m/>
    <m/>
    <m/>
    <m/>
    <m/>
    <m/>
    <m/>
    <m/>
    <m/>
    <m/>
    <m/>
    <m/>
    <m/>
    <m/>
    <m/>
  </r>
  <r>
    <s v="311 - Germany"/>
    <d v="2025-02-11T00:00:00"/>
    <s v="FEBRUARY"/>
    <n v="2025"/>
    <x v="3"/>
    <s v="Deposited"/>
    <s v="PMT-S109-50167"/>
    <s v=""/>
    <s v="EUR"/>
    <n v="-3866"/>
    <n v="-4521.0940000000001"/>
    <n v="4521.0940000000001"/>
    <n v="-4521.0940000000001"/>
    <s v="Marionnaud Parfumeries Autriche GmbH"/>
    <s v=""/>
    <s v="1934672          1491133006250211 /ORD.CUST/MARIONNAUD LAFAYETTE/EREF/1934672"/>
    <m/>
    <m/>
    <m/>
    <m/>
    <m/>
    <m/>
    <m/>
    <m/>
    <m/>
    <m/>
    <m/>
    <m/>
    <m/>
    <m/>
    <m/>
    <m/>
    <m/>
    <m/>
    <m/>
    <m/>
    <m/>
    <m/>
    <m/>
    <m/>
    <m/>
    <m/>
    <m/>
    <m/>
    <m/>
    <m/>
    <m/>
    <m/>
    <m/>
    <m/>
    <m/>
    <m/>
  </r>
  <r>
    <s v="311 - Germany"/>
    <d v="2023-01-06T00:00:00"/>
    <s v="JANUARY"/>
    <n v="2023"/>
    <x v="3"/>
    <s v="Deposited"/>
    <s v="PMT-S109-40609"/>
    <s v=""/>
    <s v="EUR"/>
    <n v="-3831"/>
    <n v="-4480.1629999999996"/>
    <n v="4480.1629999999996"/>
    <n v="-32386.678"/>
    <s v="DUMMY CUSTOMER_CASHAPPS 311 - Germany"/>
    <s v="Theresa Saal"/>
    <s v="NONREF           1803680232230106 /OCMT/EUR3866,//CHGS/EUR35,//PAY.BANK/TURKIYE GARANTI BANKASI A.S ./ORD.CUST/1/A.S.WATSON GUZELLIK VE BAKIM URUN 2/A.S. WATSON GUZE LLIK VE BAKIM URU"/>
    <m/>
    <m/>
    <m/>
    <m/>
    <m/>
    <m/>
    <m/>
    <m/>
    <m/>
    <m/>
    <m/>
    <m/>
    <m/>
    <m/>
    <m/>
    <m/>
    <m/>
    <m/>
    <m/>
    <m/>
    <m/>
    <m/>
    <m/>
    <m/>
    <m/>
    <m/>
    <m/>
    <m/>
    <m/>
    <m/>
    <m/>
    <m/>
    <m/>
    <m/>
    <m/>
    <m/>
  </r>
  <r>
    <s v="311 - Germany"/>
    <d v="2026-04-22T00:00:00"/>
    <s v="APRIL"/>
    <n v="2026"/>
    <x v="3"/>
    <s v="Deposited"/>
    <s v="PMT-S109-55252"/>
    <s v="IN-S109-449013"/>
    <s v="EUR"/>
    <n v="-20570"/>
    <n v="-24055.587"/>
    <n v="4174.9369999999999"/>
    <n v="-4174.9369999999999"/>
    <s v="Newspress Spain SL"/>
    <s v="Nathalie Darmois"/>
    <s v="NONREF           1480524653260422 /ORD.CUST/NEWSPRESS SPAIN,S.L./PAY.DET./IN-S109-449013"/>
    <m/>
    <m/>
    <m/>
    <m/>
    <m/>
    <m/>
    <m/>
    <m/>
    <m/>
    <m/>
    <m/>
    <m/>
    <m/>
    <m/>
    <m/>
    <m/>
    <m/>
    <m/>
    <m/>
    <m/>
    <m/>
    <m/>
    <m/>
    <m/>
    <m/>
    <m/>
    <m/>
    <m/>
    <m/>
    <m/>
    <m/>
    <m/>
    <m/>
    <m/>
    <m/>
    <m/>
  </r>
  <r>
    <s v="311 - Germany"/>
    <d v="2025-10-15T00:00:00"/>
    <s v="OCTOBER"/>
    <n v="2025"/>
    <x v="3"/>
    <s v="Deposited"/>
    <s v="PMT-S109-52804"/>
    <s v=""/>
    <s v="EUR"/>
    <n v="-3188"/>
    <n v="-3728.2069999999999"/>
    <n v="3728.2069999999999"/>
    <n v="-32386.678"/>
    <s v="DUMMY CUSTOMER_CASHAPPS 311 - Germany"/>
    <s v="Theresa Saal"/>
    <s v="NONREF           1803084060251015 /OCMT/EUR3188,//PAY.BANK/HSBC BANK A.S./ORD.CUST/1/SIRMAGRUP ICEC EK SANAYI VE TICARE 1/T A.S."/>
    <m/>
    <m/>
    <m/>
    <m/>
    <m/>
    <m/>
    <m/>
    <m/>
    <m/>
    <m/>
    <m/>
    <m/>
    <m/>
    <m/>
    <m/>
    <m/>
    <m/>
    <m/>
    <m/>
    <m/>
    <m/>
    <m/>
    <m/>
    <m/>
    <m/>
    <m/>
    <m/>
    <m/>
    <m/>
    <m/>
    <m/>
    <m/>
    <m/>
    <m/>
    <m/>
    <m/>
  </r>
  <r>
    <s v="311 - Germany"/>
    <d v="2024-08-13T00:00:00"/>
    <s v="AUGUST"/>
    <n v="2024"/>
    <x v="3"/>
    <s v="Deposited"/>
    <s v="PMT-S109-48165"/>
    <s v=""/>
    <s v="EUR"/>
    <n v="-3123.75"/>
    <n v="-3653.069"/>
    <n v="3653.069"/>
    <n v="-3979.346"/>
    <s v="Syntegon Technology GmbH"/>
    <s v="Theresa Saal"/>
    <s v="NONREF           1486072816240813 /ORD.CUST/VALICARE GMBH/PAY.DET./WERBUNGSKOSTEN / MESSEKOSTEN MEL TWA TER RE. IN-S109-443440 70294"/>
    <m/>
    <m/>
    <m/>
    <m/>
    <m/>
    <m/>
    <m/>
    <m/>
    <m/>
    <m/>
    <m/>
    <m/>
    <m/>
    <m/>
    <m/>
    <m/>
    <m/>
    <m/>
    <m/>
    <m/>
    <m/>
    <m/>
    <m/>
    <m/>
    <m/>
    <m/>
    <m/>
    <m/>
    <m/>
    <m/>
    <m/>
    <m/>
    <m/>
    <m/>
    <m/>
    <m/>
  </r>
  <r>
    <s v="311 - Germany"/>
    <d v="2026-04-23T00:00:00"/>
    <s v="APRIL"/>
    <n v="2026"/>
    <x v="3"/>
    <s v="Deposited"/>
    <s v="PMT-S109-55263"/>
    <s v="IN-S109-448037"/>
    <s v="EUR"/>
    <n v="-16128.07"/>
    <n v="-18860.971000000001"/>
    <n v="3526.8510000000001"/>
    <n v="-3526.8510000000001"/>
    <s v="Stadtkrankenhaus Delmenhorst GmbH"/>
    <s v="Theresa Saal"/>
    <s v="NONREF           DE26042392928652 /ORD.CUST/DERDENGELDEN CMC WORLDWI/PAY.DET./IN-S109-448037/352110"/>
    <m/>
    <m/>
    <m/>
    <m/>
    <m/>
    <m/>
    <m/>
    <m/>
    <m/>
    <m/>
    <m/>
    <m/>
    <m/>
    <m/>
    <m/>
    <m/>
    <m/>
    <m/>
    <m/>
    <m/>
    <m/>
    <m/>
    <m/>
    <m/>
    <m/>
    <m/>
    <m/>
    <m/>
    <m/>
    <m/>
    <m/>
    <m/>
    <m/>
    <m/>
    <m/>
    <m/>
  </r>
  <r>
    <s v="311 - Germany"/>
    <d v="2023-06-14T00:00:00"/>
    <s v="JUNE"/>
    <n v="2023"/>
    <x v="3"/>
    <s v="Deposited"/>
    <s v="PMT-S109-42996"/>
    <s v=""/>
    <s v="EUR"/>
    <n v="-2826.24"/>
    <n v="-3305.1460000000002"/>
    <n v="3305.1460000000002"/>
    <n v="-3305.1460000000002"/>
    <s v="Internetstores GmbH"/>
    <s v="Theresa Saal"/>
    <s v="2000283118       1493223640230614 /ORD.CUST/INTERNETSTORES GMBH/EREF/2000283118/PAY.DET./KONTO BEI IHNR.IN-S109-435375/1.3.2 023NR.IN-S109-435375/1.4.2023NR.IN- S10 9-435375/1.5.2023"/>
    <m/>
    <m/>
    <m/>
    <m/>
    <m/>
    <m/>
    <m/>
    <m/>
    <m/>
    <m/>
    <m/>
    <m/>
    <m/>
    <m/>
    <m/>
    <m/>
    <m/>
    <m/>
    <m/>
    <m/>
    <m/>
    <m/>
    <m/>
    <m/>
    <m/>
    <m/>
    <m/>
    <m/>
    <m/>
    <m/>
    <m/>
    <m/>
    <m/>
    <m/>
    <m/>
    <m/>
  </r>
  <r>
    <s v="311 - Germany"/>
    <d v="2026-04-22T00:00:00"/>
    <s v="APRIL"/>
    <n v="2026"/>
    <x v="3"/>
    <s v="Deposited"/>
    <s v="PMT-S109-55250"/>
    <s v="IN-S109-449006"/>
    <s v="EUR"/>
    <n v="-16200"/>
    <n v="-18945.09"/>
    <n v="3157.5149999999999"/>
    <n v="-3157.5149999999999"/>
    <s v="QUOBLY"/>
    <s v="Nathalie Darmois"/>
    <s v="MELTWATER.IN-S10 1480524438260 422 /ORD.CUST/QUOBLY/EREF/MELTWATER.IN-S109-449006.0/PAY.DET./IN-S109 449006"/>
    <m/>
    <m/>
    <m/>
    <m/>
    <m/>
    <m/>
    <m/>
    <m/>
    <m/>
    <m/>
    <m/>
    <m/>
    <m/>
    <m/>
    <m/>
    <m/>
    <m/>
    <m/>
    <m/>
    <m/>
    <m/>
    <m/>
    <m/>
    <m/>
    <m/>
    <m/>
    <m/>
    <m/>
    <m/>
    <m/>
    <m/>
    <m/>
    <m/>
    <m/>
    <m/>
    <m/>
  </r>
  <r>
    <s v="311 - Germany"/>
    <d v="2023-03-23T00:00:00"/>
    <s v="MARCH"/>
    <n v="2023"/>
    <x v="3"/>
    <s v="Deposited"/>
    <s v="PMT-S109-41942"/>
    <s v="IN-S109-437735"/>
    <s v="EUR"/>
    <n v="-30631"/>
    <n v="-35821.423000000003"/>
    <n v="2655.8209999999999"/>
    <n v="-2655.8209999999999"/>
    <s v="Banco Santander S.A"/>
    <s v="Theresa Saal"/>
    <s v="NOT PROVIDED     1490332695230323 /ORD.CUST/BANCO SANTANDER S.A./EREF/NOT PROVIDED/PAY.DET./REF. IN S109437735 2023-03-22 243303 197"/>
    <m/>
    <m/>
    <m/>
    <m/>
    <m/>
    <m/>
    <m/>
    <m/>
    <m/>
    <m/>
    <m/>
    <m/>
    <m/>
    <m/>
    <m/>
    <m/>
    <m/>
    <m/>
    <m/>
    <m/>
    <m/>
    <m/>
    <m/>
    <m/>
    <m/>
    <m/>
    <m/>
    <m/>
    <m/>
    <m/>
    <m/>
    <m/>
    <m/>
    <m/>
    <m/>
    <m/>
  </r>
  <r>
    <s v="311 - Germany"/>
    <d v="2025-09-23T00:00:00"/>
    <s v="SEPTEMBER"/>
    <n v="2025"/>
    <x v="3"/>
    <s v="Deposited"/>
    <s v="PMT-S109-52564"/>
    <s v=""/>
    <s v="EUR"/>
    <n v="-2180"/>
    <n v="-2549.4009999999998"/>
    <n v="2549.4009999999998"/>
    <n v="-2549.4009999999998"/>
    <s v="GLOBAL BIOENERGIES"/>
    <s v="Nathalie Darmois"/>
    <s v="IN-S109-445980   1496216486250923 /ORD.CUST/GLOBAL BIOENERGIES/EREF/IN-S109-445980/PAY.DET./METLWAT ER - PRESTATION 13-04-25 AU 12-04-26"/>
    <m/>
    <m/>
    <m/>
    <m/>
    <m/>
    <m/>
    <m/>
    <m/>
    <m/>
    <m/>
    <m/>
    <m/>
    <m/>
    <m/>
    <m/>
    <m/>
    <m/>
    <m/>
    <m/>
    <m/>
    <m/>
    <m/>
    <m/>
    <m/>
    <m/>
    <m/>
    <m/>
    <m/>
    <m/>
    <m/>
    <m/>
    <m/>
    <m/>
    <m/>
    <m/>
    <m/>
  </r>
  <r>
    <s v="311 - Germany"/>
    <d v="2025-09-17T00:00:00"/>
    <s v="SEPTEMBER"/>
    <n v="2025"/>
    <x v="3"/>
    <s v="Deposited"/>
    <s v="PMT-S109-52505"/>
    <s v="IN-S109-446982"/>
    <s v="EUR"/>
    <n v="-5976"/>
    <n v="-6988.6329999999998"/>
    <n v="2352.933"/>
    <n v="-2352.933"/>
    <s v="Knowledge Business Solutions"/>
    <s v="Nathalie Darmois"/>
    <s v="SOLDE IN-S109-44 14961186642509 17 /ORD.CUST/KNOWLEDGE BUSINE/EREF/SOLDE IN-S109-446768/PAY.DET./SOL DE IN-S109-446768"/>
    <m/>
    <m/>
    <m/>
    <m/>
    <m/>
    <m/>
    <m/>
    <m/>
    <m/>
    <m/>
    <m/>
    <m/>
    <m/>
    <m/>
    <m/>
    <m/>
    <m/>
    <m/>
    <m/>
    <m/>
    <m/>
    <m/>
    <m/>
    <m/>
    <m/>
    <m/>
    <m/>
    <m/>
    <m/>
    <m/>
    <m/>
    <m/>
    <m/>
    <m/>
    <m/>
    <m/>
  </r>
  <r>
    <s v="311 - Germany"/>
    <d v="2023-01-27T00:00:00"/>
    <s v="JANUARY"/>
    <n v="2023"/>
    <x v="3"/>
    <s v="Deposited"/>
    <s v="PMT-S109-41039"/>
    <s v=""/>
    <s v="EUR"/>
    <n v="-2000"/>
    <n v="-2338.9"/>
    <n v="2338.9"/>
    <n v="-2338.9"/>
    <s v="SAS 77 FOODS"/>
    <s v="Nathalie Darmois"/>
    <s v="SCTOUTF5KZ9FUY7R 14884363272301 27 /ORD.CUST/77 FOODS/EREF/SCTOUTF5KZ9FUY7RRXLQXY5NOVDB/PAY.DET./IN- S109-437866"/>
    <m/>
    <m/>
    <m/>
    <m/>
    <m/>
    <m/>
    <m/>
    <m/>
    <m/>
    <m/>
    <m/>
    <m/>
    <m/>
    <m/>
    <m/>
    <m/>
    <m/>
    <m/>
    <m/>
    <m/>
    <m/>
    <m/>
    <m/>
    <m/>
    <m/>
    <m/>
    <m/>
    <m/>
    <m/>
    <m/>
    <m/>
    <m/>
    <m/>
    <m/>
    <m/>
    <m/>
  </r>
  <r>
    <s v="311 - Germany"/>
    <d v="2024-05-30T00:00:00"/>
    <s v="MAY"/>
    <n v="2024"/>
    <x v="3"/>
    <s v="Deposited"/>
    <s v="PMT-S109-47425"/>
    <s v="849"/>
    <s v="EUR"/>
    <n v="-15500"/>
    <n v="-18126.474999999999"/>
    <n v="2338.9"/>
    <n v="-32386.678"/>
    <s v="DUMMY CUSTOMER_CASHAPPS 311 - Germany"/>
    <s v="Theresa Saal"/>
    <s v="NONREF           1803362998240530 /OCMT/EUR15500,//PAY.BANK/BANQUE ATLANTIQUE COTE D'IVOIRE/ORD.CUS T/CABINET DU 1ER MINISTRE BOULEVARD ANGLOULVANT PLATEAU/PAY.DET./ DEPLOIEMENT D'UN OUTIL DE VEILLE ET D'INTELLIGENCE INFORMATIONNEL LE SPECIFIQUE A LA PRIMATURE"/>
    <m/>
    <m/>
    <m/>
    <m/>
    <m/>
    <m/>
    <m/>
    <m/>
    <m/>
    <m/>
    <m/>
    <m/>
    <m/>
    <m/>
    <m/>
    <m/>
    <m/>
    <m/>
    <m/>
    <m/>
    <m/>
    <m/>
    <m/>
    <m/>
    <m/>
    <m/>
    <m/>
    <m/>
    <m/>
    <m/>
    <m/>
    <m/>
    <m/>
    <m/>
    <m/>
    <m/>
  </r>
  <r>
    <s v="311 - Germany"/>
    <d v="2023-07-12T00:00:00"/>
    <s v="JULY"/>
    <n v="2023"/>
    <x v="3"/>
    <s v="Deposited"/>
    <s v="PMT-S109-43302"/>
    <s v=""/>
    <s v="EUR"/>
    <n v="-1785"/>
    <n v="-2087.4679999999998"/>
    <n v="2087.4679999999998"/>
    <n v="-2087.4679999999998"/>
    <s v="Special Olympics Deutschland e.V."/>
    <s v="Theresa Saal"/>
    <s v="2307121430-00000 14942923652307 12 /ORD.CUST/SPECIAL OLYMPICS DEUTSCHLAND E. V./EREF/2307121430-0000 001/PAY.DET./IN-S109-439535"/>
    <m/>
    <m/>
    <m/>
    <m/>
    <m/>
    <m/>
    <m/>
    <m/>
    <m/>
    <m/>
    <m/>
    <m/>
    <m/>
    <m/>
    <m/>
    <m/>
    <m/>
    <m/>
    <m/>
    <m/>
    <m/>
    <m/>
    <m/>
    <m/>
    <m/>
    <m/>
    <m/>
    <m/>
    <m/>
    <m/>
    <m/>
    <m/>
    <m/>
    <m/>
    <m/>
    <m/>
  </r>
  <r>
    <s v="311 - Germany"/>
    <d v="2022-10-26T00:00:00"/>
    <s v="OCTOBER"/>
    <n v="2022"/>
    <x v="3"/>
    <s v="Deposited"/>
    <s v="PMT-S109-39591"/>
    <s v=""/>
    <s v="EUR"/>
    <n v="-1111.3"/>
    <n v="-1299.6099999999999"/>
    <n v="1299.6099999999999"/>
    <n v="-32386.678"/>
    <s v="DUMMY CUSTOMER_CASHAPPS 311 - Germany"/>
    <s v="Theresa Saal"/>
    <s v="(from 19 Sep 22 - moving from Celigo) CANADA LIFE ASSURANC 220916-16R2G0010 1483550279220919 /ORD.CUST/CANADA LIFE ASSURANC/EREF/220916-16R2G0010000055/PAY.DE T./L23331-CLE6774660M R113L23331"/>
    <m/>
    <m/>
    <m/>
    <m/>
    <m/>
    <m/>
    <m/>
    <m/>
    <m/>
    <m/>
    <m/>
    <m/>
    <m/>
    <m/>
    <m/>
    <m/>
    <m/>
    <m/>
    <m/>
    <m/>
    <m/>
    <m/>
    <m/>
    <m/>
    <m/>
    <m/>
    <m/>
    <m/>
    <m/>
    <m/>
    <m/>
    <m/>
    <m/>
    <m/>
    <m/>
    <m/>
  </r>
  <r>
    <s v="311 - Germany"/>
    <d v="2023-03-17T00:00:00"/>
    <s v="MARCH"/>
    <n v="2023"/>
    <x v="3"/>
    <s v="Deposited"/>
    <s v="PMT-S109-41876"/>
    <s v="IN-S109-438675"/>
    <s v="EUR"/>
    <n v="-27965"/>
    <n v="-32703.669000000002"/>
    <n v="1283.097"/>
    <n v="-1283.097"/>
    <s v="WOOLWORTH GmbH"/>
    <s v="Theresa Saal"/>
    <s v="ZAHLG 0042024633 1490179830230 316 /ORD.CUST/WOOLWORTH GMBH/EREF/ZAHLG 0042024633/PAY.DET./IN-S109-4 38675 02.03.2023IN-S109-43 8675 2.3.2023"/>
    <m/>
    <m/>
    <m/>
    <m/>
    <m/>
    <m/>
    <m/>
    <m/>
    <m/>
    <m/>
    <m/>
    <m/>
    <m/>
    <m/>
    <m/>
    <m/>
    <m/>
    <m/>
    <m/>
    <m/>
    <m/>
    <m/>
    <m/>
    <m/>
    <m/>
    <m/>
    <m/>
    <m/>
    <m/>
    <m/>
    <m/>
    <m/>
    <m/>
    <m/>
    <m/>
    <m/>
  </r>
  <r>
    <s v="311 - Germany"/>
    <d v="2026-04-08T00:00:00"/>
    <s v="APRIL"/>
    <n v="2026"/>
    <x v="3"/>
    <s v="Deposited"/>
    <s v="PMT-S109-55090"/>
    <s v="IN-S109-449138"/>
    <s v="EUR"/>
    <n v="-6573.6"/>
    <n v="-7687.4970000000003"/>
    <n v="1281.249"/>
    <n v="-1281.249"/>
    <s v="CONSEIL SUPERIEUR DU NOTARIAT"/>
    <s v="Nathalie Darmois"/>
    <s v="20260403.D55.253 14802425242604 08 /ORD.CUST/CONSEIL SUPERIEUR DU NOTARIAT/EREF/20260403.D55.253.8/P AY.DET./A"/>
    <m/>
    <m/>
    <m/>
    <m/>
    <m/>
    <m/>
    <m/>
    <m/>
    <m/>
    <m/>
    <m/>
    <m/>
    <m/>
    <m/>
    <m/>
    <m/>
    <m/>
    <m/>
    <m/>
    <m/>
    <m/>
    <m/>
    <m/>
    <m/>
    <m/>
    <m/>
    <m/>
    <m/>
    <m/>
    <m/>
    <m/>
    <m/>
    <m/>
    <m/>
    <m/>
    <m/>
  </r>
  <r>
    <s v="311 - Germany"/>
    <d v="2023-08-17T00:00:00"/>
    <s v="AUGUST"/>
    <n v="2023"/>
    <x v="3"/>
    <s v="Deposited"/>
    <s v="PMT-S109-43617"/>
    <s v=""/>
    <s v="EUR"/>
    <n v="-1038.58"/>
    <n v="-1214.567"/>
    <n v="1214.567"/>
    <n v="-32386.678"/>
    <s v="DUMMY CUSTOMER_CASHAPPS 311 - Germany"/>
    <s v="Theresa Saal"/>
    <s v="NONREF           1802795693230817 /OCMT/USD1162,12//CHGS/USD15,//EXCH/1,09265//OUR CHGS/EUR25,/PAY. BANK/ABN AMRO BANK N.V./ORD.CUST/1/STICHTING DERDENGELDEN CMC 1/W ORLDWIDE/PAY.DET./IN-S104-432622,OUR REFERENCE346338 BNY CUST RR N - F1S2308179015300/ROC/EC3228L5QT8G5B00"/>
    <m/>
    <m/>
    <m/>
    <m/>
    <m/>
    <m/>
    <m/>
    <m/>
    <m/>
    <m/>
    <m/>
    <m/>
    <m/>
    <m/>
    <m/>
    <m/>
    <m/>
    <m/>
    <m/>
    <m/>
    <m/>
    <m/>
    <m/>
    <m/>
    <m/>
    <m/>
    <m/>
    <m/>
    <m/>
    <m/>
    <m/>
    <m/>
    <m/>
    <m/>
    <m/>
    <m/>
  </r>
  <r>
    <s v="311 - Germany"/>
    <d v="2025-06-03T00:00:00"/>
    <s v="JUNE"/>
    <n v="2025"/>
    <x v="3"/>
    <s v="Deposited"/>
    <s v="PMT-S109-51531"/>
    <s v="IN-S109-446477"/>
    <s v="EUR"/>
    <n v="-5950"/>
    <n v="-6958.2280000000001"/>
    <n v="1110.9780000000001"/>
    <n v="-1110.9780000000001"/>
    <s v="Plastic Odyssey"/>
    <s v="Amy Tyler"/>
    <s v="RAWSCTOUT5JDTX78 14937202902506 03 /ORD.CUST/PLASTIC ODYSSEY/EREF/RAWSCTOUT5JDTX78USRAXIECG2DFIDG/PA Y.DET./IN-S109-446381"/>
    <m/>
    <m/>
    <m/>
    <m/>
    <m/>
    <m/>
    <m/>
    <m/>
    <m/>
    <m/>
    <m/>
    <m/>
    <m/>
    <m/>
    <m/>
    <m/>
    <m/>
    <m/>
    <m/>
    <m/>
    <m/>
    <m/>
    <m/>
    <m/>
    <m/>
    <m/>
    <m/>
    <m/>
    <m/>
    <m/>
    <m/>
    <m/>
    <m/>
    <m/>
    <m/>
    <m/>
  </r>
  <r>
    <s v="311 - Germany"/>
    <d v="2023-11-17T00:00:00"/>
    <s v="NOVEMBER"/>
    <n v="2023"/>
    <x v="3"/>
    <s v="Deposited"/>
    <s v="PMT-S109-44589"/>
    <s v=""/>
    <s v="EUR"/>
    <n v="-942.93"/>
    <n v="-1102.7090000000001"/>
    <n v="1102.7090000000001"/>
    <n v="-1102.7090000000001"/>
    <s v="Paulaner Brauerei Gruppe GmbH &amp; Co. KGaA"/>
    <s v="Theresa Saal"/>
    <s v="2001950539       1498185268231117 /ORD.CUST/PAULANER BRAUEREI GRUPPE GMBH + CO. KGAA/EREF/20019505 39/PAY.DET./NR.79547475,1.10.2023"/>
    <m/>
    <m/>
    <m/>
    <m/>
    <m/>
    <m/>
    <m/>
    <m/>
    <m/>
    <m/>
    <m/>
    <m/>
    <m/>
    <m/>
    <m/>
    <m/>
    <m/>
    <m/>
    <m/>
    <m/>
    <m/>
    <m/>
    <m/>
    <m/>
    <m/>
    <m/>
    <m/>
    <m/>
    <m/>
    <m/>
    <m/>
    <m/>
    <m/>
    <m/>
    <m/>
    <m/>
  </r>
  <r>
    <s v="311 - Germany"/>
    <d v="2025-12-17T00:00:00"/>
    <s v="DECEMBER"/>
    <n v="2025"/>
    <x v="3"/>
    <s v="Deposited"/>
    <s v="PMT-S109-53537"/>
    <s v="IN-S109-447993"/>
    <s v="EUR"/>
    <n v="-14237.53"/>
    <n v="-16650.079000000002"/>
    <n v="988.80499999999995"/>
    <n v="-988.80499999999995"/>
    <s v="Liechtenstein Marketing"/>
    <s v="Theresa Saal"/>
    <s v="NONREF           1803214948251217 /OCMT/CHF13367,//CHGS/CHF25,//EXCH/0,937211//OUR CHGS/EUR25,/PAY. BANK/LIECHTENSTEINISCHE LANDESBANK AKTIE/ORD.CUST/1/LIECHTENSTEIN MARKETING 2/AEULESTRASSE,30/PAY.DET./IN-S109-447993/ROC/IN-S109- 447993"/>
    <m/>
    <m/>
    <m/>
    <m/>
    <m/>
    <m/>
    <m/>
    <m/>
    <m/>
    <m/>
    <m/>
    <m/>
    <m/>
    <m/>
    <m/>
    <m/>
    <m/>
    <m/>
    <m/>
    <m/>
    <m/>
    <m/>
    <m/>
    <m/>
    <m/>
    <m/>
    <m/>
    <m/>
    <m/>
    <m/>
    <m/>
    <m/>
    <m/>
    <m/>
    <m/>
    <m/>
  </r>
  <r>
    <s v="311 - Germany"/>
    <d v="2025-01-03T00:00:00"/>
    <s v="JANUARY"/>
    <n v="2025"/>
    <x v="3"/>
    <s v="Deposited"/>
    <s v="PMT-S109-49559"/>
    <s v="IN-S109-444756"/>
    <s v="EUR"/>
    <n v="-8330"/>
    <n v="-9741.5190000000002"/>
    <n v="974.15200000000004"/>
    <n v="-974.15200000000004"/>
    <s v="INTERSPORT Digital GmbH"/>
    <s v="Theresa Saal"/>
    <s v="0080313608       1490081122250102 /ORD.CUST/INTERSPORT DEUTSCHLAND EG/EREF/0080313608/PAY.DET./2102 41/INV IN-S109-444756 5.12.2024"/>
    <m/>
    <m/>
    <m/>
    <m/>
    <m/>
    <m/>
    <m/>
    <m/>
    <m/>
    <m/>
    <m/>
    <m/>
    <m/>
    <m/>
    <m/>
    <m/>
    <m/>
    <m/>
    <m/>
    <m/>
    <m/>
    <m/>
    <m/>
    <m/>
    <m/>
    <m/>
    <m/>
    <m/>
    <m/>
    <m/>
    <m/>
    <m/>
    <m/>
    <m/>
    <m/>
    <m/>
  </r>
  <r>
    <s v="311 - Germany"/>
    <d v="2022-04-29T00:00:00"/>
    <s v="APRIL"/>
    <n v="2022"/>
    <x v="3"/>
    <s v="Deposited"/>
    <s v="PMT-S109-37201"/>
    <s v="IN-S109-435025"/>
    <s v="EUR"/>
    <n v="-9392.67"/>
    <n v="-10984.258"/>
    <n v="964.41"/>
    <n v="-964.41"/>
    <s v="Pfeifer Holding GmbH &amp; Co KG"/>
    <s v="Theresa Saal"/>
    <s v="NONREF           1498518446220428 /ORD.CUST/PFEIFER HOLDING GMBH + CO. KG/PAY.DET./FACT IN-S109-435 025 8568,00 0,00 FA CT RG116947 824,67 0,00"/>
    <m/>
    <m/>
    <m/>
    <m/>
    <m/>
    <m/>
    <m/>
    <m/>
    <m/>
    <m/>
    <m/>
    <m/>
    <m/>
    <m/>
    <m/>
    <m/>
    <m/>
    <m/>
    <m/>
    <m/>
    <m/>
    <m/>
    <m/>
    <m/>
    <m/>
    <m/>
    <m/>
    <m/>
    <m/>
    <m/>
    <m/>
    <m/>
    <m/>
    <m/>
    <m/>
    <m/>
  </r>
  <r>
    <s v="311 - Germany"/>
    <d v="2026-04-27T00:00:00"/>
    <s v="APRIL"/>
    <n v="2026"/>
    <x v="3"/>
    <s v="Deposited"/>
    <s v="PMT-S109-55285"/>
    <s v=""/>
    <s v="EUR"/>
    <n v="-692.25"/>
    <n v="-809.55200000000002"/>
    <n v="809.55200000000002"/>
    <n v="0"/>
    <s v="Landesdirektion Sachsen"/>
    <s v="Theresa Saal"/>
    <s v="8300397767       1480612737260427 /ORD.CUST/HAUPTKASSE DES FREISTAATES SACHSEN/EREF/8300397767/PAY. DET./RNR.IN-S109-449247 RD.01.04.2026 SO CIAL MEDIA M .. TORING 04/2026 MEHRJAHRESVERTRAG HTTP.//"/>
    <m/>
    <m/>
    <m/>
    <m/>
    <m/>
    <m/>
    <m/>
    <m/>
    <m/>
    <m/>
    <m/>
    <m/>
    <m/>
    <m/>
    <m/>
    <m/>
    <m/>
    <m/>
    <m/>
    <m/>
    <m/>
    <m/>
    <m/>
    <m/>
    <m/>
    <m/>
    <m/>
    <m/>
    <m/>
    <m/>
    <m/>
    <m/>
    <m/>
    <m/>
    <m/>
    <m/>
  </r>
  <r>
    <s v="311 - Germany"/>
    <d v="2025-07-04T00:00:00"/>
    <s v="JULY"/>
    <n v="2025"/>
    <x v="3"/>
    <s v="Deposited"/>
    <s v="PMT-S109-51821"/>
    <s v="IN-S109-446881"/>
    <s v="EUR"/>
    <n v="-11858"/>
    <n v="-13867.338"/>
    <n v="769.49800000000005"/>
    <n v="-769.49800000000005"/>
    <s v="Olympia Sport- und Veranstaltungszentrum Innsbruck GmbH"/>
    <s v="Theresa Saal"/>
    <s v="NONREF           1494437834250704 /ORD.CUST/OLYMPIA SPORT- UND VERANSTALTUNG SZ ENTRUM INNSBRUCK GM BH/PAY.DET./SCOR C IN-S109-446570 24.06.2025 11 .858,00"/>
    <m/>
    <m/>
    <m/>
    <m/>
    <m/>
    <m/>
    <m/>
    <m/>
    <m/>
    <m/>
    <m/>
    <m/>
    <m/>
    <m/>
    <m/>
    <m/>
    <m/>
    <m/>
    <m/>
    <m/>
    <m/>
    <m/>
    <m/>
    <m/>
    <m/>
    <m/>
    <m/>
    <m/>
    <m/>
    <m/>
    <m/>
    <m/>
    <m/>
    <m/>
    <m/>
    <m/>
  </r>
  <r>
    <s v="311 - Germany"/>
    <d v="2023-03-09T00:00:00"/>
    <s v="MARCH"/>
    <n v="2023"/>
    <x v="3"/>
    <s v="Deposited"/>
    <s v="PMT-S109-41784"/>
    <s v=""/>
    <s v="EUR"/>
    <n v="-561.5"/>
    <n v="-656.64599999999996"/>
    <n v="656.64599999999996"/>
    <n v="-656.64599999999996"/>
    <s v="TOULON VAR TECHNOLOGIES"/>
    <s v="Sophie Sadoune-MW"/>
    <s v="NONREF           1803793843230309 /OCMT/EUR586,5//OUR CHGS/EUR25,/PAY.BANK/CREDIT COOPERATIF/ORD.CU ST/1/TOULON VAR TECHNOLOGIES 2/QUART MAYOL/PAY.DET./TVT/POLE MER MEDITERRANEE"/>
    <m/>
    <m/>
    <m/>
    <m/>
    <m/>
    <m/>
    <m/>
    <m/>
    <m/>
    <m/>
    <m/>
    <m/>
    <m/>
    <m/>
    <m/>
    <m/>
    <m/>
    <m/>
    <m/>
    <m/>
    <m/>
    <m/>
    <m/>
    <m/>
    <m/>
    <m/>
    <m/>
    <m/>
    <m/>
    <m/>
    <m/>
    <m/>
    <m/>
    <m/>
    <m/>
    <m/>
  </r>
  <r>
    <s v="311 - Germany"/>
    <d v="2025-05-13T00:00:00"/>
    <s v="MAY"/>
    <n v="2025"/>
    <x v="3"/>
    <s v="Deposited"/>
    <s v="PMT-S109-51330"/>
    <s v="IN-S109-446330"/>
    <s v="EUR"/>
    <n v="-9996"/>
    <n v="-11689.822"/>
    <n v="556.65800000000002"/>
    <n v="-556.65800000000002"/>
    <s v="Skandinaviska Enskilda Banken AB (publ) Frankfurt Branch"/>
    <s v="Theresa Saal"/>
    <s v="765849           1493216147250513 /ORD.CUST/SEB AB FRANKFURT FINANCE/EREF/765849/PAY.DET./IN-S109-4 46152"/>
    <m/>
    <m/>
    <m/>
    <m/>
    <m/>
    <m/>
    <m/>
    <m/>
    <m/>
    <m/>
    <m/>
    <m/>
    <m/>
    <m/>
    <m/>
    <m/>
    <m/>
    <m/>
    <m/>
    <m/>
    <m/>
    <m/>
    <m/>
    <m/>
    <m/>
    <m/>
    <m/>
    <m/>
    <m/>
    <m/>
    <m/>
    <m/>
    <m/>
    <m/>
    <m/>
    <m/>
  </r>
  <r>
    <s v="311 - Germany"/>
    <d v="2024-01-26T00:00:00"/>
    <s v="JANUARY"/>
    <n v="2024"/>
    <x v="3"/>
    <s v="Deposited"/>
    <s v="PMT-S109-45687"/>
    <s v="IN-S109-441344"/>
    <s v="EUR"/>
    <n v="-5503.75"/>
    <n v="-6436.36"/>
    <n v="491.16899999999998"/>
    <n v="-491.16899999999998"/>
    <s v="Fette Compacting GmbH"/>
    <s v="Theresa Saal"/>
    <s v="0006200819       1480332552240126 /ORD.CUST/FETTE COMPACTING GMBH/EREF/0006200819/PAY.DET./-NR 1N-S 109-441344 VOM 20.12.202"/>
    <m/>
    <m/>
    <m/>
    <m/>
    <m/>
    <m/>
    <m/>
    <m/>
    <m/>
    <m/>
    <m/>
    <m/>
    <m/>
    <m/>
    <m/>
    <m/>
    <m/>
    <m/>
    <m/>
    <m/>
    <m/>
    <m/>
    <m/>
    <m/>
    <m/>
    <m/>
    <m/>
    <m/>
    <m/>
    <m/>
    <m/>
    <m/>
    <m/>
    <m/>
    <m/>
    <m/>
  </r>
  <r>
    <s v="311 - Germany"/>
    <d v="2024-12-03T00:00:00"/>
    <s v="DECEMBER"/>
    <n v="2024"/>
    <x v="3"/>
    <s v="Deposited"/>
    <s v="PMT-S109-49239"/>
    <s v=""/>
    <s v="EUR"/>
    <n v="-415.36"/>
    <n v="-485.74299999999999"/>
    <n v="485.74299999999999"/>
    <n v="-485.74299999999999"/>
    <s v="Industrie- und Handelskammer zu Düsseldorf"/>
    <s v="Theresa Saal"/>
    <s v="INDUSTRIE- UND HANDELSKAMMER ZU DUS SELDORF KD10000261623 29 1489258495241203 /ORD.CUST/INDUSTRIE- UND HANDELSKAMMER ZU DUS SELDORF/EREF/KD1000 0261623 29/PAY.DET./20.11.2023 415.36 60784709"/>
    <m/>
    <m/>
    <m/>
    <m/>
    <m/>
    <m/>
    <m/>
    <m/>
    <m/>
    <m/>
    <m/>
    <m/>
    <m/>
    <m/>
    <m/>
    <m/>
    <m/>
    <m/>
    <m/>
    <m/>
    <m/>
    <m/>
    <m/>
    <m/>
    <m/>
    <m/>
    <m/>
    <m/>
    <m/>
    <m/>
    <m/>
    <m/>
    <m/>
    <m/>
    <m/>
    <m/>
  </r>
  <r>
    <s v="311 - Germany"/>
    <d v="2025-03-31T00:00:00"/>
    <s v="MARCH"/>
    <n v="2025"/>
    <x v="3"/>
    <s v="Deposited"/>
    <s v="PMT-S109-50857"/>
    <s v=""/>
    <s v="EUR"/>
    <n v="-378"/>
    <n v="-442.05200000000002"/>
    <n v="442.05200000000002"/>
    <n v="-442.05200000000002"/>
    <s v="SA PERIAL"/>
    <s v="Sophie Sadoune-MW"/>
    <s v="2000000819       1492234530250331 /ORD.CUST/PERIAL ASSET MANAGEMENT/EREF/2000000819/PAY.DET.//INV/F 2502141 28.2.2025"/>
    <m/>
    <m/>
    <m/>
    <m/>
    <m/>
    <m/>
    <m/>
    <m/>
    <m/>
    <m/>
    <m/>
    <m/>
    <m/>
    <m/>
    <m/>
    <m/>
    <m/>
    <m/>
    <m/>
    <m/>
    <m/>
    <m/>
    <m/>
    <m/>
    <m/>
    <m/>
    <m/>
    <m/>
    <m/>
    <m/>
    <m/>
    <m/>
    <m/>
    <m/>
    <m/>
    <m/>
  </r>
  <r>
    <s v="311 - Germany"/>
    <d v="2023-07-04T00:00:00"/>
    <s v="JULY"/>
    <n v="2023"/>
    <x v="3"/>
    <s v="Deposited"/>
    <s v="PMT-S109-43226"/>
    <s v=""/>
    <s v="EUR"/>
    <n v="-372.47"/>
    <n v="-435.58499999999998"/>
    <n v="435.58499999999998"/>
    <n v="-435.58499999999998"/>
    <s v="HRG Hotels GmbH"/>
    <s v="Theresa Saal"/>
    <s v="474-230630T1220- 149401460923070 4 /ORD.CUST/SUCCESS HOTEL MANAGEMENT GMBH/EREF/474-230630T1220-232- 16962--5/PAY.DET./IN-S109-439096"/>
    <m/>
    <m/>
    <m/>
    <m/>
    <m/>
    <m/>
    <m/>
    <m/>
    <m/>
    <m/>
    <m/>
    <m/>
    <m/>
    <m/>
    <m/>
    <m/>
    <m/>
    <m/>
    <m/>
    <m/>
    <m/>
    <m/>
    <m/>
    <m/>
    <m/>
    <m/>
    <m/>
    <m/>
    <m/>
    <m/>
    <m/>
    <m/>
    <m/>
    <m/>
    <m/>
    <m/>
  </r>
  <r>
    <s v="311 - Germany"/>
    <d v="2023-03-30T00:00:00"/>
    <s v="MARCH"/>
    <n v="2023"/>
    <x v="3"/>
    <s v="Deposited"/>
    <s v="PMT-S109-42040"/>
    <s v=""/>
    <s v="EUR"/>
    <n v="-330"/>
    <n v="-385.91899999999998"/>
    <n v="385.91899999999998"/>
    <n v="-32386.678"/>
    <s v="DUMMY CUSTOMER_CASHAPPS 311 - Germany"/>
    <s v="Theresa Saal"/>
    <s v="0107026758       1490551788230330 /ORD.CUST/DIEHL METALL STIFTUNG + CO. KG/EREF/0107026758/PAY.DET. //INV/100 100 2304320.3.2023"/>
    <m/>
    <m/>
    <m/>
    <m/>
    <m/>
    <m/>
    <m/>
    <m/>
    <m/>
    <m/>
    <m/>
    <m/>
    <m/>
    <m/>
    <m/>
    <m/>
    <m/>
    <m/>
    <m/>
    <m/>
    <m/>
    <m/>
    <m/>
    <m/>
    <m/>
    <m/>
    <m/>
    <m/>
    <m/>
    <m/>
    <m/>
    <m/>
    <m/>
    <m/>
    <m/>
    <m/>
  </r>
  <r>
    <s v="311 - Germany"/>
    <d v="2024-08-23T00:00:00"/>
    <s v="AUGUST"/>
    <n v="2024"/>
    <x v="3"/>
    <s v="Deposited"/>
    <s v="PMT-S109-48281"/>
    <s v="IN-S109-443293"/>
    <s v="EUR"/>
    <n v="-2320.5"/>
    <n v="-2713.7089999999998"/>
    <n v="358.29599999999999"/>
    <n v="-358.29599999999999"/>
    <s v="Hiscox SA"/>
    <s v="Theresa Saal"/>
    <s v="1010659          1486323359240823 /ORD.CUST/HISCOX SA HISCOX SA/EREF/1010659"/>
    <m/>
    <m/>
    <m/>
    <m/>
    <m/>
    <m/>
    <m/>
    <m/>
    <m/>
    <m/>
    <m/>
    <m/>
    <m/>
    <m/>
    <m/>
    <m/>
    <m/>
    <m/>
    <m/>
    <m/>
    <m/>
    <m/>
    <m/>
    <m/>
    <m/>
    <m/>
    <m/>
    <m/>
    <m/>
    <m/>
    <m/>
    <m/>
    <m/>
    <m/>
    <m/>
    <m/>
  </r>
  <r>
    <s v="311 - Germany"/>
    <d v="2024-01-23T00:00:00"/>
    <s v="JANUARY"/>
    <n v="2024"/>
    <x v="3"/>
    <s v="Deposited"/>
    <s v="PMT-S109-45581"/>
    <s v="IN-S109-441185"/>
    <s v="EUR"/>
    <n v="-7047.78"/>
    <n v="-8242.0259999999998"/>
    <n v="350.83499999999998"/>
    <n v="-350.83499999999998"/>
    <s v="Sedus Stoll Aktiengesellschaft / Sedus Systems GmbH"/>
    <s v="Theresa Saal"/>
    <s v="2000418044       1480226980240123 /ORD.CUST/SEDUS STOLL AG/EREF/2000418044/PAY.DET.//INV/25.12.2023 IN-S109-441185"/>
    <m/>
    <m/>
    <m/>
    <m/>
    <m/>
    <m/>
    <m/>
    <m/>
    <m/>
    <m/>
    <m/>
    <m/>
    <m/>
    <m/>
    <m/>
    <m/>
    <m/>
    <m/>
    <m/>
    <m/>
    <m/>
    <m/>
    <m/>
    <m/>
    <m/>
    <m/>
    <m/>
    <m/>
    <m/>
    <m/>
    <m/>
    <m/>
    <m/>
    <m/>
    <m/>
    <m/>
  </r>
  <r>
    <s v="311 - Germany"/>
    <d v="2026-03-03T00:00:00"/>
    <s v="MARCH"/>
    <n v="2026"/>
    <x v="3"/>
    <s v="Deposited"/>
    <s v="PMT-S109-54604"/>
    <s v="IN-S109-448894"/>
    <s v="EUR"/>
    <n v="-1800"/>
    <n v="-2105.0100000000002"/>
    <n v="350.83499999999998"/>
    <n v="3332.933"/>
    <s v="Sylvie Passat"/>
    <s v="Nathalie Darmois"/>
    <s v="FACTURE IN-S109- 14995596072603 03 /ORD.CUST/MADAME PASSAT SYLVIE/EREF/FACTURE IN-S109-448819"/>
    <m/>
    <m/>
    <m/>
    <m/>
    <m/>
    <m/>
    <m/>
    <m/>
    <m/>
    <m/>
    <m/>
    <m/>
    <m/>
    <m/>
    <m/>
    <m/>
    <m/>
    <m/>
    <m/>
    <m/>
    <m/>
    <m/>
    <m/>
    <m/>
    <m/>
    <m/>
    <m/>
    <m/>
    <m/>
    <m/>
    <m/>
    <m/>
    <m/>
    <m/>
    <m/>
    <m/>
  </r>
  <r>
    <s v="311 - Germany"/>
    <d v="2024-01-18T00:00:00"/>
    <s v="JANUARY"/>
    <n v="2024"/>
    <x v="3"/>
    <s v="Deposited"/>
    <s v="PMT-S109-45500"/>
    <s v="IN-S109-441259"/>
    <s v="EUR"/>
    <n v="-15827"/>
    <n v="-18508.884999999998"/>
    <n v="326.27699999999999"/>
    <n v="-3979.346"/>
    <s v="Syntegon Technology GmbH"/>
    <s v="Theresa Saal"/>
    <s v="0015001657       1480130146240118 /ORD.CUST/SYNTEGON TECHNOLOGY GMBH/EREF/0015001657/PAY.DET.//RE/I N-S109-441259 15.12.2023"/>
    <m/>
    <m/>
    <m/>
    <m/>
    <m/>
    <m/>
    <m/>
    <m/>
    <m/>
    <m/>
    <m/>
    <m/>
    <m/>
    <m/>
    <m/>
    <m/>
    <m/>
    <m/>
    <m/>
    <m/>
    <m/>
    <m/>
    <m/>
    <m/>
    <m/>
    <m/>
    <m/>
    <m/>
    <m/>
    <m/>
    <m/>
    <m/>
    <m/>
    <m/>
    <m/>
    <m/>
  </r>
  <r>
    <s v="311 - Germany"/>
    <d v="2024-01-30T00:00:00"/>
    <s v="JANUARY"/>
    <n v="2024"/>
    <x v="3"/>
    <s v="Deposited"/>
    <s v="PMT-S109-45749"/>
    <s v="IN-S109-440918"/>
    <s v="EUR"/>
    <n v="-3010.7"/>
    <n v="-3520.8629999999998"/>
    <n v="326.27699999999999"/>
    <n v="-326.27699999999999"/>
    <s v="Rhenus Group Sales Services GmbH"/>
    <s v="Theresa Saal"/>
    <s v="0100000435       1480416318240130 /ORD.CUST/RH ASSETS SERV GMBHCOKG/EREF/0100000435/PAY.DET.//NR.IN S109-440918/3010,70/28.11.20 23"/>
    <m/>
    <m/>
    <m/>
    <m/>
    <m/>
    <m/>
    <m/>
    <m/>
    <m/>
    <m/>
    <m/>
    <m/>
    <m/>
    <m/>
    <m/>
    <m/>
    <m/>
    <m/>
    <m/>
    <m/>
    <m/>
    <m/>
    <m/>
    <m/>
    <m/>
    <m/>
    <m/>
    <m/>
    <m/>
    <m/>
    <m/>
    <m/>
    <m/>
    <m/>
    <m/>
    <m/>
  </r>
  <r>
    <s v="311 - Germany"/>
    <d v="2026-04-29T00:00:00"/>
    <s v="APRIL"/>
    <n v="2026"/>
    <x v="3"/>
    <s v="Deposited"/>
    <s v="PMT-S109-55316"/>
    <s v="IN-S109-445849"/>
    <s v="EUR"/>
    <n v="-5936.77"/>
    <n v="-6942.7560000000003"/>
    <n v="262.85700000000003"/>
    <n v="-262.85700000000003"/>
    <s v="Urban Technology GmbH"/>
    <s v="Theresa Saal"/>
    <s v="NONREF           DE26042993041090 /ORD.CUST/URBAN TECHNOLOGY GMBH/PAY.DET./IN-S109-445806 PAYMENT P LAN"/>
    <m/>
    <m/>
    <m/>
    <m/>
    <m/>
    <m/>
    <m/>
    <m/>
    <m/>
    <m/>
    <m/>
    <m/>
    <m/>
    <m/>
    <m/>
    <m/>
    <m/>
    <m/>
    <m/>
    <m/>
    <m/>
    <m/>
    <m/>
    <m/>
    <m/>
    <m/>
    <m/>
    <m/>
    <m/>
    <m/>
    <m/>
    <m/>
    <m/>
    <m/>
    <m/>
    <m/>
  </r>
  <r>
    <s v="311 - Germany"/>
    <d v="2024-01-22T00:00:00"/>
    <s v="JANUARY"/>
    <n v="2024"/>
    <x v="3"/>
    <s v="Deposited"/>
    <s v="PMT-S109-45558"/>
    <s v="IN-S109-441316"/>
    <s v="EUR"/>
    <n v="-8925"/>
    <n v="-10437.341"/>
    <n v="259.61799999999999"/>
    <n v="-259.61799999999999"/>
    <s v="Landgard Service GmbH"/>
    <s v="Theresa Saal"/>
    <s v="NONREF           1803104231240122 /OCMT/EUR8925,//PAY.BANK/DZ BANK AG/ORD.CUST/LANDGARD SERVICE GMB H/PAY.DET.//INV/IN-S109-441316 19.12.2023/ROC/0001002345"/>
    <m/>
    <m/>
    <m/>
    <m/>
    <m/>
    <m/>
    <m/>
    <m/>
    <m/>
    <m/>
    <m/>
    <m/>
    <m/>
    <m/>
    <m/>
    <m/>
    <m/>
    <m/>
    <m/>
    <m/>
    <m/>
    <m/>
    <m/>
    <m/>
    <m/>
    <m/>
    <m/>
    <m/>
    <m/>
    <m/>
    <m/>
    <m/>
    <m/>
    <m/>
    <m/>
    <m/>
  </r>
  <r>
    <s v="311 - Germany"/>
    <d v="2023-09-05T00:00:00"/>
    <s v="SEPTEMBER"/>
    <n v="2023"/>
    <x v="3"/>
    <s v="Deposited"/>
    <s v="PMT-S109-43770"/>
    <s v="IN-S109-440031"/>
    <s v="EUR"/>
    <n v="-9163"/>
    <n v="-10715.67"/>
    <n v="245.58500000000001"/>
    <n v="-245.58500000000001"/>
    <s v="GEMÜ Gebr. Müller Apparatebau GmbH &amp; Co. KG"/>
    <s v="Theresa Saal"/>
    <s v="4400017412       1496034604230905 /ORD.CUST/GEMUE GEBR. MUELLER APP./EREF/4400017412/PAY.DET.//INV/ IN-S109-440031 23.8.2023"/>
    <m/>
    <m/>
    <m/>
    <m/>
    <m/>
    <m/>
    <m/>
    <m/>
    <m/>
    <m/>
    <m/>
    <m/>
    <m/>
    <m/>
    <m/>
    <m/>
    <m/>
    <m/>
    <m/>
    <m/>
    <m/>
    <m/>
    <m/>
    <m/>
    <m/>
    <m/>
    <m/>
    <m/>
    <m/>
    <m/>
    <m/>
    <m/>
    <m/>
    <m/>
    <m/>
    <m/>
  </r>
  <r>
    <s v="311 - Germany"/>
    <d v="2024-11-07T00:00:00"/>
    <s v="NOVEMBER"/>
    <n v="2024"/>
    <x v="3"/>
    <s v="Deposited"/>
    <s v="PMT-S109-48996"/>
    <s v="IN-S109-444095"/>
    <s v="EUR"/>
    <n v="-7425"/>
    <n v="-8683.1659999999993"/>
    <n v="210.501"/>
    <n v="-210.501"/>
    <s v="Nitidis"/>
    <s v=""/>
    <s v="ZZ1H2VLPWD7J9W06 14884436082411 07 /ORD.CUST/NITIDIS/EREF/ZZ1H2VLPWD7J9W06P/PAY.DET./FACTURE IN-S109 444095 ABONNEMENT A NNUEL VEILLE MELTWATER"/>
    <m/>
    <m/>
    <m/>
    <m/>
    <m/>
    <m/>
    <m/>
    <m/>
    <m/>
    <m/>
    <m/>
    <m/>
    <m/>
    <m/>
    <m/>
    <m/>
    <m/>
    <m/>
    <m/>
    <m/>
    <m/>
    <m/>
    <m/>
    <m/>
    <m/>
    <m/>
    <m/>
    <m/>
    <m/>
    <m/>
    <m/>
    <m/>
    <m/>
    <m/>
    <m/>
    <m/>
  </r>
  <r>
    <s v="311 - Germany"/>
    <d v="2025-05-14T00:00:00"/>
    <s v="MAY"/>
    <n v="2025"/>
    <x v="3"/>
    <s v="Deposited"/>
    <s v="PMT-S109-51339"/>
    <s v=""/>
    <s v="EUR"/>
    <n v="-160.55000000000001"/>
    <n v="-187.755"/>
    <n v="187.755"/>
    <n v="-187.755"/>
    <s v="Alpine Bau GmbH (AUT)"/>
    <s v="Theresa Saal"/>
    <s v="3586228          1493246099250514 /ORD.CUST/AKV EUROPA/EREF/3586228/PAY.DET./37030/205080879,160,5 5 EUR Q /. RATE 2.5 O/O,ALPINE BAU GMBH,5 S 80/13V"/>
    <m/>
    <m/>
    <m/>
    <m/>
    <m/>
    <m/>
    <m/>
    <m/>
    <m/>
    <m/>
    <m/>
    <m/>
    <m/>
    <m/>
    <m/>
    <m/>
    <m/>
    <m/>
    <m/>
    <m/>
    <m/>
    <m/>
    <m/>
    <m/>
    <m/>
    <m/>
    <m/>
    <m/>
    <m/>
    <m/>
    <m/>
    <m/>
    <m/>
    <m/>
    <m/>
    <m/>
  </r>
  <r>
    <s v="311 - Germany"/>
    <d v="2023-10-18T00:00:00"/>
    <s v="OCTOBER"/>
    <n v="2023"/>
    <x v="3"/>
    <s v="Deposited"/>
    <s v="PMT-S109-44191"/>
    <s v="IN-S109-439800"/>
    <s v="EUR"/>
    <n v="-9048.76"/>
    <n v="-10582.072"/>
    <n v="175.41800000000001"/>
    <n v="-175.41800000000001"/>
    <s v="Vodafone Institut für Gesellschaft und Kommunikation GmbH"/>
    <s v="Theresa Saal"/>
    <s v="IN-S109-439800 1 14972846572310 18 /ORD.CUST/VODAFONE INSTITUT FUR GESELLSCHAFT UND KOMMUNIKATION GM BH/EREF/IN-S109-439800 17.7.2023 IN-S109-43/PAY.DET./IN-S109-4398 00-IN-S109-439800"/>
    <m/>
    <m/>
    <m/>
    <m/>
    <m/>
    <m/>
    <m/>
    <m/>
    <m/>
    <m/>
    <m/>
    <m/>
    <m/>
    <m/>
    <m/>
    <m/>
    <m/>
    <m/>
    <m/>
    <m/>
    <m/>
    <m/>
    <m/>
    <m/>
    <m/>
    <m/>
    <m/>
    <m/>
    <m/>
    <m/>
    <m/>
    <m/>
    <m/>
    <m/>
    <m/>
    <m/>
  </r>
  <r>
    <s v="311 - Germany"/>
    <d v="2024-01-04T00:00:00"/>
    <s v="JANUARY"/>
    <n v="2024"/>
    <x v="3"/>
    <s v="Deposited"/>
    <s v="PMT-S109-45218"/>
    <s v="IN-S109-441405"/>
    <s v="EUR"/>
    <n v="-6188"/>
    <n v="-7236.5569999999998"/>
    <n v="175.41800000000001"/>
    <n v="-175.41800000000001"/>
    <s v="medac GmbH"/>
    <s v="Theresa Saal"/>
    <s v="ZAHL.BELEG. 0000 14997362412401 04 /ORD.CUST/MEDAC GESELLSCHAFT FUER KLINISCHE/EREF/ZAHL.BELEG. 0000 022321/PAY.DET./RE. IN-S109-441405 6.188,00"/>
    <m/>
    <m/>
    <m/>
    <m/>
    <m/>
    <m/>
    <m/>
    <m/>
    <m/>
    <m/>
    <m/>
    <m/>
    <m/>
    <m/>
    <m/>
    <m/>
    <m/>
    <m/>
    <m/>
    <m/>
    <m/>
    <m/>
    <m/>
    <m/>
    <m/>
    <m/>
    <m/>
    <m/>
    <m/>
    <m/>
    <m/>
    <m/>
    <m/>
    <m/>
    <m/>
    <m/>
  </r>
  <r>
    <s v="311 - Germany"/>
    <d v="2023-09-07T00:00:00"/>
    <s v="SEPTEMBER"/>
    <n v="2023"/>
    <x v="3"/>
    <s v="Deposited"/>
    <s v="PMT-S109-43785"/>
    <s v="IN-S109-439953"/>
    <s v="EUR"/>
    <n v="-4879"/>
    <n v="-5705.7470000000003"/>
    <n v="134.19399999999999"/>
    <n v="-134.19399999999999"/>
    <s v="united communications GmbH"/>
    <s v="Theresa Saal"/>
    <s v="NONREF           1496081826230907 /ORD.CUST/UNITED/PAY.DET./IN-S109-439953"/>
    <m/>
    <m/>
    <m/>
    <m/>
    <m/>
    <m/>
    <m/>
    <m/>
    <m/>
    <m/>
    <m/>
    <m/>
    <m/>
    <m/>
    <m/>
    <m/>
    <m/>
    <m/>
    <m/>
    <m/>
    <m/>
    <m/>
    <m/>
    <m/>
    <m/>
    <m/>
    <m/>
    <m/>
    <m/>
    <m/>
    <m/>
    <m/>
    <m/>
    <m/>
    <m/>
    <m/>
  </r>
  <r>
    <s v="311 - Germany"/>
    <d v="2026-05-04T00:00:00"/>
    <s v="MAY"/>
    <n v="2026"/>
    <x v="3"/>
    <s v="Deposited"/>
    <s v="PMT-S109-55375"/>
    <s v=""/>
    <s v="EUR"/>
    <n v="-80.25"/>
    <n v="-93.847999999999999"/>
    <n v="93.847999999999999"/>
    <n v="-32386.678"/>
    <s v="DUMMY CUSTOMER_CASHAPPS 311 - Germany"/>
    <s v="Theresa Saal"/>
    <s v="IC/961045,NONREF,NONREF           IC/961045 ABSCHLUSSPERIODE/CLOSING PERIOD 31.03.26 - 30.04.26 KONTO/ACCOUNT 1/4530/029 DETAILS SIEHE KONTOABSCHLUSSMITTEILUNG. FOR DETAILS SEE STATEMENT OF INTEREST AND CHARGES."/>
    <m/>
    <m/>
    <m/>
    <m/>
    <m/>
    <m/>
    <m/>
    <m/>
    <m/>
    <m/>
    <m/>
    <m/>
    <m/>
    <m/>
    <m/>
    <m/>
    <m/>
    <m/>
    <m/>
    <m/>
    <m/>
    <m/>
    <m/>
    <m/>
    <m/>
    <m/>
    <m/>
    <m/>
    <m/>
    <m/>
    <m/>
    <m/>
    <m/>
    <m/>
    <m/>
    <m/>
  </r>
  <r>
    <s v="311 - Germany"/>
    <d v="2024-11-05T00:00:00"/>
    <s v="NOVEMBER"/>
    <n v="2024"/>
    <x v="3"/>
    <s v="Deposited"/>
    <s v="PMT-S109-48958"/>
    <s v="IN-S109-443975"/>
    <s v="EUR"/>
    <n v="-57200"/>
    <n v="-66892.539999999994"/>
    <n v="93.555999999999997"/>
    <n v="-93.555999999999997"/>
    <s v="Two Circles GmbH"/>
    <s v="Amy Tyler"/>
    <s v="NONREF           1488401149241105 /ORD.CUST/TWO CIRCLES LIMITED/PAY.DET./TWO CIRCLES"/>
    <m/>
    <m/>
    <m/>
    <m/>
    <m/>
    <m/>
    <m/>
    <m/>
    <m/>
    <m/>
    <m/>
    <m/>
    <m/>
    <m/>
    <m/>
    <m/>
    <m/>
    <m/>
    <m/>
    <m/>
    <m/>
    <m/>
    <m/>
    <m/>
    <m/>
    <m/>
    <m/>
    <m/>
    <m/>
    <m/>
    <m/>
    <m/>
    <m/>
    <m/>
    <m/>
    <m/>
  </r>
  <r>
    <s v="311 - Germany"/>
    <d v="2024-01-05T00:00:00"/>
    <s v="JANUARY"/>
    <n v="2024"/>
    <x v="3"/>
    <s v="Deposited"/>
    <s v="PMT-S109-45243"/>
    <s v="IN-S109-441110"/>
    <s v="EUR"/>
    <n v="-4105.5"/>
    <n v="-4801.1769999999997"/>
    <n v="87.709000000000003"/>
    <n v="-87.709000000000003"/>
    <s v="Deutsches Jugendherbergswerk Landesverband Mecklenburg-Vorpommern e.V."/>
    <s v="Theresa Saal"/>
    <s v="21320000         1499740458240104 /ORD.CUST/DEUTSCHES JUGENDHERBERGSWERK LANDES VERBAND MECKLENBURG VORPOMMERN E.V./EREF/21320000/PAY.DET./IN-S109-441110"/>
    <m/>
    <m/>
    <m/>
    <m/>
    <m/>
    <m/>
    <m/>
    <m/>
    <m/>
    <m/>
    <m/>
    <m/>
    <m/>
    <m/>
    <m/>
    <m/>
    <m/>
    <m/>
    <m/>
    <m/>
    <m/>
    <m/>
    <m/>
    <m/>
    <m/>
    <m/>
    <m/>
    <m/>
    <m/>
    <m/>
    <m/>
    <m/>
    <m/>
    <m/>
    <m/>
    <m/>
  </r>
  <r>
    <s v="311 - Germany"/>
    <d v="2024-01-25T00:00:00"/>
    <s v="JANUARY"/>
    <n v="2024"/>
    <x v="3"/>
    <s v="Deposited"/>
    <s v="PMT-S109-45627"/>
    <s v="IN-S109-441107"/>
    <s v="EUR"/>
    <n v="-4373.25"/>
    <n v="-5114.2969999999996"/>
    <n v="84.411000000000001"/>
    <n v="-84.411000000000001"/>
    <s v="B. Braun Familienholding SE &amp; Co. KG"/>
    <s v="Theresa Saal"/>
    <s v="0098126974       1480298072240125 /ORD.CUST/B. BRAUN SE/EREF/0098126974/PAY.DET./ON BEHALF BIBLIOME D MEDIZINISCHENR. IN-S109-441107/05.12.2023/"/>
    <m/>
    <m/>
    <m/>
    <m/>
    <m/>
    <m/>
    <m/>
    <m/>
    <m/>
    <m/>
    <m/>
    <m/>
    <m/>
    <m/>
    <m/>
    <m/>
    <m/>
    <m/>
    <m/>
    <m/>
    <m/>
    <m/>
    <m/>
    <m/>
    <m/>
    <m/>
    <m/>
    <m/>
    <m/>
    <m/>
    <m/>
    <m/>
    <m/>
    <m/>
    <m/>
    <m/>
  </r>
  <r>
    <s v="311 - Germany"/>
    <d v="2024-01-22T00:00:00"/>
    <s v="JANUARY"/>
    <n v="2024"/>
    <x v="3"/>
    <s v="Deposited"/>
    <s v="PMT-S109-45548"/>
    <s v="IN-S109-441205"/>
    <s v="EUR"/>
    <n v="-2018.54"/>
    <n v="-2360.5819999999999"/>
    <n v="84.2"/>
    <n v="-84.2"/>
    <s v="TECHART Automobildesign GmbH"/>
    <s v="Theresa Saal"/>
    <s v="2401220838-00000 14802025582401 22 /ORD.CUST/TECHART AUTOMOBILDESIGN GMBH/EREF/2401220838-0000005/PA Y.DET./RNR IN-S109-441205 BETRAG 2.018,54 KTO. 79604 6929"/>
    <m/>
    <m/>
    <m/>
    <m/>
    <m/>
    <m/>
    <m/>
    <m/>
    <m/>
    <m/>
    <m/>
    <m/>
    <m/>
    <m/>
    <m/>
    <m/>
    <m/>
    <m/>
    <m/>
    <m/>
    <m/>
    <m/>
    <m/>
    <m/>
    <m/>
    <m/>
    <m/>
    <m/>
    <m/>
    <m/>
    <m/>
    <m/>
    <m/>
    <m/>
    <m/>
    <m/>
  </r>
  <r>
    <s v="311 - Germany"/>
    <d v="2023-10-13T00:00:00"/>
    <s v="OCTOBER"/>
    <n v="2023"/>
    <x v="3"/>
    <s v="Deposited"/>
    <s v="PMT-S109-44152"/>
    <s v=""/>
    <s v="EUR"/>
    <n v="-68.41"/>
    <n v="-80.001999999999995"/>
    <n v="80.001999999999995"/>
    <n v="-80.001999999999995"/>
    <s v="INSTITUT NATIONAL DES SCIENCES ET INDUSTRIES DU VIVANT ET DE L'ENVIRONNEMENT (AGROP"/>
    <s v=""/>
    <s v="1D0750000-2023AG 1497127268231013 /ORD.CUST/DRFIP ILE DE FRANCE ET DE PARIS/EREF/1D0750000-2023AGPO RP-MDT0013442-000/PAY.DET./I MORATOIRES F. IN-S109-439818DU 19 /0 7/2023 DP 2023/AGP/ORP/0012039 PJ . 1 CERTIFICAT ADMINISTRATIF."/>
    <m/>
    <m/>
    <m/>
    <m/>
    <m/>
    <m/>
    <m/>
    <m/>
    <m/>
    <m/>
    <m/>
    <m/>
    <m/>
    <m/>
    <m/>
    <m/>
    <m/>
    <m/>
    <m/>
    <m/>
    <m/>
    <m/>
    <m/>
    <m/>
    <m/>
    <m/>
    <m/>
    <m/>
    <m/>
    <m/>
    <m/>
    <m/>
    <m/>
    <m/>
    <m/>
    <m/>
  </r>
  <r>
    <s v="321 - UK"/>
    <d v="2024-02-14T00:00:00"/>
    <s v="FEBRUARY"/>
    <n v="2024"/>
    <x v="3"/>
    <s v="Deposited"/>
    <s v="PMT-S104-42510"/>
    <s v=""/>
    <s v="GBP"/>
    <n v="-20447.810000000001"/>
    <n v="-27610.269"/>
    <n v="27610.269"/>
    <n v="-58417.703999999998"/>
    <s v="DUMMY CUSTOMER_CASHAPPS 321 - UK"/>
    <s v="Amy Tyler"/>
    <s v="I W G     S /SREF/226620"/>
    <m/>
    <m/>
    <m/>
    <m/>
    <m/>
    <m/>
    <m/>
    <m/>
    <m/>
    <m/>
    <m/>
    <m/>
    <m/>
    <m/>
    <m/>
    <m/>
    <m/>
    <m/>
    <m/>
    <m/>
    <m/>
    <m/>
    <m/>
    <m/>
    <m/>
    <m/>
    <m/>
    <m/>
    <m/>
    <m/>
    <m/>
    <m/>
    <m/>
    <m/>
    <m/>
    <m/>
  </r>
  <r>
    <s v="321 - UK"/>
    <d v="2023-09-15T00:00:00"/>
    <s v="SEPTEMBER"/>
    <n v="2023"/>
    <x v="3"/>
    <s v="Deposited"/>
    <s v="PMT-S104-40759"/>
    <s v=""/>
    <s v="GBP"/>
    <n v="-10618.95"/>
    <n v="-14338.556"/>
    <n v="14338.556"/>
    <n v="-58417.703999999998"/>
    <s v="DUMMY CUSTOMER_CASHAPPS 321 - UK"/>
    <s v="Amy Tyler"/>
    <s v="ACH CONCENTRATION CREDIT ACH CASH CONCENTRATION PRIORITY PASS IN-PAYMENTS Priority PAYMENTS PM20"/>
    <m/>
    <m/>
    <m/>
    <m/>
    <m/>
    <m/>
    <m/>
    <m/>
    <m/>
    <m/>
    <m/>
    <m/>
    <m/>
    <m/>
    <m/>
    <m/>
    <m/>
    <m/>
    <m/>
    <m/>
    <m/>
    <m/>
    <m/>
    <m/>
    <m/>
    <m/>
    <m/>
    <m/>
    <m/>
    <m/>
    <m/>
    <m/>
    <m/>
    <m/>
    <m/>
    <m/>
  </r>
  <r>
    <s v="321 - UK"/>
    <d v="2022-10-12T00:00:00"/>
    <s v="OCTOBER"/>
    <n v="2022"/>
    <x v="3"/>
    <s v="Deposited"/>
    <s v="PMT-S104-36577"/>
    <s v="IN-S104-430746"/>
    <s v="USD"/>
    <n v="-55212.34"/>
    <n v="-65286.038"/>
    <n v="8114.4"/>
    <n v="-8114.4"/>
    <s v="BLJ Worldwide"/>
    <s v="Manar Sultan"/>
    <s v=""/>
    <m/>
    <m/>
    <m/>
    <m/>
    <m/>
    <m/>
    <m/>
    <m/>
    <m/>
    <m/>
    <m/>
    <m/>
    <m/>
    <m/>
    <m/>
    <m/>
    <m/>
    <m/>
    <m/>
    <m/>
    <m/>
    <m/>
    <m/>
    <m/>
    <m/>
    <m/>
    <m/>
    <m/>
    <m/>
    <m/>
    <m/>
    <m/>
    <m/>
    <m/>
    <m/>
    <m/>
  </r>
  <r>
    <s v="321 - UK"/>
    <d v="2025-09-04T00:00:00"/>
    <s v="SEPTEMBER"/>
    <n v="2025"/>
    <x v="3"/>
    <s v="Deposited"/>
    <s v="PMT-S104-48463"/>
    <s v="IN-S104-439730"/>
    <s v="EUR"/>
    <n v="-60079.32"/>
    <n v="-68872.097999999998"/>
    <n v="8047.25"/>
    <n v="-8047.25"/>
    <s v="Heineken UK Limited"/>
    <s v="Georgia Albutt-392"/>
    <s v="/REMI//URI/NO.IN-S104-439730/16 .6.2025/////ROC/2000027305 FRE0409 5G6MMEVGJ /INS/BNPAFRPPXXX/OCMT/EUR60079,32//BENM/GB84HBUK4011603 1212125 Meltwater (UK) Limited/EXCH/1.1778920//ORDP/1/HEINEKEN UK LIMITED NL84BNPA0227992385 2/3-4 BROADWAY PARK 2/SOUTH G/OBK/BNP ANL2AXXX BNP PARIBAS S.A. - THE NETHERLANDS HERENGRACHT 595 AMSTE RDAM/TMS/2025-09-04T09:04:32 GMT/MID/1.15470908"/>
    <m/>
    <m/>
    <m/>
    <m/>
    <m/>
    <m/>
    <m/>
    <m/>
    <m/>
    <m/>
    <m/>
    <m/>
    <m/>
    <m/>
    <m/>
    <m/>
    <m/>
    <m/>
    <m/>
    <m/>
    <m/>
    <m/>
    <m/>
    <m/>
    <m/>
    <m/>
    <m/>
    <m/>
    <m/>
    <m/>
    <m/>
    <m/>
    <m/>
    <m/>
    <m/>
    <m/>
  </r>
  <r>
    <s v="321 - UK"/>
    <d v="2022-12-19T00:00:00"/>
    <s v="DECEMBER"/>
    <n v="2022"/>
    <x v="3"/>
    <s v="Deposited"/>
    <s v="PMT-S104-37407"/>
    <s v="IN-S104-429650"/>
    <s v="GBP"/>
    <n v="-6711.25"/>
    <n v="-9062.0669999999991"/>
    <n v="7431.6850000000004"/>
    <n v="-9062.0669999999991"/>
    <s v="Theo Fennell Limited"/>
    <s v="Amy Tyler"/>
    <s v=""/>
    <m/>
    <m/>
    <m/>
    <m/>
    <m/>
    <m/>
    <m/>
    <m/>
    <m/>
    <m/>
    <m/>
    <m/>
    <m/>
    <m/>
    <m/>
    <m/>
    <m/>
    <m/>
    <m/>
    <m/>
    <m/>
    <m/>
    <m/>
    <m/>
    <m/>
    <m/>
    <m/>
    <m/>
    <m/>
    <m/>
    <m/>
    <m/>
    <m/>
    <m/>
    <m/>
    <m/>
  </r>
  <r>
    <s v="321 - UK"/>
    <d v="2024-09-06T00:00:00"/>
    <s v="SEPTEMBER"/>
    <n v="2024"/>
    <x v="3"/>
    <s v="Deposited"/>
    <s v="PMT-S104-44863"/>
    <s v=""/>
    <s v="GBP"/>
    <n v="-5384.29"/>
    <n v="-7270.299"/>
    <n v="7270.299"/>
    <n v="-58417.703999999998"/>
    <s v="DUMMY CUSTOMER_CASHAPPS 321 - UK"/>
    <s v="Amy Tyler"/>
    <s v="LAMBERT SCHROER /SREF/234790"/>
    <m/>
    <m/>
    <m/>
    <m/>
    <m/>
    <m/>
    <m/>
    <m/>
    <m/>
    <m/>
    <m/>
    <m/>
    <m/>
    <m/>
    <m/>
    <m/>
    <m/>
    <m/>
    <m/>
    <m/>
    <m/>
    <m/>
    <m/>
    <m/>
    <m/>
    <m/>
    <m/>
    <m/>
    <m/>
    <m/>
    <m/>
    <m/>
    <m/>
    <m/>
    <m/>
    <m/>
  </r>
  <r>
    <s v="321 - UK"/>
    <d v="2026-04-30T00:00:00"/>
    <s v="APRIL"/>
    <n v="2026"/>
    <x v="3"/>
    <s v="Deposited"/>
    <s v="PMT-S104-51044"/>
    <s v=""/>
    <s v="USD"/>
    <n v="-7290"/>
    <n v="-7152.393"/>
    <n v="7152.393"/>
    <n v="-7152.393"/>
    <s v="AFRODAD (African Forum &amp; Network on Debt Development)"/>
    <s v="Georgia Albutt-392"/>
    <s v="/REMI//URI/AFRODAD MELTWATER IN- S104-435161///ROC/OT26117ZW014101 7 S06611922E2601 /INS/SBZAZAJJ/OCMT/USD7290,00//BENM/GB84HBUK4011 6031212125 Meltwater (UK) Limited/EXCH/1.3762573//ORDP/AFRODAD 91 40000882177 31 ATKINSON DRIVE HILLSIDE/OBK/SBICZWHXXXX STANBIC BA NK ZIMBABWE LIMITED OTTOMAN HOUSE 59 SAMORA MACHEL AVENUE H/TMS/2 026-04-30T05:12:48 GMT/MID/1.34655650"/>
    <m/>
    <m/>
    <m/>
    <m/>
    <m/>
    <m/>
    <m/>
    <m/>
    <m/>
    <m/>
    <m/>
    <m/>
    <m/>
    <m/>
    <m/>
    <m/>
    <m/>
    <m/>
    <m/>
    <m/>
    <m/>
    <m/>
    <m/>
    <m/>
    <m/>
    <m/>
    <m/>
    <m/>
    <m/>
    <m/>
    <m/>
    <m/>
    <m/>
    <m/>
    <m/>
    <m/>
  </r>
  <r>
    <s v="321 - UK"/>
    <d v="2025-12-10T00:00:00"/>
    <s v="DECEMBER"/>
    <n v="2025"/>
    <x v="3"/>
    <s v="Not Deposited"/>
    <s v="PMT-S104-49427"/>
    <s v=""/>
    <s v="USD"/>
    <n v="-6942"/>
    <n v="-6714.875"/>
    <n v="6714.875"/>
    <n v="-6714.875"/>
    <s v="WWF Kenya"/>
    <s v="Jan Sutherland"/>
    <s v="Check PMT-S104-47885    REMI//URI/PO 13332///ROC/667991 5184FS 6679915184FS/OCMT/USD6942 00//BENM/GB84HBUK40116031212125 Meltwater (UK) Limited/EXCH/1.395 9532//ORDP/1/WORLD WIDE FUND FOR NATURE 7881820049 2/THE MVULI HS E MVULI RD OFF R/OBK/CBAFKENX NCBA BANK KENYA PLC NCBA CENTRE MAR A AND RAGATI ROAD NAIROBI/TMS/2025-07-03T11:38:29 GMT/MID/1.36584 220"/>
    <m/>
    <m/>
    <m/>
    <m/>
    <m/>
    <m/>
    <m/>
    <m/>
    <m/>
    <m/>
    <m/>
    <m/>
    <m/>
    <m/>
    <m/>
    <m/>
    <m/>
    <m/>
    <m/>
    <m/>
    <m/>
    <m/>
    <m/>
    <m/>
    <m/>
    <m/>
    <m/>
    <m/>
    <m/>
    <m/>
    <m/>
    <m/>
    <m/>
    <m/>
    <m/>
    <m/>
  </r>
  <r>
    <s v="321 - UK"/>
    <d v="2022-12-28T00:00:00"/>
    <s v="DECEMBER"/>
    <n v="2022"/>
    <x v="3"/>
    <s v="Deposited"/>
    <s v="PMT-S104-37568"/>
    <s v="IN-S104-431830"/>
    <s v="GBP"/>
    <n v="-13661.38"/>
    <n v="-18446.687999999998"/>
    <n v="6293.4930000000004"/>
    <n v="-6293.4930000000004"/>
    <s v="Magen David Adom"/>
    <s v="Amy Tyler"/>
    <s v="/REMI//RFB/INV(S) 104431830 PE T424767360/OCMT/GBP13661,38//BENM/G B84HBUK40116031212125 Meltwater (UK) Limited/EXCH/000000000000//O RDP/MAGEN DAVID ADOM IN ISRAEL 15100012300 60 YIGAL ALON STREET T EL-AVIV 6/OBK/IDBLILITXXX ISRAEL DISCOUNT BANK LTD. 27-31,YEHUD A HALEVI STREET TEL AVIV"/>
    <m/>
    <m/>
    <m/>
    <m/>
    <m/>
    <m/>
    <m/>
    <m/>
    <m/>
    <m/>
    <m/>
    <m/>
    <m/>
    <m/>
    <m/>
    <m/>
    <m/>
    <m/>
    <m/>
    <m/>
    <m/>
    <m/>
    <m/>
    <m/>
    <m/>
    <m/>
    <m/>
    <m/>
    <m/>
    <m/>
    <m/>
    <m/>
    <m/>
    <m/>
    <m/>
    <m/>
  </r>
  <r>
    <s v="321 - UK"/>
    <d v="2024-07-03T00:00:00"/>
    <s v="JULY"/>
    <n v="2024"/>
    <x v="3"/>
    <s v="Deposited"/>
    <s v="PMT-S104-44187"/>
    <s v=""/>
    <s v="GBP"/>
    <n v="-4119.6000000000004"/>
    <n v="-5562.6130000000003"/>
    <n v="5562.6130000000003"/>
    <n v="-5562.6130000000003"/>
    <s v="CHURCH ARMY(THE)"/>
    <s v="Amy Tyler"/>
    <s v="/REMI/PET126096184 /ACC/RTN/YRS DT 02/07/2024         //TRN CM-S1 04-4893                 //RSN ACCOUNT FORMAT INVALID FOR NC//C/OC MT/GBP4119,60//BENM/40116031212125 Meltwater (UK) Limited/EXCH/00 0000000000//ORDP/THE CHURCH ARMY/OBK/BUKBGB22XXX BARCLAYS BANK UK PLC 1 CHURCHILL PLACE LONDON"/>
    <m/>
    <m/>
    <m/>
    <m/>
    <m/>
    <m/>
    <m/>
    <m/>
    <m/>
    <m/>
    <m/>
    <m/>
    <m/>
    <m/>
    <m/>
    <m/>
    <m/>
    <m/>
    <m/>
    <m/>
    <m/>
    <m/>
    <m/>
    <m/>
    <m/>
    <m/>
    <m/>
    <m/>
    <m/>
    <m/>
    <m/>
    <m/>
    <m/>
    <m/>
    <m/>
    <m/>
  </r>
  <r>
    <s v="321 - UK"/>
    <d v="2024-07-01T00:00:00"/>
    <s v="JULY"/>
    <n v="2024"/>
    <x v="3"/>
    <s v="Deposited"/>
    <s v="PMT-S104-44142"/>
    <s v=""/>
    <s v="GBP"/>
    <n v="-2475"/>
    <n v="-3341.9430000000002"/>
    <n v="3341.9430000000002"/>
    <n v="-3341.9430000000002"/>
    <s v="Som.X Limited"/>
    <s v="Amy Tyler"/>
    <s v="SOM.X LTD SW FP460A4108707372 /ROC/IN-S104-437097 /FPID/RP46799645691600001020240701826200026"/>
    <m/>
    <m/>
    <m/>
    <m/>
    <m/>
    <m/>
    <m/>
    <m/>
    <m/>
    <m/>
    <m/>
    <m/>
    <m/>
    <m/>
    <m/>
    <m/>
    <m/>
    <m/>
    <m/>
    <m/>
    <m/>
    <m/>
    <m/>
    <m/>
    <m/>
    <m/>
    <m/>
    <m/>
    <m/>
    <m/>
    <m/>
    <m/>
    <m/>
    <m/>
    <m/>
    <m/>
  </r>
  <r>
    <s v="321 - UK"/>
    <d v="2023-05-04T00:00:00"/>
    <s v="MAY"/>
    <n v="2023"/>
    <x v="3"/>
    <s v="Deposited"/>
    <s v="PMT-S104-39097"/>
    <s v=""/>
    <s v="GBP"/>
    <n v="-2173.44"/>
    <n v="-2934.7530000000002"/>
    <n v="2934.7530000000002"/>
    <n v="-58417.703999999998"/>
    <s v="DUMMY CUSTOMER_CASHAPPS 321 - UK"/>
    <s v="Amy Tyler"/>
    <s v="BNP PARIBAS LEASIN FP343E0603480528 /ROC/Z0064052 CONTRACT /FPID/73197575405168F5SW9320230504826400250"/>
    <m/>
    <m/>
    <m/>
    <m/>
    <m/>
    <m/>
    <m/>
    <m/>
    <m/>
    <m/>
    <m/>
    <m/>
    <m/>
    <m/>
    <m/>
    <m/>
    <m/>
    <m/>
    <m/>
    <m/>
    <m/>
    <m/>
    <m/>
    <m/>
    <m/>
    <m/>
    <m/>
    <m/>
    <m/>
    <m/>
    <m/>
    <m/>
    <m/>
    <m/>
    <m/>
    <m/>
  </r>
  <r>
    <s v="321 - UK"/>
    <d v="2023-02-17T00:00:00"/>
    <s v="FEBRUARY"/>
    <n v="2023"/>
    <x v="3"/>
    <s v="Deposited"/>
    <s v="PMT-S104-38175"/>
    <s v="IN-S104-433221"/>
    <s v="GBP"/>
    <n v="-12022.56"/>
    <n v="-16233.822"/>
    <n v="2817.44"/>
    <n v="-2817.44"/>
    <s v="METALLON CORPORATION LIMITED"/>
    <s v="Amy Tyler"/>
    <s v="SJCS RE METALLON FP311D2009734860 /EREF/METALLON /ROC/METALLON /FPID/BX23020262115385001020230202826200026"/>
    <m/>
    <m/>
    <m/>
    <m/>
    <m/>
    <m/>
    <m/>
    <m/>
    <m/>
    <m/>
    <m/>
    <m/>
    <m/>
    <m/>
    <m/>
    <m/>
    <m/>
    <m/>
    <m/>
    <m/>
    <m/>
    <m/>
    <m/>
    <m/>
    <m/>
    <m/>
    <m/>
    <m/>
    <m/>
    <m/>
    <m/>
    <m/>
    <m/>
    <m/>
    <m/>
    <m/>
  </r>
  <r>
    <s v="321 - UK"/>
    <d v="2023-06-12T00:00:00"/>
    <s v="JUNE"/>
    <n v="2023"/>
    <x v="3"/>
    <s v="Deposited"/>
    <s v="PMT-S104-39619"/>
    <s v=""/>
    <s v="GBP"/>
    <n v="-2030.14"/>
    <n v="-2741.2570000000001"/>
    <n v="2741.2570000000001"/>
    <n v="-58417.703999999998"/>
    <s v="DUMMY CUSTOMER_CASHAPPS 321 - UK"/>
    <s v="Amy Tyler"/>
    <s v="CMS CAMERON MCKENN FP35B34557831697 /REMI/KANR/164753.00003 /ROC/KANR/164753.00003 /FPID/31030017930584000R4020230612826151000"/>
    <m/>
    <m/>
    <m/>
    <m/>
    <m/>
    <m/>
    <m/>
    <m/>
    <m/>
    <m/>
    <m/>
    <m/>
    <m/>
    <m/>
    <m/>
    <m/>
    <m/>
    <m/>
    <m/>
    <m/>
    <m/>
    <m/>
    <m/>
    <m/>
    <m/>
    <m/>
    <m/>
    <m/>
    <m/>
    <m/>
    <m/>
    <m/>
    <m/>
    <m/>
    <m/>
    <m/>
  </r>
  <r>
    <s v="321 - UK"/>
    <d v="2024-11-28T00:00:00"/>
    <s v="NOVEMBER"/>
    <n v="2024"/>
    <x v="3"/>
    <s v="Deposited"/>
    <s v="PMT-S104-45622"/>
    <s v="IN-S104-437575"/>
    <s v="USD"/>
    <n v="-9232.89"/>
    <n v="-9821.9369999999999"/>
    <n v="2083.86"/>
    <n v="-2083.86"/>
    <s v="DrugStoc"/>
    <s v="Georgia Albutt-392"/>
    <s v="/REMI//RFB/INTERNATIONAL MEDIA SERVICES B185008377846329/OCMT/GBP 7274,00//BENM/GB84HBUK40116031212125 Meltwater (UK) Limited/EXCH/ 000000000000//ORDP/DRUGSTOC EHUB LIMITED 5070882064 3 BILLINGS WA Y IKEJA 7 ARTCOURT ESTAT/OBK/ZEIBNGLAXXX ZENITH BANK PLC 87 AJOSE ADEOGUN STREET ZENITH HEIGHTS VICTORIA ISLAN"/>
    <m/>
    <m/>
    <m/>
    <m/>
    <m/>
    <m/>
    <m/>
    <m/>
    <m/>
    <m/>
    <m/>
    <m/>
    <m/>
    <m/>
    <m/>
    <m/>
    <m/>
    <m/>
    <m/>
    <m/>
    <m/>
    <m/>
    <m/>
    <m/>
    <m/>
    <m/>
    <m/>
    <m/>
    <m/>
    <m/>
    <m/>
    <m/>
    <m/>
    <m/>
    <m/>
    <m/>
  </r>
  <r>
    <s v="321 - UK"/>
    <d v="2023-12-22T00:00:00"/>
    <s v="DECEMBER"/>
    <n v="2023"/>
    <x v="3"/>
    <s v="Deposited"/>
    <s v="PMT-S104-41822"/>
    <s v="IN-S104-434751"/>
    <s v="USD"/>
    <n v="-4800"/>
    <n v="-4998.2640000000001"/>
    <n v="1832.6949999999999"/>
    <n v="-1832.6949999999999"/>
    <s v="World Wildlife Fund (WWF) Zambia"/>
    <s v="Jan Sutherland"/>
    <s v="/REMI/28901 MANAGEMENT CONSULTING SE RVICES     FULL CONSULTANCY PAYMENT           40000105-2020-S01/A DD N3 S0633562CF/OCMT/USD4800,00//BENM/GB84HBUK40116031212125 Mel twater (UK) Limited/EXCH/1.2967201//ORDP/WORLD WIDE FUND FOR NATU RE ZAMBIA 0251413004 PLOT 4978,LOS ANGELES BOU/OBK/CITIZMLUXXX CI TIBANK ZAMBIA LTD CITIBANK HOUSE STAND 4646 ADDIS ABABA ROUNDABOU T/TMS/2023-12-22T06:33:11 GMT/MID/1.26872420"/>
    <m/>
    <m/>
    <m/>
    <m/>
    <m/>
    <m/>
    <m/>
    <m/>
    <m/>
    <m/>
    <m/>
    <m/>
    <m/>
    <m/>
    <m/>
    <m/>
    <m/>
    <m/>
    <m/>
    <m/>
    <m/>
    <m/>
    <m/>
    <m/>
    <m/>
    <m/>
    <m/>
    <m/>
    <m/>
    <m/>
    <m/>
    <m/>
    <m/>
    <m/>
    <m/>
    <m/>
  </r>
  <r>
    <s v="321 - UK"/>
    <d v="2022-12-29T00:00:00"/>
    <s v="DECEMBER"/>
    <n v="2022"/>
    <x v="3"/>
    <s v="Deposited"/>
    <s v="PMT-S104-37583"/>
    <s v=""/>
    <s v="GBP"/>
    <n v="-1207.44"/>
    <n v="-1630.3820000000001"/>
    <n v="1630.3820000000001"/>
    <n v="-9062.0669999999991"/>
    <s v="Theo Fennell Limited"/>
    <s v="Amy Tyler"/>
    <s v="CMC WORLDWID LTD FP2BSC3904291371 /ROC/S104-429650/345197 /FPID/RP46799616571360001020221229826200026"/>
    <m/>
    <m/>
    <m/>
    <m/>
    <m/>
    <m/>
    <m/>
    <m/>
    <m/>
    <m/>
    <m/>
    <m/>
    <m/>
    <m/>
    <m/>
    <m/>
    <m/>
    <m/>
    <m/>
    <m/>
    <m/>
    <m/>
    <m/>
    <m/>
    <m/>
    <m/>
    <m/>
    <m/>
    <m/>
    <m/>
    <m/>
    <m/>
    <m/>
    <m/>
    <m/>
    <m/>
  </r>
  <r>
    <s v="321 - UK"/>
    <d v="2024-01-19T00:00:00"/>
    <s v="JANUARY"/>
    <n v="2024"/>
    <x v="3"/>
    <s v="Deposited"/>
    <s v="PMT-S104-42133"/>
    <s v="IN-S104-435599"/>
    <s v="GBP"/>
    <n v="-4761.2"/>
    <n v="-6428.9530000000004"/>
    <n v="1606.8330000000001"/>
    <n v="-1606.8330000000001"/>
    <s v="Bryanston School"/>
    <s v="Amy Tyler"/>
    <s v="BRYANSTON SCHOOL /SREF/239921"/>
    <m/>
    <m/>
    <m/>
    <m/>
    <m/>
    <m/>
    <m/>
    <m/>
    <m/>
    <m/>
    <m/>
    <m/>
    <m/>
    <m/>
    <m/>
    <m/>
    <m/>
    <m/>
    <m/>
    <m/>
    <m/>
    <m/>
    <m/>
    <m/>
    <m/>
    <m/>
    <m/>
    <m/>
    <m/>
    <m/>
    <m/>
    <m/>
    <m/>
    <m/>
    <m/>
    <m/>
  </r>
  <r>
    <s v="321 - UK"/>
    <d v="2023-09-11T00:00:00"/>
    <s v="SEPTEMBER"/>
    <n v="2023"/>
    <x v="3"/>
    <s v="Deposited"/>
    <s v="PMT-S104-40569"/>
    <s v=""/>
    <s v="GBP"/>
    <n v="-1038"/>
    <n v="-1401.5909999999999"/>
    <n v="1401.5909999999999"/>
    <n v="-58417.703999999998"/>
    <s v="DUMMY CUSTOMER_CASHAPPS 321 - UK"/>
    <s v="Amy Tyler"/>
    <s v="INSIGHT DIRECT UK /SREF/446248"/>
    <m/>
    <m/>
    <m/>
    <m/>
    <m/>
    <m/>
    <m/>
    <m/>
    <m/>
    <m/>
    <m/>
    <m/>
    <m/>
    <m/>
    <m/>
    <m/>
    <m/>
    <m/>
    <m/>
    <m/>
    <m/>
    <m/>
    <m/>
    <m/>
    <m/>
    <m/>
    <m/>
    <m/>
    <m/>
    <m/>
    <m/>
    <m/>
    <m/>
    <m/>
    <m/>
    <m/>
  </r>
  <r>
    <s v="321 - UK"/>
    <d v="2026-04-02T00:00:00"/>
    <s v="APRIL"/>
    <n v="2026"/>
    <x v="3"/>
    <s v="Deposited"/>
    <s v="PMT-S104-50722"/>
    <s v=""/>
    <s v="GBP"/>
    <n v="-1023.77"/>
    <n v="-1382.376"/>
    <n v="1382.376"/>
    <n v="-58417.703999999998"/>
    <s v="DUMMY CUSTOMER_CASHAPPS 321 - UK"/>
    <s v="Amy Tyler"/>
    <s v="/REMI/BEING PAYMENT FOR 2026 HOO TSUITE SUBSCRIPTION S0660923A0EF0 1/OCMT/USD1385,00//BENM/GB84HBUK40116031212125 Meltwater (UK) Lim ited/EXCH/1.3528468//ORDP/ECOBANK ZAMBIA LTD 154000204 22768 ACAC IA PARK THABO MBEKI ROAD P.O. B/OBK/ECOCZMLUXXX ECOBANK ZAMBIA LI MITED THABO MBEKI ROAD LUSAKA/TMS/2026-04-02T16:16:10 GMT/MID/1.3 2365590"/>
    <m/>
    <m/>
    <m/>
    <m/>
    <m/>
    <m/>
    <m/>
    <m/>
    <m/>
    <m/>
    <m/>
    <m/>
    <m/>
    <m/>
    <m/>
    <m/>
    <m/>
    <m/>
    <m/>
    <m/>
    <m/>
    <m/>
    <m/>
    <m/>
    <m/>
    <m/>
    <m/>
    <m/>
    <m/>
    <m/>
    <m/>
    <m/>
    <m/>
    <m/>
    <m/>
    <m/>
  </r>
  <r>
    <s v="321 - UK"/>
    <d v="2025-06-30T00:00:00"/>
    <s v="JUNE"/>
    <n v="2025"/>
    <x v="3"/>
    <s v="Deposited"/>
    <s v="PMT-S104-47857"/>
    <s v=""/>
    <s v="GBP"/>
    <n v="-689.23"/>
    <n v="-930.65300000000002"/>
    <n v="930.65300000000002"/>
    <n v="-930.65300000000002"/>
    <s v="GORDON MURRAY AUTOMOTIVE LIMITED"/>
    <s v="Amy Tyler"/>
    <s v="GORDON R H LTD FP55T34753349995 /EREF/Guest Refund /ROC/Guest Refund /FPID/BX25062746364372004020250630826200000"/>
    <m/>
    <m/>
    <m/>
    <m/>
    <m/>
    <m/>
    <m/>
    <m/>
    <m/>
    <m/>
    <m/>
    <m/>
    <m/>
    <m/>
    <m/>
    <m/>
    <m/>
    <m/>
    <m/>
    <m/>
    <m/>
    <m/>
    <m/>
    <m/>
    <m/>
    <m/>
    <m/>
    <m/>
    <m/>
    <m/>
    <m/>
    <m/>
    <m/>
    <m/>
    <m/>
    <m/>
  </r>
  <r>
    <s v="321 - UK"/>
    <d v="2025-12-29T00:00:00"/>
    <s v="DECEMBER"/>
    <n v="2025"/>
    <x v="3"/>
    <s v="Deposited"/>
    <s v="PMT-S104-49628"/>
    <s v="IN-S104-440352"/>
    <s v="USD"/>
    <n v="-11467.63"/>
    <n v="-10075.992"/>
    <n v="853.89"/>
    <n v="27233.284"/>
    <s v="Oman Investment Authority"/>
    <s v="Jan Sutherland"/>
    <s v="/REMI//URI/OM/880/INV IN S104 44 0352 MANAGEMENT FEES////ROC/B5355 0002200001A FT285076832251/1 /INS/CHASUS33XXX/OCMT/GBP7462,15//BE NM/GB84HBUK40116031212125 Meltwater (UK) Limited/EXCH/00000000000 0//ORDP/1/OMAN INVESTMENT AUTHORITY OM250180001021124098001 2/260 1,4th  5th Fl/OBK/NBOMOMRXXXX NATIONAL BANK OF OMAN 65 AL MARKAZI STREET MUTTRAH BUSINESS DISTRICT"/>
    <m/>
    <m/>
    <m/>
    <m/>
    <m/>
    <m/>
    <m/>
    <m/>
    <m/>
    <m/>
    <m/>
    <m/>
    <m/>
    <m/>
    <m/>
    <m/>
    <m/>
    <m/>
    <m/>
    <m/>
    <m/>
    <m/>
    <m/>
    <m/>
    <m/>
    <m/>
    <m/>
    <m/>
    <m/>
    <m/>
    <m/>
    <m/>
    <m/>
    <m/>
    <m/>
    <m/>
  </r>
  <r>
    <s v="321 - UK"/>
    <d v="2023-07-26T00:00:00"/>
    <s v="JULY"/>
    <n v="2023"/>
    <x v="3"/>
    <s v="Deposited"/>
    <s v="PMT-S104-40075"/>
    <s v="IN-S104-434446"/>
    <s v="GBP"/>
    <n v="-1200"/>
    <n v="-1620.336"/>
    <n v="810.16800000000001"/>
    <n v="-810.16800000000001"/>
    <s v="ENVIRONMENTAL RESOURCES MANAGEMENT LIMITED"/>
    <s v="Amy Tyler"/>
    <s v="/REMI/IN S104 43440+44 202307250 0117566 FT00258212184261/OCMT/GBP 1200,00//BENM/GB84HBUK40116031212125 Meltwater (UK) Limited/EXCH/ 000000000000//ORDP/ERM INFORMATION SOLUTIONS INC 002000037556305 840 W SAM HOUSTON PKWY N/OBK/WFBIUS6SXXX WELLS FARGO BANK,N.A. 4 20 MONTGOMERY STREET SAN FRANCISCO"/>
    <m/>
    <m/>
    <m/>
    <m/>
    <m/>
    <m/>
    <m/>
    <m/>
    <m/>
    <m/>
    <m/>
    <m/>
    <m/>
    <m/>
    <m/>
    <m/>
    <m/>
    <m/>
    <m/>
    <m/>
    <m/>
    <m/>
    <m/>
    <m/>
    <m/>
    <m/>
    <m/>
    <m/>
    <m/>
    <m/>
    <m/>
    <m/>
    <m/>
    <m/>
    <m/>
    <m/>
  </r>
  <r>
    <s v="321 - UK"/>
    <d v="2023-09-08T00:00:00"/>
    <s v="SEPTEMBER"/>
    <n v="2023"/>
    <x v="3"/>
    <s v="Deposited"/>
    <s v="PMT-S104-40547"/>
    <s v=""/>
    <s v="GBP"/>
    <n v="-547"/>
    <n v="-738.60299999999995"/>
    <n v="738.60299999999995"/>
    <n v="-58417.703999999998"/>
    <s v="DUMMY CUSTOMER_CASHAPPS 321 - UK"/>
    <s v="Amy Tyler"/>
    <s v="CHGS (CR) 06SEP23 INV 10762135"/>
    <m/>
    <m/>
    <m/>
    <m/>
    <m/>
    <m/>
    <m/>
    <m/>
    <m/>
    <m/>
    <m/>
    <m/>
    <m/>
    <m/>
    <m/>
    <m/>
    <m/>
    <m/>
    <m/>
    <m/>
    <m/>
    <m/>
    <m/>
    <m/>
    <m/>
    <m/>
    <m/>
    <m/>
    <m/>
    <m/>
    <m/>
    <m/>
    <m/>
    <m/>
    <m/>
    <m/>
  </r>
  <r>
    <s v="321 - UK"/>
    <d v="2026-04-08T00:00:00"/>
    <s v="APRIL"/>
    <n v="2026"/>
    <x v="3"/>
    <s v="Deposited"/>
    <s v="PMT-S104-50747"/>
    <s v="IN-S104-440219"/>
    <s v="GBP"/>
    <n v="-3741.4"/>
    <n v="-5051.9380000000001"/>
    <n v="675.14"/>
    <n v="-675.14"/>
    <s v="MND Scotland"/>
    <s v="Amy Tyler"/>
    <s v="MND Scotland FP637B1734888997 /DbAcct/80071500767080 /ROC/S104-440219 /FPID/3000000017492138091020260408826800715"/>
    <m/>
    <m/>
    <m/>
    <m/>
    <m/>
    <m/>
    <m/>
    <m/>
    <m/>
    <m/>
    <m/>
    <m/>
    <m/>
    <m/>
    <m/>
    <m/>
    <m/>
    <m/>
    <m/>
    <m/>
    <m/>
    <m/>
    <m/>
    <m/>
    <m/>
    <m/>
    <m/>
    <m/>
    <m/>
    <m/>
    <m/>
    <m/>
    <m/>
    <m/>
    <m/>
    <m/>
  </r>
  <r>
    <s v="321 - UK"/>
    <d v="2023-04-05T00:00:00"/>
    <s v="APRIL"/>
    <n v="2023"/>
    <x v="3"/>
    <s v="Deposited"/>
    <s v="PMT-S104-38717"/>
    <s v="IN-S104-432489"/>
    <s v="USD"/>
    <n v="-2671.48"/>
    <n v="-2916.605"/>
    <n v="558.40800000000002"/>
    <n v="-558.40800000000002"/>
    <s v="Amnesty International"/>
    <s v="Georgia Albutt-392"/>
    <s v=""/>
    <m/>
    <m/>
    <m/>
    <m/>
    <m/>
    <m/>
    <m/>
    <m/>
    <m/>
    <m/>
    <m/>
    <m/>
    <m/>
    <m/>
    <m/>
    <m/>
    <m/>
    <m/>
    <m/>
    <m/>
    <m/>
    <m/>
    <m/>
    <m/>
    <m/>
    <m/>
    <m/>
    <m/>
    <m/>
    <m/>
    <m/>
    <m/>
    <m/>
    <m/>
    <m/>
    <m/>
  </r>
  <r>
    <s v="321 - UK"/>
    <d v="2023-11-21T00:00:00"/>
    <s v="NOVEMBER"/>
    <n v="2023"/>
    <x v="3"/>
    <s v="Deposited"/>
    <s v="PMT-S104-41397"/>
    <s v="IN-S104-435281"/>
    <s v="GBP"/>
    <n v="-5492.4"/>
    <n v="-7416.2780000000002"/>
    <n v="529.85"/>
    <n v="-529.85"/>
    <s v="GERALD INTERNATIONAL LIMITED"/>
    <s v="Amy Tyler"/>
    <s v="/REMI//URI/IN-S104-435131///ROC/ SDP/20.11.22:13 15PR231121666462/ OCMT/GBP5492,40//BENM/31212125 1/MELTWATER (UK) LTD/EXCH/00000000 0000//ORDP/GERALD INTERNATIONAL LIMITED 10745801 THIRD FLOOR ONE STRAND GRAND BUI/OBK/DEUTGB2LXXX DEUTSCHE BANK AG WINCHESTER HOUS E 1 GREAT WINCHESTER STREET LONDON"/>
    <m/>
    <m/>
    <m/>
    <m/>
    <m/>
    <m/>
    <m/>
    <m/>
    <m/>
    <m/>
    <m/>
    <m/>
    <m/>
    <m/>
    <m/>
    <m/>
    <m/>
    <m/>
    <m/>
    <m/>
    <m/>
    <m/>
    <m/>
    <m/>
    <m/>
    <m/>
    <m/>
    <m/>
    <m/>
    <m/>
    <m/>
    <m/>
    <m/>
    <m/>
    <m/>
    <m/>
  </r>
  <r>
    <s v="321 - UK"/>
    <d v="2025-12-05T00:00:00"/>
    <s v="DECEMBER"/>
    <n v="2025"/>
    <x v="3"/>
    <s v="Deposited"/>
    <s v="PMT-S104-49392"/>
    <s v="IN-S104-440589"/>
    <s v="GBP"/>
    <n v="-4890"/>
    <n v="-6602.8689999999997"/>
    <n v="162.03399999999999"/>
    <n v="-162.03399999999999"/>
    <s v="BRAND COMMUNICATIONS CREATIVES (UK) LTD"/>
    <s v="Amy Tyler"/>
    <s v="Brand Commun FP5B4E5825749047 /DbAcct/40040991521020 /ROC/INV 440589 /FPID/0646743185415021019020251205826400409"/>
    <m/>
    <m/>
    <m/>
    <m/>
    <m/>
    <m/>
    <m/>
    <m/>
    <m/>
    <m/>
    <m/>
    <m/>
    <m/>
    <m/>
    <m/>
    <m/>
    <m/>
    <m/>
    <m/>
    <m/>
    <m/>
    <m/>
    <m/>
    <m/>
    <m/>
    <m/>
    <m/>
    <m/>
    <m/>
    <m/>
    <m/>
    <m/>
    <m/>
    <m/>
    <m/>
    <m/>
  </r>
  <r>
    <s v="321 - UK"/>
    <d v="2024-05-02T00:00:00"/>
    <s v="MAY"/>
    <n v="2024"/>
    <x v="3"/>
    <s v="Deposited"/>
    <s v="PMT-S104-43483"/>
    <s v="IN-S104-436418"/>
    <s v="EUR"/>
    <n v="-6607.74"/>
    <n v="-7463.5649999999996"/>
    <n v="121.70099999999999"/>
    <n v="-121.70099999999999"/>
    <s v="Failte Ireland"/>
    <s v="Nathalie Darmois"/>
    <s v="/BENM//40116031212125MELTWATER UK LTDTOWER BRIDGE HOUSE20 ST KATH ERINESWAY/OCMT/EUR6607,74/EXCH/1,19544705//BBI//EREF/FAILTE IRELA ND LVL3X2A0/ORDP//IE39BOFI90001755048546FAILTE IRELANDAUTHORITY 8 8 TO 95 AMIENS ST DUBLIN 1/IE"/>
    <m/>
    <m/>
    <m/>
    <m/>
    <m/>
    <m/>
    <m/>
    <m/>
    <m/>
    <m/>
    <m/>
    <m/>
    <m/>
    <m/>
    <m/>
    <m/>
    <m/>
    <m/>
    <m/>
    <m/>
    <m/>
    <m/>
    <m/>
    <m/>
    <m/>
    <m/>
    <m/>
    <m/>
    <m/>
    <m/>
    <m/>
    <m/>
    <m/>
    <m/>
    <m/>
    <m/>
  </r>
  <r>
    <s v="32C (326) - Sysomos UK"/>
    <d v="2019-09-10T00:00:00"/>
    <s v="SEPTEMBER"/>
    <n v="2019"/>
    <x v="1"/>
    <s v="Deposited"/>
    <s v="PMT-S130D-0273"/>
    <s v=""/>
    <s v="GBP"/>
    <n v="-12240"/>
    <n v="-15983.359"/>
    <n v="15983.359"/>
    <n v="-26638.932000000001"/>
    <s v="DUMMY CUSTOMER_CASHAPPS 326 - Sysomos UK Limited"/>
    <s v="Amy Tyler"/>
    <s v="Barclays Wire 9/10/19 - UNIVERSAL PICTURES L000973364 BGCFrom: 20-00-00 50477567"/>
    <m/>
    <m/>
    <m/>
    <m/>
    <m/>
    <m/>
    <m/>
    <m/>
    <m/>
    <m/>
    <m/>
    <m/>
    <m/>
    <m/>
    <m/>
    <m/>
    <m/>
    <m/>
    <m/>
    <m/>
    <m/>
    <m/>
    <m/>
    <m/>
    <m/>
    <m/>
    <m/>
    <m/>
    <m/>
    <m/>
    <m/>
    <m/>
    <m/>
    <m/>
    <m/>
    <m/>
  </r>
  <r>
    <s v="32C (326) - Sysomos UK"/>
    <d v="2019-11-27T00:00:00"/>
    <s v="NOVEMBER"/>
    <n v="2019"/>
    <x v="1"/>
    <s v="Not Deposited"/>
    <s v="PMT-S130D-0325"/>
    <s v=""/>
    <s v="GBP"/>
    <n v="-4999.99"/>
    <n v="-6529.1369999999997"/>
    <n v="6529.1369999999997"/>
    <n v="-6529.1369999999997"/>
    <s v="TI Media Ltd"/>
    <s v="Amy Tyler"/>
    <s v="ACH/Wire"/>
    <m/>
    <m/>
    <m/>
    <m/>
    <m/>
    <m/>
    <m/>
    <m/>
    <m/>
    <m/>
    <m/>
    <m/>
    <m/>
    <m/>
    <m/>
    <m/>
    <m/>
    <m/>
    <m/>
    <m/>
    <m/>
    <m/>
    <m/>
    <m/>
    <m/>
    <m/>
    <m/>
    <m/>
    <m/>
    <m/>
    <m/>
    <m/>
    <m/>
    <m/>
    <m/>
    <m/>
  </r>
  <r>
    <s v="32C (326) - Sysomos UK"/>
    <d v="2019-10-08T00:00:00"/>
    <s v="OCTOBER"/>
    <n v="2019"/>
    <x v="1"/>
    <s v="Deposited"/>
    <s v="PMT-S130D-0307"/>
    <s v=""/>
    <s v="GBP"/>
    <n v="-4080"/>
    <n v="-5327.7860000000001"/>
    <n v="5327.7860000000001"/>
    <n v="-26638.932000000001"/>
    <s v="DUMMY CUSTOMER_CASHAPPS 326 - Sysomos UK Limited"/>
    <s v="Amy Tyler"/>
    <s v="Barclays Wire 10/8/19 - UNIVERSAL PICTURES UK01002264 BGCFrom: 20-00-00 50477567"/>
    <m/>
    <m/>
    <m/>
    <m/>
    <m/>
    <m/>
    <m/>
    <m/>
    <m/>
    <m/>
    <m/>
    <m/>
    <m/>
    <m/>
    <m/>
    <m/>
    <m/>
    <m/>
    <m/>
    <m/>
    <m/>
    <m/>
    <m/>
    <m/>
    <m/>
    <m/>
    <m/>
    <m/>
    <m/>
    <m/>
    <m/>
    <m/>
    <m/>
    <m/>
    <m/>
    <m/>
  </r>
  <r>
    <s v="32C (326) - Sysomos UK"/>
    <d v="2019-11-13T00:00:00"/>
    <s v="NOVEMBER"/>
    <n v="2019"/>
    <x v="1"/>
    <s v="Deposited"/>
    <s v="PMT-S130D-0323"/>
    <s v="IN-S130D-0205"/>
    <s v="GBP"/>
    <n v="-7600"/>
    <n v="-9924.3080000000009"/>
    <n v="4962.1540000000005"/>
    <n v="-4962.1540000000005"/>
    <s v="Djembe Communications"/>
    <s v="Amy Tyler"/>
    <s v="Barclays Wire 11/13/19"/>
    <m/>
    <m/>
    <m/>
    <m/>
    <m/>
    <m/>
    <m/>
    <m/>
    <m/>
    <m/>
    <m/>
    <m/>
    <m/>
    <m/>
    <m/>
    <m/>
    <m/>
    <m/>
    <m/>
    <m/>
    <m/>
    <m/>
    <m/>
    <m/>
    <m/>
    <m/>
    <m/>
    <m/>
    <m/>
    <m/>
    <m/>
    <m/>
    <m/>
    <m/>
    <m/>
    <m/>
  </r>
  <r>
    <s v="32C (326) - Sysomos UK"/>
    <d v="2019-05-08T00:00:00"/>
    <s v="MAY"/>
    <n v="2019"/>
    <x v="1"/>
    <s v="Deposited"/>
    <s v="PMT-S130D-0169"/>
    <s v=""/>
    <s v="GBP"/>
    <n v="-3468"/>
    <n v="-4528.6180000000004"/>
    <n v="4528.6180000000004"/>
    <n v="-4528.6180000000004"/>
    <s v="Essence Digital"/>
    <s v="Amy Tyler"/>
    <s v="Barclays wire 05/08/19"/>
    <m/>
    <m/>
    <m/>
    <m/>
    <m/>
    <m/>
    <m/>
    <m/>
    <m/>
    <m/>
    <m/>
    <m/>
    <m/>
    <m/>
    <m/>
    <m/>
    <m/>
    <m/>
    <m/>
    <m/>
    <m/>
    <m/>
    <m/>
    <m/>
    <m/>
    <m/>
    <m/>
    <m/>
    <m/>
    <m/>
    <m/>
    <m/>
    <m/>
    <m/>
    <m/>
    <m/>
  </r>
  <r>
    <s v="32C (326) - Sysomos UK"/>
    <d v="2019-09-06T00:00:00"/>
    <s v="SEPTEMBER"/>
    <n v="2019"/>
    <x v="1"/>
    <s v="Deposited"/>
    <s v="PMT-S130D-0272"/>
    <s v=""/>
    <s v="GBP"/>
    <n v="-2040"/>
    <n v="-2663.893"/>
    <n v="2663.893"/>
    <n v="-26638.932000000001"/>
    <s v="DUMMY CUSTOMER_CASHAPPS 326 - Sysomos UK Limited"/>
    <s v="Amy Tyler"/>
    <s v="Barclays Wire 9/6/19 - UNIVERSAL PICTUR * 180603*/ROC/U6900* TFR"/>
    <m/>
    <m/>
    <m/>
    <m/>
    <m/>
    <m/>
    <m/>
    <m/>
    <m/>
    <m/>
    <m/>
    <m/>
    <m/>
    <m/>
    <m/>
    <m/>
    <m/>
    <m/>
    <m/>
    <m/>
    <m/>
    <m/>
    <m/>
    <m/>
    <m/>
    <m/>
    <m/>
    <m/>
    <m/>
    <m/>
    <m/>
    <m/>
    <m/>
    <m/>
    <m/>
    <m/>
  </r>
  <r>
    <s v="32C (326) - Sysomos UK"/>
    <d v="2019-10-04T00:00:00"/>
    <s v="OCTOBER"/>
    <n v="2019"/>
    <x v="1"/>
    <s v="Deposited"/>
    <s v="PMT-S130D-0306"/>
    <s v=""/>
    <s v="GBP"/>
    <n v="-2040"/>
    <n v="-2663.893"/>
    <n v="2663.893"/>
    <n v="-26638.932000000001"/>
    <s v="DUMMY CUSTOMER_CASHAPPS 326 - Sysomos UK Limited"/>
    <s v="Amy Tyler"/>
    <s v="Barclays Wire 10/4/19 - UNIVERSAL PICTURES UK00987935 BGCFrom: 20-00-00 50477567"/>
    <m/>
    <m/>
    <m/>
    <m/>
    <m/>
    <m/>
    <m/>
    <m/>
    <m/>
    <m/>
    <m/>
    <m/>
    <m/>
    <m/>
    <m/>
    <m/>
    <m/>
    <m/>
    <m/>
    <m/>
    <m/>
    <m/>
    <m/>
    <m/>
    <m/>
    <m/>
    <m/>
    <m/>
    <m/>
    <m/>
    <m/>
    <m/>
    <m/>
    <m/>
    <m/>
    <m/>
  </r>
  <r>
    <s v="32C (326) - Sysomos UK"/>
    <d v="2019-03-08T00:00:00"/>
    <s v="MARCH"/>
    <n v="2019"/>
    <x v="1"/>
    <s v="Deposited"/>
    <s v="PMT-S130D-0095"/>
    <s v="IN-S130D-0115"/>
    <s v="GBP"/>
    <n v="-7372.8"/>
    <n v="-9627.6229999999996"/>
    <n v="310.56599999999997"/>
    <n v="-310.56599999999997"/>
    <s v="Harvest Digital"/>
    <s v="Amy Tyler"/>
    <s v=""/>
    <m/>
    <m/>
    <m/>
    <m/>
    <m/>
    <m/>
    <m/>
    <m/>
    <m/>
    <m/>
    <m/>
    <m/>
    <m/>
    <m/>
    <m/>
    <m/>
    <m/>
    <m/>
    <m/>
    <m/>
    <m/>
    <m/>
    <m/>
    <m/>
    <m/>
    <m/>
    <m/>
    <m/>
    <m/>
    <m/>
    <m/>
    <m/>
    <m/>
    <m/>
    <m/>
    <m/>
  </r>
  <r>
    <s v="32C (326) - Sysomos UK"/>
    <d v="2019-11-14T00:00:00"/>
    <s v="NOVEMBER"/>
    <n v="2019"/>
    <x v="1"/>
    <s v="Deposited"/>
    <s v="PMT-S130D-0324"/>
    <s v=""/>
    <s v="GBP"/>
    <n v="-26"/>
    <n v="-33.951999999999998"/>
    <n v="33.951999999999998"/>
    <n v="-33.951999999999998"/>
    <s v="Accelerated Intelligence LTD"/>
    <s v="Amy Tyler"/>
    <s v="Barclays Wire 11/14/19"/>
    <m/>
    <m/>
    <m/>
    <m/>
    <m/>
    <m/>
    <m/>
    <m/>
    <m/>
    <m/>
    <m/>
    <m/>
    <m/>
    <m/>
    <m/>
    <m/>
    <m/>
    <m/>
    <m/>
    <m/>
    <m/>
    <m/>
    <m/>
    <m/>
    <m/>
    <m/>
    <m/>
    <m/>
    <m/>
    <m/>
    <m/>
    <m/>
    <m/>
    <m/>
    <m/>
    <m/>
  </r>
  <r>
    <s v="334 - Meltwater France SAS"/>
    <d v="2023-11-20T00:00:00"/>
    <s v="NOVEMBER"/>
    <n v="2023"/>
    <x v="3"/>
    <s v="Deposited"/>
    <s v="PMT-S188-1008"/>
    <s v="IN-S188-1981"/>
    <s v="EUR"/>
    <n v="-29700"/>
    <n v="-34732.665000000001"/>
    <n v="27575.631000000001"/>
    <n v="66925.260999999999"/>
    <s v="PERNOD RICARD SA"/>
    <s v="Nathalie Darmois"/>
    <s v="SERA TFR RCVD IN-S188-1369"/>
    <m/>
    <m/>
    <m/>
    <m/>
    <m/>
    <m/>
    <m/>
    <m/>
    <m/>
    <m/>
    <m/>
    <m/>
    <m/>
    <m/>
    <m/>
    <m/>
    <m/>
    <m/>
    <m/>
    <m/>
    <m/>
    <m/>
    <m/>
    <m/>
    <m/>
    <m/>
    <m/>
    <m/>
    <m/>
    <m/>
    <m/>
    <m/>
    <m/>
    <m/>
    <m/>
    <m/>
  </r>
  <r>
    <s v="334 - Meltwater France SAS"/>
    <d v="2026-03-26T00:00:00"/>
    <s v="MARCH"/>
    <n v="2026"/>
    <x v="3"/>
    <s v="Deposited"/>
    <s v="PMT-S188-1572"/>
    <s v=""/>
    <s v="EUR"/>
    <n v="-22962.560000000001"/>
    <n v="-26853.565999999999"/>
    <n v="26853.565999999999"/>
    <n v="-37326.411999999997"/>
    <s v="DUMMY CUSTOMER_CASHAPPS 334-Linfluence France"/>
    <s v=""/>
    <s v="VIREMENT SEPA RECU YCI2 00777 GMF/REMI/18562 - VIREMENT EMIS/ISDT VIR/1621563/GMF ASSURANCES 18562 - VIREMENT EMIS/ISDT/2026-03-"/>
    <m/>
    <m/>
    <m/>
    <m/>
    <m/>
    <m/>
    <m/>
    <m/>
    <m/>
    <m/>
    <m/>
    <m/>
    <m/>
    <m/>
    <m/>
    <m/>
    <m/>
    <m/>
    <m/>
    <m/>
    <m/>
    <m/>
    <m/>
    <m/>
    <m/>
    <m/>
    <m/>
    <m/>
    <m/>
    <m/>
    <m/>
    <m/>
    <m/>
    <m/>
    <m/>
    <m/>
  </r>
  <r>
    <s v="334 - Meltwater France SAS"/>
    <d v="2024-07-26T00:00:00"/>
    <s v="JULY"/>
    <n v="2024"/>
    <x v="3"/>
    <s v="Deposited"/>
    <s v="PMT-S188-1215"/>
    <s v="IN-S188-1668"/>
    <s v="EUR"/>
    <n v="-26400"/>
    <n v="-30873.48"/>
    <n v="15436.74"/>
    <n v="-15436.74"/>
    <s v="CHANEL SAS"/>
    <s v=""/>
    <s v="VIREMENT SEPA RECU YCI2 05254 CHANEL/REMI//INV/IN-S188-1668/1.7.2 2024000068834 /INV/IN-S188-1668/1.7.20241N-S188-1"/>
    <m/>
    <m/>
    <m/>
    <m/>
    <m/>
    <m/>
    <m/>
    <m/>
    <m/>
    <m/>
    <m/>
    <m/>
    <m/>
    <m/>
    <m/>
    <m/>
    <m/>
    <m/>
    <m/>
    <m/>
    <m/>
    <m/>
    <m/>
    <m/>
    <m/>
    <m/>
    <m/>
    <m/>
    <m/>
    <m/>
    <m/>
    <m/>
    <m/>
    <m/>
    <m/>
    <m/>
  </r>
  <r>
    <s v="334 - Meltwater France SAS"/>
    <d v="2025-10-07T00:00:00"/>
    <s v="OCTOBER"/>
    <n v="2025"/>
    <x v="3"/>
    <s v="Not Deposited"/>
    <s v="PMT-S188-1497"/>
    <s v="IN-S188-1985"/>
    <s v="USD"/>
    <n v="-39000"/>
    <n v="-38120.644"/>
    <n v="15248.26"/>
    <n v="66925.260999999999"/>
    <s v="PERNOD RICARD SA"/>
    <s v="Nathalie Darmois"/>
    <s v="D B/O1/PERNOD RICARDO/R04170577643890DE SOGEFRPPUSD39000,00   TX 1.1964265USD39000,00/ROC/548114///URI/IN S109 446364 ORD193637 04170577643890DE SWIFT NTRF 04170577643890DE"/>
    <m/>
    <m/>
    <m/>
    <m/>
    <m/>
    <m/>
    <m/>
    <m/>
    <m/>
    <m/>
    <m/>
    <m/>
    <m/>
    <m/>
    <m/>
    <m/>
    <m/>
    <m/>
    <m/>
    <m/>
    <m/>
    <m/>
    <m/>
    <m/>
    <m/>
    <m/>
    <m/>
    <m/>
    <m/>
    <m/>
    <m/>
    <m/>
    <m/>
    <m/>
    <m/>
    <m/>
  </r>
  <r>
    <s v="334 - Meltwater France SAS"/>
    <d v="2023-08-30T00:00:00"/>
    <s v="AUGUST"/>
    <n v="2023"/>
    <x v="3"/>
    <s v="Deposited"/>
    <s v="PMT-S188-0931"/>
    <s v=""/>
    <s v="EUR"/>
    <n v="-8200"/>
    <n v="-9589.49"/>
    <n v="9589.49"/>
    <n v="-9589.49"/>
    <s v="KERING"/>
    <s v=""/>
    <s v="VIR ETRANGER RECU EUROPEEN /DE 1/GUCCIO GUCCI S.P.A. /FROM IT /MOTIF IN-S188-1209 9.5.2023 26000573 89 /MMO EUR 8200,00 /BNPP EUR 0,00 /REF ZZ1EO3VUZDCLNZVBT"/>
    <m/>
    <m/>
    <m/>
    <m/>
    <m/>
    <m/>
    <m/>
    <m/>
    <m/>
    <m/>
    <m/>
    <m/>
    <m/>
    <m/>
    <m/>
    <m/>
    <m/>
    <m/>
    <m/>
    <m/>
    <m/>
    <m/>
    <m/>
    <m/>
    <m/>
    <m/>
    <m/>
    <m/>
    <m/>
    <m/>
    <m/>
    <m/>
    <m/>
    <m/>
    <m/>
    <m/>
  </r>
  <r>
    <s v="334 - Meltwater France SAS"/>
    <d v="2025-12-09T00:00:00"/>
    <s v="DECEMBER"/>
    <n v="2025"/>
    <x v="3"/>
    <s v="Deposited"/>
    <s v="PMT-S188-1523"/>
    <s v="IN-S188-2013"/>
    <s v="EUR"/>
    <n v="-19650.2"/>
    <n v="-22979.925999999999"/>
    <n v="8399.2240000000002"/>
    <n v="66925.260999999999"/>
    <s v="PERNOD RICARD SA"/>
    <s v="Nathalie Darmois"/>
    <s v="D B/O1/PERNOD RICARDO/R04170583954781B5 SOGEFRPPUSD23400,00   TX 1.1908276USD23400,00/ROC/555169///URI/IN S188 1985 04170583954781B5 SWIFT NTRF 04170583954781B5"/>
    <m/>
    <m/>
    <m/>
    <m/>
    <m/>
    <m/>
    <m/>
    <m/>
    <m/>
    <m/>
    <m/>
    <m/>
    <m/>
    <m/>
    <m/>
    <m/>
    <m/>
    <m/>
    <m/>
    <m/>
    <m/>
    <m/>
    <m/>
    <m/>
    <m/>
    <m/>
    <m/>
    <m/>
    <m/>
    <m/>
    <m/>
    <m/>
    <m/>
    <m/>
    <m/>
    <m/>
  </r>
  <r>
    <s v="334 - Meltwater France SAS"/>
    <d v="2022-11-10T00:00:00"/>
    <s v="NOVEMBER"/>
    <n v="2022"/>
    <x v="3"/>
    <s v="Deposited"/>
    <s v="PMT-S188-0588"/>
    <s v=""/>
    <s v="EUR"/>
    <n v="-6000"/>
    <n v="-7016.7"/>
    <n v="7016.7"/>
    <n v="-7016.7"/>
    <s v="Danone SA"/>
    <s v="Nathalie Darmois"/>
    <s v="VIR SEPA RECU /FRM DANONE /EID 1600011149 /RNF IN-S188-0244"/>
    <m/>
    <m/>
    <m/>
    <m/>
    <m/>
    <m/>
    <m/>
    <m/>
    <m/>
    <m/>
    <m/>
    <m/>
    <m/>
    <m/>
    <m/>
    <m/>
    <m/>
    <m/>
    <m/>
    <m/>
    <m/>
    <m/>
    <m/>
    <m/>
    <m/>
    <m/>
    <m/>
    <m/>
    <m/>
    <m/>
    <m/>
    <m/>
    <m/>
    <m/>
    <m/>
    <m/>
  </r>
  <r>
    <s v="334 - Meltwater France SAS"/>
    <d v="2023-06-30T00:00:00"/>
    <s v="JUNE"/>
    <n v="2023"/>
    <x v="3"/>
    <s v="Deposited"/>
    <s v="PMT-S188-0870"/>
    <s v=""/>
    <s v="EUR"/>
    <n v="-4015.45"/>
    <n v="-4695.8680000000004"/>
    <n v="4695.8680000000004"/>
    <n v="-37326.411999999997"/>
    <s v="DUMMY CUSTOMER_CASHAPPS 334-Linfluence France"/>
    <s v=""/>
    <s v="FOREIGN TRANSFER RECEIVED INTE RNATIONAL /DE HYVE INTERNATIO NAL EVENTS LIMITED /FROM GB /M OTIF 3034 /MMO GBP 3500,00 /BNP P EUR 0,00 /REF ZZ1EB76Y81LES4P DS"/>
    <m/>
    <m/>
    <m/>
    <m/>
    <m/>
    <m/>
    <m/>
    <m/>
    <m/>
    <m/>
    <m/>
    <m/>
    <m/>
    <m/>
    <m/>
    <m/>
    <m/>
    <m/>
    <m/>
    <m/>
    <m/>
    <m/>
    <m/>
    <m/>
    <m/>
    <m/>
    <m/>
    <m/>
    <m/>
    <m/>
    <m/>
    <m/>
    <m/>
    <m/>
    <m/>
    <m/>
  </r>
  <r>
    <s v="334 - Meltwater France SAS"/>
    <d v="2023-01-12T00:00:00"/>
    <s v="JANUARY"/>
    <n v="2023"/>
    <x v="3"/>
    <s v="Deposited"/>
    <s v="PMT-S188-0644"/>
    <s v=""/>
    <s v="EUR"/>
    <n v="-3600"/>
    <n v="-4210.0200000000004"/>
    <n v="4210.0200000000004"/>
    <n v="-37326.411999999997"/>
    <s v="DUMMY CUSTOMER_CASHAPPS 334-Linfluence France"/>
    <s v=""/>
    <s v="VIR SEPA RECU /FRM CELINE /EID 5B1011057136 /RNF OF-FR- 1967"/>
    <m/>
    <m/>
    <m/>
    <m/>
    <m/>
    <m/>
    <m/>
    <m/>
    <m/>
    <m/>
    <m/>
    <m/>
    <m/>
    <m/>
    <m/>
    <m/>
    <m/>
    <m/>
    <m/>
    <m/>
    <m/>
    <m/>
    <m/>
    <m/>
    <m/>
    <m/>
    <m/>
    <m/>
    <m/>
    <m/>
    <m/>
    <m/>
    <m/>
    <m/>
    <m/>
    <m/>
  </r>
  <r>
    <s v="334 - Meltwater France SAS"/>
    <d v="2023-05-25T00:00:00"/>
    <s v="MAY"/>
    <n v="2023"/>
    <x v="3"/>
    <s v="Deposited"/>
    <s v="PMT-S188-0828"/>
    <s v=""/>
    <s v="EUR"/>
    <n v="-1339.91"/>
    <n v="-1566.9580000000001"/>
    <n v="1566.9580000000001"/>
    <n v="-37326.411999999997"/>
    <s v="DUMMY CUSTOMER_CASHAPPS 334-Linfluence France"/>
    <s v=""/>
    <s v="FOREIGN TRANSFER RECEIVED INTERNATIONAL /DE THOMAS TELFORD LIMITED /FROM GB /MMO GBP 1179,60 /BNPP EUR 0,00 /REF ZZ1E3VHGKMQ7YFFSX"/>
    <m/>
    <m/>
    <m/>
    <m/>
    <m/>
    <m/>
    <m/>
    <m/>
    <m/>
    <m/>
    <m/>
    <m/>
    <m/>
    <m/>
    <m/>
    <m/>
    <m/>
    <m/>
    <m/>
    <m/>
    <m/>
    <m/>
    <m/>
    <m/>
    <m/>
    <m/>
    <m/>
    <m/>
    <m/>
    <m/>
    <m/>
    <m/>
    <m/>
    <m/>
    <m/>
    <m/>
  </r>
  <r>
    <s v="334 - Meltwater France SAS"/>
    <d v="2023-06-20T00:00:00"/>
    <s v="JUNE"/>
    <n v="2023"/>
    <x v="3"/>
    <s v="Deposited"/>
    <s v="PMT-S188-0853"/>
    <s v=""/>
    <s v="EUR"/>
    <n v="-756"/>
    <n v="-884.10400000000004"/>
    <n v="884.10400000000004"/>
    <n v="-884.10400000000004"/>
    <s v="Kanbios"/>
    <s v=""/>
    <s v="SEPA TFR RCVD /FRM KANBIOS /EID 20230619:BNV:249:3 /RNF IN-S188-1060"/>
    <m/>
    <m/>
    <m/>
    <m/>
    <m/>
    <m/>
    <m/>
    <m/>
    <m/>
    <m/>
    <m/>
    <m/>
    <m/>
    <m/>
    <m/>
    <m/>
    <m/>
    <m/>
    <m/>
    <m/>
    <m/>
    <m/>
    <m/>
    <m/>
    <m/>
    <m/>
    <m/>
    <m/>
    <m/>
    <m/>
    <m/>
    <m/>
    <m/>
    <m/>
    <m/>
    <m/>
  </r>
  <r>
    <s v="334 - Meltwater France SAS"/>
    <d v="2024-05-30T00:00:00"/>
    <s v="MAY"/>
    <n v="2024"/>
    <x v="3"/>
    <s v="Deposited"/>
    <s v="PMT-S188-1166"/>
    <s v="IN-S188-1555"/>
    <s v="EUR"/>
    <n v="-46048.32"/>
    <n v="-53851.207999999999"/>
    <n v="66.238"/>
    <n v="-66.238"/>
    <s v="Ville de Paris - DICOM"/>
    <s v="Nathalie Darmois"/>
    <s v=""/>
    <m/>
    <m/>
    <m/>
    <m/>
    <m/>
    <m/>
    <m/>
    <m/>
    <m/>
    <m/>
    <m/>
    <m/>
    <m/>
    <m/>
    <m/>
    <m/>
    <m/>
    <m/>
    <m/>
    <m/>
    <m/>
    <m/>
    <m/>
    <m/>
    <m/>
    <m/>
    <m/>
    <m/>
    <m/>
    <m/>
    <m/>
    <m/>
    <m/>
    <m/>
    <m/>
    <m/>
  </r>
  <r>
    <s v="382 - Middle East 2"/>
    <d v="2026-03-18T00:00:00"/>
    <s v="MARCH"/>
    <n v="2026"/>
    <x v="3"/>
    <s v="Deposited"/>
    <s v="PMT-S114-6938"/>
    <s v=""/>
    <s v="AED"/>
    <n v="-839547.45"/>
    <n v="-228603.73300000001"/>
    <n v="228603.73300000001"/>
    <n v="-318643.51400000002"/>
    <s v="DUMMY CUSTOMER_CASHAPPS 382 - Middle East 2"/>
    <s v="Manar Sultan"/>
    <s v="NONREF CDM-CC"/>
    <m/>
    <m/>
    <m/>
    <m/>
    <m/>
    <m/>
    <m/>
    <m/>
    <m/>
    <m/>
    <m/>
    <m/>
    <m/>
    <m/>
    <m/>
    <m/>
    <m/>
    <m/>
    <m/>
    <m/>
    <m/>
    <m/>
    <m/>
    <m/>
    <m/>
    <m/>
    <m/>
    <m/>
    <m/>
    <m/>
    <m/>
    <m/>
    <m/>
    <m/>
    <m/>
    <m/>
  </r>
  <r>
    <s v="382 - Middle East 2"/>
    <d v="2025-10-08T00:00:00"/>
    <s v="OCTOBER"/>
    <n v="2025"/>
    <x v="3"/>
    <s v="Deposited"/>
    <s v="PMT-S114-6688"/>
    <s v="IN-S114-407718"/>
    <s v="USD"/>
    <n v="-45028"/>
    <n v="-44788.898999999998"/>
    <n v="43595.271000000001"/>
    <n v="-43595.271000000001"/>
    <s v="Confederation Of African Football - AFCON"/>
    <s v="Manar Sultan"/>
    <s v="8.00 USD AED AED 3.65300000 2025-10-08T10:18:58.000Z CONFEDERATION AFRICAINE DE FOOTBALL NO 3 ABDELKHALEK SARWAT ST STR ELHAI ELMOTAMAIZ 6TH OCT CITY GUIZA EGYPT MELTWATER MIDDLE EAST 2 FZ LLC ABU DHABI UNITED ARAB EMIRATES /URI/MAY MONTHLY REPORT 2025 5397 2 ///ROC/5143146281FS CONFEDERATION AFRICAINE DE FOOTBALL/URI/MAY MONTHLY REPORT 2025 5397 2 ///ROC/5143146281FSFX USD 45028.00 AT 3.6530000 210237577/TMS/2025-10-08T10:18:58 GMT/MID/3.6729750 AES081059BPQIN9C SWIFT S103 AES081059BPQIN9C"/>
    <m/>
    <m/>
    <m/>
    <m/>
    <m/>
    <m/>
    <m/>
    <m/>
    <m/>
    <m/>
    <m/>
    <m/>
    <m/>
    <m/>
    <m/>
    <m/>
    <m/>
    <m/>
    <m/>
    <m/>
    <m/>
    <m/>
    <m/>
    <m/>
    <m/>
    <m/>
    <m/>
    <m/>
    <m/>
    <m/>
    <m/>
    <m/>
    <m/>
    <m/>
    <m/>
    <m/>
  </r>
  <r>
    <s v="382 - Middle East 2"/>
    <d v="2025-09-03T00:00:00"/>
    <s v="SEPTEMBER"/>
    <n v="2025"/>
    <x v="3"/>
    <s v="Deposited"/>
    <s v="PMT-S114-6599"/>
    <s v=""/>
    <s v="USD"/>
    <n v="-20746"/>
    <n v="-20635.839"/>
    <n v="20635.839"/>
    <n v="-20635.839"/>
    <s v="Foaj alillan for advertising company"/>
    <s v="Manar Sultan"/>
    <s v="Customer overpayment for WHT IN-S114-407537"/>
    <m/>
    <m/>
    <m/>
    <m/>
    <m/>
    <m/>
    <m/>
    <m/>
    <m/>
    <m/>
    <m/>
    <m/>
    <m/>
    <m/>
    <m/>
    <m/>
    <m/>
    <m/>
    <m/>
    <m/>
    <m/>
    <m/>
    <m/>
    <m/>
    <m/>
    <m/>
    <m/>
    <m/>
    <m/>
    <m/>
    <m/>
    <m/>
    <m/>
    <m/>
    <m/>
    <m/>
  </r>
  <r>
    <s v="382 - Middle East 2"/>
    <d v="2025-06-28T00:00:00"/>
    <s v="JUNE"/>
    <n v="2025"/>
    <x v="3"/>
    <s v="Deposited"/>
    <s v="PMT-S114-6505"/>
    <s v=""/>
    <s v="AED"/>
    <n v="-63598.73"/>
    <n v="-17317.553"/>
    <n v="17317.553"/>
    <n v="-318643.51400000002"/>
    <s v="DUMMY CUSTOMER_CASHAPPS 382 - Middle East 2"/>
    <s v="Manar Sultan"/>
    <s v="USD 17,500.00 HUB OF WILL TRADING SERVICES CO SETTLEMENT OF BILLS PAY FX USD 17410.00 AT 3.6530000 204956647/TMS/2025-06-28T04:17:52 GMT/MID/3.6725000"/>
    <m/>
    <m/>
    <m/>
    <m/>
    <m/>
    <m/>
    <m/>
    <m/>
    <m/>
    <m/>
    <m/>
    <m/>
    <m/>
    <m/>
    <m/>
    <m/>
    <m/>
    <m/>
    <m/>
    <m/>
    <m/>
    <m/>
    <m/>
    <m/>
    <m/>
    <m/>
    <m/>
    <m/>
    <m/>
    <m/>
    <m/>
    <m/>
    <m/>
    <m/>
    <m/>
    <m/>
  </r>
  <r>
    <s v="382 - Middle East 2"/>
    <d v="2023-12-28T00:00:00"/>
    <s v="DECEMBER"/>
    <n v="2023"/>
    <x v="3"/>
    <s v="Deposited"/>
    <s v="PMT-S114-5766"/>
    <s v=""/>
    <s v="AED"/>
    <n v="-39195"/>
    <n v="-10672.563"/>
    <n v="10672.563"/>
    <n v="-318643.51400000002"/>
    <s v="DUMMY CUSTOMER_CASHAPPS 382 - Middle East 2"/>
    <s v="Manar Sultan"/>
    <s v="1/ALTWASL ALFAAL LLASTSHARAT WALABH /REF/MELTWATER INVOICE2 SETTLEMENT OF BILL"/>
    <m/>
    <m/>
    <m/>
    <m/>
    <m/>
    <m/>
    <m/>
    <m/>
    <m/>
    <m/>
    <m/>
    <m/>
    <m/>
    <m/>
    <m/>
    <m/>
    <m/>
    <m/>
    <m/>
    <m/>
    <m/>
    <m/>
    <m/>
    <m/>
    <m/>
    <m/>
    <m/>
    <m/>
    <m/>
    <m/>
    <m/>
    <m/>
    <m/>
    <m/>
    <m/>
    <m/>
  </r>
  <r>
    <s v="382 - Middle East 2"/>
    <d v="2022-04-27T00:00:00"/>
    <s v="APRIL"/>
    <n v="2022"/>
    <x v="3"/>
    <s v="Deposited"/>
    <s v="PMT-S114-4936"/>
    <s v=""/>
    <s v="AED"/>
    <n v="-38980"/>
    <n v="-10614.02"/>
    <n v="10614.02"/>
    <n v="-318643.51400000002"/>
    <s v="DUMMY CUSTOMER_CASHAPPS 382 - Middle East 2"/>
    <s v="Manar Sultan"/>
    <s v="Cash Margin TFAE18PB000780L FTM221173PC6R7PB"/>
    <m/>
    <m/>
    <m/>
    <m/>
    <m/>
    <m/>
    <m/>
    <m/>
    <m/>
    <m/>
    <m/>
    <m/>
    <m/>
    <m/>
    <m/>
    <m/>
    <m/>
    <m/>
    <m/>
    <m/>
    <m/>
    <m/>
    <m/>
    <m/>
    <m/>
    <m/>
    <m/>
    <m/>
    <m/>
    <m/>
    <m/>
    <m/>
    <m/>
    <m/>
    <m/>
    <m/>
  </r>
  <r>
    <s v="382 - Middle East 2"/>
    <d v="2023-10-06T00:00:00"/>
    <s v="OCTOBER"/>
    <n v="2023"/>
    <x v="3"/>
    <s v="Deposited"/>
    <s v="PMT-S114-5650"/>
    <s v=""/>
    <s v="AED"/>
    <n v="-35898"/>
    <n v="-9774.81"/>
    <n v="9774.81"/>
    <n v="-318643.51400000002"/>
    <s v="DUMMY CUSTOMER_CASHAPPS 382 - Middle East 2"/>
    <s v="Manar Sultan"/>
    <s v="DANA CHAOUKI ATRACHENA NANA ABU DHA /REF/local transfer"/>
    <m/>
    <m/>
    <m/>
    <m/>
    <m/>
    <m/>
    <m/>
    <m/>
    <m/>
    <m/>
    <m/>
    <m/>
    <m/>
    <m/>
    <m/>
    <m/>
    <m/>
    <m/>
    <m/>
    <m/>
    <m/>
    <m/>
    <m/>
    <m/>
    <m/>
    <m/>
    <m/>
    <m/>
    <m/>
    <m/>
    <m/>
    <m/>
    <m/>
    <m/>
    <m/>
    <m/>
  </r>
  <r>
    <s v="382 - Middle East 2"/>
    <d v="2024-05-09T00:00:00"/>
    <s v="MAY"/>
    <n v="2024"/>
    <x v="3"/>
    <s v="Deposited"/>
    <s v="PMT-S114-5968"/>
    <s v=""/>
    <s v="AED"/>
    <n v="-34198"/>
    <n v="-9311.91"/>
    <n v="9311.91"/>
    <n v="-318643.51400000002"/>
    <s v="DUMMY CUSTOMER_CASHAPPS 382 - Middle East 2"/>
    <s v="Manar Sultan"/>
    <s v="NONREF MDGDUB401107"/>
    <m/>
    <m/>
    <m/>
    <m/>
    <m/>
    <m/>
    <m/>
    <m/>
    <m/>
    <m/>
    <m/>
    <m/>
    <m/>
    <m/>
    <m/>
    <m/>
    <m/>
    <m/>
    <m/>
    <m/>
    <m/>
    <m/>
    <m/>
    <m/>
    <m/>
    <m/>
    <m/>
    <m/>
    <m/>
    <m/>
    <m/>
    <m/>
    <m/>
    <m/>
    <m/>
    <m/>
  </r>
  <r>
    <s v="382 - Middle East 2"/>
    <d v="2024-04-23T00:00:00"/>
    <s v="APRIL"/>
    <n v="2024"/>
    <x v="3"/>
    <s v="Deposited"/>
    <s v="PMT-S114-5936"/>
    <s v=""/>
    <s v="AED"/>
    <n v="-30086.87"/>
    <n v="-8192.4740000000002"/>
    <n v="8192.4740000000002"/>
    <n v="-318643.51400000002"/>
    <s v="DUMMY CUSTOMER_CASHAPPS 382 - Middle East 2"/>
    <s v="Manar Sultan"/>
    <s v="NONREF MDGDUB401027"/>
    <m/>
    <m/>
    <m/>
    <m/>
    <m/>
    <m/>
    <m/>
    <m/>
    <m/>
    <m/>
    <m/>
    <m/>
    <m/>
    <m/>
    <m/>
    <m/>
    <m/>
    <m/>
    <m/>
    <m/>
    <m/>
    <m/>
    <m/>
    <m/>
    <m/>
    <m/>
    <m/>
    <m/>
    <m/>
    <m/>
    <m/>
    <m/>
    <m/>
    <m/>
    <m/>
    <m/>
  </r>
  <r>
    <s v="382 - Middle East 2"/>
    <d v="2025-07-02T00:00:00"/>
    <s v="JULY"/>
    <n v="2025"/>
    <x v="3"/>
    <s v="Deposited"/>
    <s v="PMT-S114-6516"/>
    <s v=""/>
    <s v="AED"/>
    <n v="-28402.080000000002"/>
    <n v="-7733.7160000000003"/>
    <n v="7733.7160000000003"/>
    <n v="-318643.51400000002"/>
    <s v="DUMMY CUSTOMER_CASHAPPS 382 - Middle East 2"/>
    <s v="Manar Sultan"/>
    <s v="MDGAE1000439"/>
    <m/>
    <m/>
    <m/>
    <m/>
    <m/>
    <m/>
    <m/>
    <m/>
    <m/>
    <m/>
    <m/>
    <m/>
    <m/>
    <m/>
    <m/>
    <m/>
    <m/>
    <m/>
    <m/>
    <m/>
    <m/>
    <m/>
    <m/>
    <m/>
    <m/>
    <m/>
    <m/>
    <m/>
    <m/>
    <m/>
    <m/>
    <m/>
    <m/>
    <m/>
    <m/>
    <m/>
  </r>
  <r>
    <s v="382 - Middle East 2"/>
    <d v="2023-02-08T00:00:00"/>
    <s v="FEBRUARY"/>
    <n v="2023"/>
    <x v="3"/>
    <s v="Deposited"/>
    <s v="PMT-S114-5312"/>
    <s v=""/>
    <s v="AED"/>
    <n v="-24255.919999999998"/>
    <n v="-6604.741"/>
    <n v="6604.741"/>
    <n v="-318643.51400000002"/>
    <s v="DUMMY CUSTOMER_CASHAPPS 382 - Middle East 2"/>
    <s v="Manar Sultan"/>
    <s v="NONREF MDGDUB208966"/>
    <m/>
    <m/>
    <m/>
    <m/>
    <m/>
    <m/>
    <m/>
    <m/>
    <m/>
    <m/>
    <m/>
    <m/>
    <m/>
    <m/>
    <m/>
    <m/>
    <m/>
    <m/>
    <m/>
    <m/>
    <m/>
    <m/>
    <m/>
    <m/>
    <m/>
    <m/>
    <m/>
    <m/>
    <m/>
    <m/>
    <m/>
    <m/>
    <m/>
    <m/>
    <m/>
    <m/>
  </r>
  <r>
    <s v="382 - Middle East 2"/>
    <d v="2026-04-23T00:00:00"/>
    <s v="APRIL"/>
    <n v="2026"/>
    <x v="3"/>
    <s v="Deposited"/>
    <s v="PMT-S114-7017"/>
    <s v="IN-S114-408110"/>
    <s v="USD"/>
    <n v="-37058.82"/>
    <n v="-37009.178999999996"/>
    <n v="5551.375"/>
    <n v="-5551.375"/>
    <s v="Mood Design Trading Company (Single Person LLC)"/>
    <s v=""/>
    <s v="M0D FOR DESING AND COOOERCIAL COMPA /REF/OPERATIONAL EXPENSES PAYMENT O F INVOICE408110MOOD"/>
    <m/>
    <m/>
    <m/>
    <m/>
    <m/>
    <m/>
    <m/>
    <m/>
    <m/>
    <m/>
    <m/>
    <m/>
    <m/>
    <m/>
    <m/>
    <m/>
    <m/>
    <m/>
    <m/>
    <m/>
    <m/>
    <m/>
    <m/>
    <m/>
    <m/>
    <m/>
    <m/>
    <m/>
    <m/>
    <m/>
    <m/>
    <m/>
    <m/>
    <m/>
    <m/>
    <m/>
  </r>
  <r>
    <s v="382 - Middle East 2"/>
    <d v="2026-03-17T00:00:00"/>
    <s v="MARCH"/>
    <n v="2026"/>
    <x v="3"/>
    <s v="Deposited"/>
    <s v="PMT-S114-6933"/>
    <s v="IN-S114-407823"/>
    <s v="USD"/>
    <n v="-31199.73"/>
    <n v="-31199.719000000001"/>
    <n v="4699.7290000000003"/>
    <n v="43953.078999999998"/>
    <s v="Elm Company"/>
    <s v="Manar Sultan"/>
    <s v="ELM COMPANY SAUDI JOINT STOCK COMPA ADVANCE PAYMENT"/>
    <m/>
    <m/>
    <m/>
    <m/>
    <m/>
    <m/>
    <m/>
    <m/>
    <m/>
    <m/>
    <m/>
    <m/>
    <m/>
    <m/>
    <m/>
    <m/>
    <m/>
    <m/>
    <m/>
    <m/>
    <m/>
    <m/>
    <m/>
    <m/>
    <m/>
    <m/>
    <m/>
    <m/>
    <m/>
    <m/>
    <m/>
    <m/>
    <m/>
    <m/>
    <m/>
    <m/>
  </r>
  <r>
    <s v="382 - Middle East 2"/>
    <d v="2026-04-29T00:00:00"/>
    <s v="APRIL"/>
    <n v="2026"/>
    <x v="3"/>
    <s v="Deposited"/>
    <s v="PMT-S114-7034"/>
    <s v="IN-S114-408015"/>
    <s v="USD"/>
    <n v="-30956"/>
    <n v="-30791.624"/>
    <n v="4584.8649999999998"/>
    <n v="-4584.8649999999998"/>
    <s v="Fann Atheer LilDhi'ayah wal-I'lan (INVENU)"/>
    <s v="Manar Sultan"/>
    <s v="1/INVENU COMPANY LAST PAYMENT FOR MELTWATER SETTLEME NT OF BILL FX USD 30956.00 AT 3.6530000 219244593 /TMS/2026-04-29T04:17:27 GMT/MID/3.6731200"/>
    <m/>
    <m/>
    <m/>
    <m/>
    <m/>
    <m/>
    <m/>
    <m/>
    <m/>
    <m/>
    <m/>
    <m/>
    <m/>
    <m/>
    <m/>
    <m/>
    <m/>
    <m/>
    <m/>
    <m/>
    <m/>
    <m/>
    <m/>
    <m/>
    <m/>
    <m/>
    <m/>
    <m/>
    <m/>
    <m/>
    <m/>
    <m/>
    <m/>
    <m/>
    <m/>
    <m/>
  </r>
  <r>
    <s v="382 - Middle East 2"/>
    <d v="2026-03-17T00:00:00"/>
    <s v="MARCH"/>
    <n v="2026"/>
    <x v="3"/>
    <s v="Deposited"/>
    <s v="PMT-S114-6931"/>
    <s v="IN-S114-407909"/>
    <s v="USD"/>
    <n v="-43656.67"/>
    <n v="-43424.853999999999"/>
    <n v="4333.5370000000003"/>
    <n v="-4333.5370000000003"/>
    <s v="Gulf Air B.S.C"/>
    <s v="Manar Sultan"/>
    <s v="1/GULF AIR B.S.C. (C) /URI/INV NO.IN-S114-407909///ROC/AT S OF 26/03/16 FX USD 43656.67 AT 3.6530000 217013037 /TMS/2026-03-17T04:17:18 GMT/MID/3.6732000"/>
    <m/>
    <m/>
    <m/>
    <m/>
    <m/>
    <m/>
    <m/>
    <m/>
    <m/>
    <m/>
    <m/>
    <m/>
    <m/>
    <m/>
    <m/>
    <m/>
    <m/>
    <m/>
    <m/>
    <m/>
    <m/>
    <m/>
    <m/>
    <m/>
    <m/>
    <m/>
    <m/>
    <m/>
    <m/>
    <m/>
    <m/>
    <m/>
    <m/>
    <m/>
    <m/>
    <m/>
  </r>
  <r>
    <s v="382 - Middle East 2"/>
    <d v="2026-03-03T00:00:00"/>
    <s v="MARCH"/>
    <n v="2026"/>
    <x v="3"/>
    <s v="Deposited"/>
    <s v="PMT-S114-6917"/>
    <s v=""/>
    <s v="AED"/>
    <n v="-14721.59"/>
    <n v="-4008.6010000000001"/>
    <n v="4008.6010000000001"/>
    <n v="-318643.51400000002"/>
    <s v="DUMMY CUSTOMER_CASHAPPS 382 - Middle East 2"/>
    <s v="Manar Sultan"/>
    <s v="GAE1003276 0303205735000007 SWIFT NTRF 0303205735000007"/>
    <m/>
    <m/>
    <m/>
    <m/>
    <m/>
    <m/>
    <m/>
    <m/>
    <m/>
    <m/>
    <m/>
    <m/>
    <m/>
    <m/>
    <m/>
    <m/>
    <m/>
    <m/>
    <m/>
    <m/>
    <m/>
    <m/>
    <m/>
    <m/>
    <m/>
    <m/>
    <m/>
    <m/>
    <m/>
    <m/>
    <m/>
    <m/>
    <m/>
    <m/>
    <m/>
    <m/>
  </r>
  <r>
    <s v="382 - Middle East 2"/>
    <d v="2024-12-04T00:00:00"/>
    <s v="DECEMBER"/>
    <n v="2024"/>
    <x v="3"/>
    <s v="Deposited"/>
    <s v="PMT-S114-6252"/>
    <s v=""/>
    <s v="AED"/>
    <n v="-14720"/>
    <n v="-4008.1680000000001"/>
    <n v="4008.1680000000001"/>
    <n v="-318643.51400000002"/>
    <s v="DUMMY CUSTOMER_CASHAPPS 382 - Middle East 2"/>
    <s v="Manar Sultan"/>
    <s v="NONREF MDGDUB303363"/>
    <m/>
    <m/>
    <m/>
    <m/>
    <m/>
    <m/>
    <m/>
    <m/>
    <m/>
    <m/>
    <m/>
    <m/>
    <m/>
    <m/>
    <m/>
    <m/>
    <m/>
    <m/>
    <m/>
    <m/>
    <m/>
    <m/>
    <m/>
    <m/>
    <m/>
    <m/>
    <m/>
    <m/>
    <m/>
    <m/>
    <m/>
    <m/>
    <m/>
    <m/>
    <m/>
    <m/>
  </r>
  <r>
    <s v="382 - Middle East 2"/>
    <d v="2026-02-05T00:00:00"/>
    <s v="FEBRUARY"/>
    <n v="2026"/>
    <x v="3"/>
    <s v="Deposited"/>
    <s v="PMT-S114-6883"/>
    <s v="IN-S114-407858"/>
    <s v="USD"/>
    <n v="-40000"/>
    <n v="-39787.599000000002"/>
    <n v="3978.76"/>
    <n v="-4346.7950000000001"/>
    <s v="Alizz Islamic Bank SAOC"/>
    <s v="Manar Sultan"/>
    <s v="ALIZZ ISLAMIC BANK GDS VENDOR PAYMENT IN-S114-407858 FX USD 40000.00 AT 3.6530000 215325849/TMS/2026-02-05T09:43:44 GMT/MID/3.6730450"/>
    <m/>
    <m/>
    <m/>
    <m/>
    <m/>
    <m/>
    <m/>
    <m/>
    <m/>
    <m/>
    <m/>
    <m/>
    <m/>
    <m/>
    <m/>
    <m/>
    <m/>
    <m/>
    <m/>
    <m/>
    <m/>
    <m/>
    <m/>
    <m/>
    <m/>
    <m/>
    <m/>
    <m/>
    <m/>
    <m/>
    <m/>
    <m/>
    <m/>
    <m/>
    <m/>
    <m/>
  </r>
  <r>
    <s v="382 - Middle East 2"/>
    <d v="2026-03-05T00:00:00"/>
    <s v="MARCH"/>
    <n v="2026"/>
    <x v="3"/>
    <s v="Deposited"/>
    <s v="PMT-S114-6923"/>
    <s v="IN-S114-408003"/>
    <s v="USD"/>
    <n v="-18519.400000000001"/>
    <n v="-18421.062000000002"/>
    <n v="2754.6950000000002"/>
    <n v="-2754.6950000000002"/>
    <s v="Keeta Technologies Arabia Limited"/>
    <s v="Manar Sultan"/>
    <s v="&quot;KEETA TECHNOLOGIES ARABIA LIMITED BUSINESS RELATED PAYMENT PAYO202603 04000309 FX USD 18519.40 AT 3.6530000 216519287 /TMS/2026-03-05T04:16:52 GMT/MID/3.6731000&quot;"/>
    <m/>
    <m/>
    <m/>
    <m/>
    <m/>
    <m/>
    <m/>
    <m/>
    <m/>
    <m/>
    <m/>
    <m/>
    <m/>
    <m/>
    <m/>
    <m/>
    <m/>
    <m/>
    <m/>
    <m/>
    <m/>
    <m/>
    <m/>
    <m/>
    <m/>
    <m/>
    <m/>
    <m/>
    <m/>
    <m/>
    <m/>
    <m/>
    <m/>
    <m/>
    <m/>
    <m/>
  </r>
  <r>
    <s v="382 - Middle East 2"/>
    <d v="2026-01-02T00:00:00"/>
    <s v="JANUARY"/>
    <n v="2026"/>
    <x v="3"/>
    <s v="Deposited"/>
    <s v="PMT-S114-6825"/>
    <s v=""/>
    <s v="AED"/>
    <n v="-6615"/>
    <n v="-1801.2249999999999"/>
    <n v="1801.2249999999999"/>
    <n v="-318643.51400000002"/>
    <s v="DUMMY CUSTOMER_CASHAPPS 382 - Middle East 2"/>
    <s v="Manar Sultan"/>
    <s v="GAE1002334 0102201217000001 SWIFT NTRF 0102201217000001"/>
    <m/>
    <m/>
    <m/>
    <m/>
    <m/>
    <m/>
    <m/>
    <m/>
    <m/>
    <m/>
    <m/>
    <m/>
    <m/>
    <m/>
    <m/>
    <m/>
    <m/>
    <m/>
    <m/>
    <m/>
    <m/>
    <m/>
    <m/>
    <m/>
    <m/>
    <m/>
    <m/>
    <m/>
    <m/>
    <m/>
    <m/>
    <m/>
    <m/>
    <m/>
    <m/>
    <m/>
  </r>
  <r>
    <s v="382 - Middle East 2"/>
    <d v="2026-03-03T00:00:00"/>
    <s v="MARCH"/>
    <n v="2026"/>
    <x v="3"/>
    <s v="Deposited"/>
    <s v="PMT-S114-6916"/>
    <s v="IN-S114-407951"/>
    <s v="USD"/>
    <n v="-12131.48"/>
    <n v="-12067.063"/>
    <n v="1535.047"/>
    <n v="-1535.047"/>
    <s v="The King Faisal Foundation"/>
    <s v="Manar Sultan"/>
    <s v="KING FAISAL FOUNDATION INVOICE SETTLEMENT INVOICE NO. S114 .407951 FX USD 12131.48 AT 3.6530000 216430242 /TMS/2026-03-03T04:16:52 GMT/MID/3.6732200"/>
    <m/>
    <m/>
    <m/>
    <m/>
    <m/>
    <m/>
    <m/>
    <m/>
    <m/>
    <m/>
    <m/>
    <m/>
    <m/>
    <m/>
    <m/>
    <m/>
    <m/>
    <m/>
    <m/>
    <m/>
    <m/>
    <m/>
    <m/>
    <m/>
    <m/>
    <m/>
    <m/>
    <m/>
    <m/>
    <m/>
    <m/>
    <m/>
    <m/>
    <m/>
    <m/>
    <m/>
  </r>
  <r>
    <s v="382 - Middle East 2"/>
    <d v="2022-08-22T00:00:00"/>
    <s v="AUGUST"/>
    <n v="2022"/>
    <x v="3"/>
    <s v="Deposited"/>
    <s v="PMT-S114-5057"/>
    <s v=""/>
    <s v="USD"/>
    <n v="-1010"/>
    <n v="-1168.9770000000001"/>
    <n v="1168.9770000000001"/>
    <n v="-1168.9770000000001"/>
    <s v="King Abdullah University of Science &amp; Technology (KAUST)"/>
    <s v="Manar Sultan"/>
    <s v="To re-record 1010 originally recorded as 1200"/>
    <m/>
    <m/>
    <m/>
    <m/>
    <m/>
    <m/>
    <m/>
    <m/>
    <m/>
    <m/>
    <m/>
    <m/>
    <m/>
    <m/>
    <m/>
    <m/>
    <m/>
    <m/>
    <m/>
    <m/>
    <m/>
    <m/>
    <m/>
    <m/>
    <m/>
    <m/>
    <m/>
    <m/>
    <m/>
    <m/>
    <m/>
    <m/>
    <m/>
    <m/>
    <m/>
    <m/>
  </r>
  <r>
    <s v="382 - Middle East 2"/>
    <d v="2026-02-06T00:00:00"/>
    <s v="FEBRUARY"/>
    <n v="2026"/>
    <x v="3"/>
    <s v="Deposited"/>
    <s v="PMT-S114-6887"/>
    <s v="IN-S114-407931"/>
    <s v="USD"/>
    <n v="-7385.29"/>
    <n v="-7346.0730000000003"/>
    <n v="1059.6320000000001"/>
    <n v="-1059.6320000000001"/>
    <s v="albilad althaniah Company For Tourism"/>
    <s v="Manar Sultan"/>
    <s v="ALBILAD ALTHANIAH COMPANY SETTLEMENT OF BILLS IN S114 407931 FX USD 7385.29 AT 3.6530000 215357861/TMS/2026-02-06T04:16:44 GMT/MID/3.6730450"/>
    <m/>
    <m/>
    <m/>
    <m/>
    <m/>
    <m/>
    <m/>
    <m/>
    <m/>
    <m/>
    <m/>
    <m/>
    <m/>
    <m/>
    <m/>
    <m/>
    <m/>
    <m/>
    <m/>
    <m/>
    <m/>
    <m/>
    <m/>
    <m/>
    <m/>
    <m/>
    <m/>
    <m/>
    <m/>
    <m/>
    <m/>
    <m/>
    <m/>
    <m/>
    <m/>
    <m/>
  </r>
  <r>
    <s v="382 - Middle East 2"/>
    <d v="2026-03-09T00:00:00"/>
    <s v="MARCH"/>
    <n v="2026"/>
    <x v="3"/>
    <s v="Deposited"/>
    <s v="PMT-S114-6925"/>
    <s v="IN-S114-407930"/>
    <s v="USD"/>
    <n v="-5986.29"/>
    <n v="-5954.5060000000003"/>
    <n v="782.11599999999999"/>
    <n v="48970.81"/>
    <s v="Tact Digital Marketing Company"/>
    <s v="Manar Sultan"/>
    <s v="TACT DIGITAL MARKETING CO 3112 TARE /REF/Purchase/expenses/Utilities in v 407 930"/>
    <m/>
    <m/>
    <m/>
    <m/>
    <m/>
    <m/>
    <m/>
    <m/>
    <m/>
    <m/>
    <m/>
    <m/>
    <m/>
    <m/>
    <m/>
    <m/>
    <m/>
    <m/>
    <m/>
    <m/>
    <m/>
    <m/>
    <m/>
    <m/>
    <m/>
    <m/>
    <m/>
    <m/>
    <m/>
    <m/>
    <m/>
    <m/>
    <m/>
    <m/>
    <m/>
    <m/>
  </r>
  <r>
    <s v="382 - Middle East 2"/>
    <d v="2026-04-15T00:00:00"/>
    <s v="APRIL"/>
    <n v="2026"/>
    <x v="3"/>
    <s v="Deposited"/>
    <s v="PMT-S114-6999"/>
    <s v="IN-S114-408098"/>
    <s v="USD"/>
    <n v="-3700"/>
    <n v="-3680.3530000000001"/>
    <n v="368.03500000000003"/>
    <n v="-4346.7950000000001"/>
    <s v="Alizz Islamic Bank SAOC"/>
    <s v="Manar Sultan"/>
    <s v="ALIZZ ISLAMIC BANK VENDOR PAYMENT IN-S114-408098 FX USD 3700.00 AT 3.6530000 218592617/TMS/2026-04-15T12:18:30 GMT/MID/3.6731200"/>
    <m/>
    <m/>
    <m/>
    <m/>
    <m/>
    <m/>
    <m/>
    <m/>
    <m/>
    <m/>
    <m/>
    <m/>
    <m/>
    <m/>
    <m/>
    <m/>
    <m/>
    <m/>
    <m/>
    <m/>
    <m/>
    <m/>
    <m/>
    <m/>
    <m/>
    <m/>
    <m/>
    <m/>
    <m/>
    <m/>
    <m/>
    <m/>
    <m/>
    <m/>
    <m/>
    <m/>
  </r>
  <r>
    <s v="382 - Middle East 2"/>
    <d v="2026-01-07T00:00:00"/>
    <s v="JANUARY"/>
    <n v="2026"/>
    <x v="3"/>
    <s v="Deposited"/>
    <s v="PMT-S114-6836"/>
    <s v="IN-S114-407671"/>
    <s v="AED"/>
    <n v="-119420.61"/>
    <n v="-32517.516"/>
    <n v="323.35500000000002"/>
    <n v="-323.35500000000002"/>
    <s v="BOOPIN LIMITED"/>
    <s v="Manar Sultan"/>
    <s v="YY BOOPIN LIMITED FD GROUND FLOOR ACCELERATOR BLDNG MASDAR CITY AUH Abu Dhabi UAE Meltwater Middle East 2 FZ LLC DUBAI UNITED ARAB EMIRATES UNITED A RAB EMIRATES AE /REF/PMT inv407671 BOOPIN LIMITED/REF/PMT inv407671 AER070162Y0OWZUQ SWIFT S103 AER070162Y0OWZUQ"/>
    <m/>
    <m/>
    <m/>
    <m/>
    <m/>
    <m/>
    <m/>
    <m/>
    <m/>
    <m/>
    <m/>
    <m/>
    <m/>
    <m/>
    <m/>
    <m/>
    <m/>
    <m/>
    <m/>
    <m/>
    <m/>
    <m/>
    <m/>
    <m/>
    <m/>
    <m/>
    <m/>
    <m/>
    <m/>
    <m/>
    <m/>
    <m/>
    <m/>
    <m/>
    <m/>
    <m/>
  </r>
  <r>
    <s v="382 - Middle East 2"/>
    <d v="2025-03-26T00:00:00"/>
    <s v="MARCH"/>
    <n v="2025"/>
    <x v="3"/>
    <s v="Deposited"/>
    <s v="PMT-S114-6387"/>
    <s v="IN-S114-407439"/>
    <s v="AED"/>
    <n v="-50690.85"/>
    <n v="-13802.814"/>
    <n v="3.0000000000000001E-3"/>
    <n v="-3.0000000000000001E-3"/>
    <s v="Department of Culture and Tourism Abu Dhabi"/>
    <s v="Manar Sultan"/>
    <s v=""/>
    <m/>
    <m/>
    <m/>
    <m/>
    <m/>
    <m/>
    <m/>
    <m/>
    <m/>
    <m/>
    <m/>
    <m/>
    <m/>
    <m/>
    <m/>
    <m/>
    <m/>
    <m/>
    <m/>
    <m/>
    <m/>
    <m/>
    <m/>
    <m/>
    <m/>
    <m/>
    <m/>
    <m/>
    <m/>
    <m/>
    <m/>
    <m/>
    <m/>
    <m/>
    <m/>
    <m/>
  </r>
  <r>
    <s v="391 - South Africa"/>
    <d v="2023-12-06T00:00:00"/>
    <s v="DECEMBER"/>
    <n v="2023"/>
    <x v="3"/>
    <s v="Deposited"/>
    <s v="PMT-S144-10233"/>
    <s v=""/>
    <s v="ZAR"/>
    <n v="-71801"/>
    <n v="-4279.8999999999996"/>
    <n v="4279.8999999999996"/>
    <n v="-7507.7089999999998"/>
    <s v="DUMMY CUSTOMER_CASHAPPS 391 - South Africa"/>
    <s v="Jan Sutherland"/>
    <s v="ROF AS UNABE TO APPLY TT JOH3032WYMNYN FX USD 3878.00 AT 18.5149550"/>
    <m/>
    <m/>
    <m/>
    <m/>
    <m/>
    <m/>
    <m/>
    <m/>
    <m/>
    <m/>
    <m/>
    <m/>
    <m/>
    <m/>
    <m/>
    <m/>
    <m/>
    <m/>
    <m/>
    <m/>
    <m/>
    <m/>
    <m/>
    <m/>
    <m/>
    <m/>
    <m/>
    <m/>
    <m/>
    <m/>
    <m/>
    <m/>
    <m/>
    <m/>
    <m/>
    <m/>
  </r>
  <r>
    <s v="391 - South Africa"/>
    <d v="2024-01-15T00:00:00"/>
    <s v="JANUARY"/>
    <n v="2024"/>
    <x v="3"/>
    <s v="Deposited"/>
    <s v="PMT-S144-10307"/>
    <s v=""/>
    <s v="ZAR"/>
    <n v="-47311.8"/>
    <n v="-2820.152"/>
    <n v="2820.152"/>
    <n v="-7507.7089999999998"/>
    <s v="DUMMY CUSTOMER_CASHAPPS 391 - South Africa"/>
    <s v="Jan Sutherland"/>
    <s v="INYOSIED6 SURRENDER ZAHNET  3728243 BSV Standard"/>
    <m/>
    <m/>
    <m/>
    <m/>
    <m/>
    <m/>
    <m/>
    <m/>
    <m/>
    <m/>
    <m/>
    <m/>
    <m/>
    <m/>
    <m/>
    <m/>
    <m/>
    <m/>
    <m/>
    <m/>
    <m/>
    <m/>
    <m/>
    <m/>
    <m/>
    <m/>
    <m/>
    <m/>
    <m/>
    <m/>
    <m/>
    <m/>
    <m/>
    <m/>
    <m/>
    <m/>
  </r>
  <r>
    <s v="391 - South Africa"/>
    <d v="2026-01-16T00:00:00"/>
    <s v="JANUARY"/>
    <n v="2026"/>
    <x v="3"/>
    <s v="Deposited"/>
    <s v="PMT-S144-11772"/>
    <s v="IN-S144-409201"/>
    <s v="ZAR"/>
    <n v="-115000"/>
    <n v="-6854.8969999999999"/>
    <n v="1713.7239999999999"/>
    <n v="-1713.7239999999999"/>
    <s v="All Inn Management"/>
    <s v="Georgia Albutt"/>
    <s v="ALL INN - 409201 ZAHNET  5280217 BSV Standard"/>
    <m/>
    <m/>
    <m/>
    <m/>
    <m/>
    <m/>
    <m/>
    <m/>
    <m/>
    <m/>
    <m/>
    <m/>
    <m/>
    <m/>
    <m/>
    <m/>
    <m/>
    <m/>
    <m/>
    <m/>
    <m/>
    <m/>
    <m/>
    <m/>
    <m/>
    <m/>
    <m/>
    <m/>
    <m/>
    <m/>
    <m/>
    <m/>
    <m/>
    <m/>
    <m/>
    <m/>
  </r>
  <r>
    <s v="391 - South Africa"/>
    <d v="2025-07-31T00:00:00"/>
    <s v="JULY"/>
    <n v="2025"/>
    <x v="3"/>
    <s v="Not Deposited"/>
    <s v="PMT-S144-11484"/>
    <s v="IN-S144-409223"/>
    <s v="ZAR"/>
    <n v="-74750"/>
    <n v="-4455.683"/>
    <n v="1370.979"/>
    <n v="171.37200000000001"/>
    <s v="PARAMOUNT INTERNATIONAL PTY LTD"/>
    <s v="Georgia Albutt-392"/>
    <s v="Moved from PMT-S144-11402"/>
    <m/>
    <m/>
    <m/>
    <m/>
    <m/>
    <m/>
    <m/>
    <m/>
    <m/>
    <m/>
    <m/>
    <m/>
    <m/>
    <m/>
    <m/>
    <m/>
    <m/>
    <m/>
    <m/>
    <m/>
    <m/>
    <m/>
    <m/>
    <m/>
    <m/>
    <m/>
    <m/>
    <m/>
    <m/>
    <m/>
    <m/>
    <m/>
    <m/>
    <m/>
    <m/>
    <m/>
  </r>
  <r>
    <s v="391 - South Africa"/>
    <d v="2022-05-04T00:00:00"/>
    <s v="MAY"/>
    <n v="2022"/>
    <x v="3"/>
    <s v="Deposited"/>
    <s v="PMT-S144-8824"/>
    <s v="IN-S144-405792"/>
    <s v="ZAR"/>
    <n v="-10000"/>
    <n v="-596.07799999999997"/>
    <n v="536.47"/>
    <n v="-1351.905"/>
    <s v="David Tlale"/>
    <s v="Georgia Albutt-392"/>
    <s v="DAVID TLALE PTY LTD ZAHNET  2928763 BSV Standard"/>
    <m/>
    <m/>
    <m/>
    <m/>
    <m/>
    <m/>
    <m/>
    <m/>
    <m/>
    <m/>
    <m/>
    <m/>
    <m/>
    <m/>
    <m/>
    <m/>
    <m/>
    <m/>
    <m/>
    <m/>
    <m/>
    <m/>
    <m/>
    <m/>
    <m/>
    <m/>
    <m/>
    <m/>
    <m/>
    <m/>
    <m/>
    <m/>
    <m/>
    <m/>
    <m/>
    <m/>
  </r>
  <r>
    <s v="391 - South Africa"/>
    <d v="2024-10-31T00:00:00"/>
    <s v="OCTOBER"/>
    <n v="2024"/>
    <x v="3"/>
    <s v="Deposited"/>
    <s v="PMT-S144-11015"/>
    <s v="IN-S144-408707"/>
    <s v="ZAR"/>
    <n v="-65463.75"/>
    <n v="-3902.15"/>
    <n v="474.702"/>
    <n v="-474.702"/>
    <s v="Blou Bulle Maatskappy (EDMS) bpk"/>
    <s v="Georgia Albutt-392"/>
    <s v="CASHFOCUS BLUE BULLS CO ZAHNET  4226371 BSV Standard"/>
    <m/>
    <m/>
    <m/>
    <m/>
    <m/>
    <m/>
    <m/>
    <m/>
    <m/>
    <m/>
    <m/>
    <m/>
    <m/>
    <m/>
    <m/>
    <m/>
    <m/>
    <m/>
    <m/>
    <m/>
    <m/>
    <m/>
    <m/>
    <m/>
    <m/>
    <m/>
    <m/>
    <m/>
    <m/>
    <m/>
    <m/>
    <m/>
    <m/>
    <m/>
    <m/>
    <m/>
  </r>
  <r>
    <s v="391 - South Africa"/>
    <d v="2026-04-16T00:00:00"/>
    <s v="APRIL"/>
    <n v="2026"/>
    <x v="3"/>
    <s v="Deposited"/>
    <s v="PMT-S144-11906"/>
    <s v=""/>
    <s v="ZAR"/>
    <n v="-6838.99"/>
    <n v="-407.65699999999998"/>
    <n v="407.65699999999998"/>
    <n v="-7507.7089999999998"/>
    <s v="DUMMY CUSTOMER_CASHAPPS 391 - South Africa"/>
    <s v="Jan Sutherland"/>
    <s v="PAYMASTER PEOPLE SOLUTIONS PTY"/>
    <m/>
    <m/>
    <m/>
    <m/>
    <m/>
    <m/>
    <m/>
    <m/>
    <m/>
    <m/>
    <m/>
    <m/>
    <m/>
    <m/>
    <m/>
    <m/>
    <m/>
    <m/>
    <m/>
    <m/>
    <m/>
    <m/>
    <m/>
    <m/>
    <m/>
    <m/>
    <m/>
    <m/>
    <m/>
    <m/>
    <m/>
    <m/>
    <m/>
    <m/>
    <m/>
    <m/>
  </r>
  <r>
    <s v="391 - South Africa"/>
    <d v="2022-07-18T00:00:00"/>
    <s v="JULY"/>
    <n v="2022"/>
    <x v="3"/>
    <s v="Deposited"/>
    <s v="PMT-S144-9003"/>
    <s v=""/>
    <s v="ZAR"/>
    <n v="-5000"/>
    <n v="-298.03899999999999"/>
    <n v="298.03899999999999"/>
    <n v="-1351.905"/>
    <s v="David Tlale"/>
    <s v="Georgia Albutt-392"/>
    <s v="DAVID TLALE PTY LTD ZAHNET  3022778 BSV Standard"/>
    <m/>
    <m/>
    <m/>
    <m/>
    <m/>
    <m/>
    <m/>
    <m/>
    <m/>
    <m/>
    <m/>
    <m/>
    <m/>
    <m/>
    <m/>
    <m/>
    <m/>
    <m/>
    <m/>
    <m/>
    <m/>
    <m/>
    <m/>
    <m/>
    <m/>
    <m/>
    <m/>
    <m/>
    <m/>
    <m/>
    <m/>
    <m/>
    <m/>
    <m/>
    <m/>
    <m/>
  </r>
  <r>
    <s v="391 - South Africa"/>
    <d v="2022-08-29T00:00:00"/>
    <s v="AUGUST"/>
    <n v="2022"/>
    <x v="3"/>
    <s v="Deposited"/>
    <s v="PMT-S144-9128"/>
    <s v=""/>
    <s v="ZAR"/>
    <n v="-4680"/>
    <n v="-278.96499999999997"/>
    <n v="278.96499999999997"/>
    <n v="-1351.905"/>
    <s v="David Tlale"/>
    <s v="Georgia Albutt-392"/>
    <s v="DAVID TLALE PTY LTD ZAHNET  3076783 BSV Standard"/>
    <m/>
    <m/>
    <m/>
    <m/>
    <m/>
    <m/>
    <m/>
    <m/>
    <m/>
    <m/>
    <m/>
    <m/>
    <m/>
    <m/>
    <m/>
    <m/>
    <m/>
    <m/>
    <m/>
    <m/>
    <m/>
    <m/>
    <m/>
    <m/>
    <m/>
    <m/>
    <m/>
    <m/>
    <m/>
    <m/>
    <m/>
    <m/>
    <m/>
    <m/>
    <m/>
    <m/>
  </r>
  <r>
    <s v="391 - South Africa"/>
    <d v="2022-08-23T00:00:00"/>
    <s v="AUGUST"/>
    <n v="2022"/>
    <x v="3"/>
    <s v="Deposited"/>
    <s v="PMT-S144-9109"/>
    <s v=""/>
    <s v="ZAR"/>
    <n v="-4000"/>
    <n v="-238.43100000000001"/>
    <n v="238.43100000000001"/>
    <n v="-1351.905"/>
    <s v="David Tlale"/>
    <s v="Georgia Albutt-392"/>
    <s v="DAVID TLALE PTY LTD ZAHNET  3069699 BSV Standard"/>
    <m/>
    <m/>
    <m/>
    <m/>
    <m/>
    <m/>
    <m/>
    <m/>
    <m/>
    <m/>
    <m/>
    <m/>
    <m/>
    <m/>
    <m/>
    <m/>
    <m/>
    <m/>
    <m/>
    <m/>
    <m/>
    <m/>
    <m/>
    <m/>
    <m/>
    <m/>
    <m/>
    <m/>
    <m/>
    <m/>
    <m/>
    <m/>
    <m/>
    <m/>
    <m/>
    <m/>
  </r>
  <r>
    <s v="401 - India"/>
    <d v="2025-09-02T00:00:00"/>
    <s v="SEPTEMBER"/>
    <n v="2025"/>
    <x v="3"/>
    <s v="Deposited"/>
    <s v="PMT-S117-12590"/>
    <s v=""/>
    <s v="INR"/>
    <n v="-1167188.3999999999"/>
    <n v="-12278.589"/>
    <n v="12278.589"/>
    <n v="-12278.589"/>
    <s v="Kline + Company"/>
    <s v="Prabhat Aggarwal"/>
    <s v="NEFT FROM KLINE INDIA RESEARCH A ND HDFCN52025090245619618 HDFC 0001 2025/09/02 140324 HDFCH00457268120"/>
    <m/>
    <m/>
    <m/>
    <m/>
    <m/>
    <m/>
    <m/>
    <m/>
    <m/>
    <m/>
    <m/>
    <m/>
    <m/>
    <m/>
    <m/>
    <m/>
    <m/>
    <m/>
    <m/>
    <m/>
    <m/>
    <m/>
    <m/>
    <m/>
    <m/>
    <m/>
    <m/>
    <m/>
    <m/>
    <m/>
    <m/>
    <m/>
    <m/>
    <m/>
    <m/>
    <m/>
  </r>
  <r>
    <s v="401 - India"/>
    <d v="2026-04-24T00:00:00"/>
    <s v="APRIL"/>
    <n v="2026"/>
    <x v="3"/>
    <s v="Deposited"/>
    <s v="PMT-S117-13150"/>
    <s v=""/>
    <s v="INR"/>
    <n v="-490000"/>
    <n v="-5154.7020000000002"/>
    <n v="5154.7020000000002"/>
    <n v="-18718.503000000001"/>
    <s v="DUMMY CUSTOMER_CASHAPPS 401 - India"/>
    <s v="Prabhat Aggarwal"/>
    <s v="/00060330006652 LOTTEINDIACORPORATIONPRIVATELTD 2026/04/24 183004 HDFC042450066005 HDFCR52026042450066005"/>
    <m/>
    <m/>
    <m/>
    <m/>
    <m/>
    <m/>
    <m/>
    <m/>
    <m/>
    <m/>
    <m/>
    <m/>
    <m/>
    <m/>
    <m/>
    <m/>
    <m/>
    <m/>
    <m/>
    <m/>
    <m/>
    <m/>
    <m/>
    <m/>
    <m/>
    <m/>
    <m/>
    <m/>
    <m/>
    <m/>
    <m/>
    <m/>
    <m/>
    <m/>
    <m/>
    <m/>
  </r>
  <r>
    <s v="401 - India"/>
    <d v="2026-01-08T00:00:00"/>
    <s v="JANUARY"/>
    <n v="2026"/>
    <x v="3"/>
    <s v="Deposited"/>
    <s v="PMT-S117-12894"/>
    <s v=""/>
    <s v="USD"/>
    <n v="-5400"/>
    <n v="-5011.1660000000002"/>
    <n v="5011.1660000000002"/>
    <n v="-5011.1660000000002"/>
    <s v="ForethoughtPR Limited"/>
    <s v="Prabhat Aggarwal"/>
    <s v="FORETHOUGHT PR LIMITED TFR+ /URI/PAYMENT FOR ONLINE NEWS MONITO RING CHARGE,INVOICE NO.: IN- 07826,DATED 15.04.2025 FX USD 5400.00 AT 88.2139975 214209306/TMS/2026-01-08T10:07:37 GMT /MID/89.9340000"/>
    <m/>
    <m/>
    <m/>
    <m/>
    <m/>
    <m/>
    <m/>
    <m/>
    <m/>
    <m/>
    <m/>
    <m/>
    <m/>
    <m/>
    <m/>
    <m/>
    <m/>
    <m/>
    <m/>
    <m/>
    <m/>
    <m/>
    <m/>
    <m/>
    <m/>
    <m/>
    <m/>
    <m/>
    <m/>
    <m/>
    <m/>
    <m/>
    <m/>
    <m/>
    <m/>
    <m/>
  </r>
  <r>
    <s v="401 - India"/>
    <d v="2025-01-29T00:00:00"/>
    <s v="JANUARY"/>
    <n v="2025"/>
    <x v="3"/>
    <s v="Deposited"/>
    <s v="PMT-S117-11920"/>
    <s v=""/>
    <s v="INR"/>
    <n v="-463274"/>
    <n v="-4873.55"/>
    <n v="4873.55"/>
    <n v="-18718.503000000001"/>
    <s v="DUMMY CUSTOMER_CASHAPPS 401 - India"/>
    <s v="Prabhat Aggarwal"/>
    <s v="/054105001095 STAR INDIA PRIVATE LIMITED 2025/01/29 185416 ICIC012907533186 ICICR22025012907533186"/>
    <m/>
    <m/>
    <m/>
    <m/>
    <m/>
    <m/>
    <m/>
    <m/>
    <m/>
    <m/>
    <m/>
    <m/>
    <m/>
    <m/>
    <m/>
    <m/>
    <m/>
    <m/>
    <m/>
    <m/>
    <m/>
    <m/>
    <m/>
    <m/>
    <m/>
    <m/>
    <m/>
    <m/>
    <m/>
    <m/>
    <m/>
    <m/>
    <m/>
    <m/>
    <m/>
    <m/>
  </r>
  <r>
    <s v="401 - India"/>
    <d v="2025-07-21T00:00:00"/>
    <s v="JULY"/>
    <n v="2025"/>
    <x v="3"/>
    <s v="Deposited"/>
    <s v="PMT-S117-12517"/>
    <s v=""/>
    <s v="INR"/>
    <n v="-400000"/>
    <n v="-4207.92"/>
    <n v="4207.92"/>
    <n v="-18718.503000000001"/>
    <s v="DUMMY CUSTOMER_CASHAPPS 401 - India"/>
    <s v="Prabhat Aggarwal"/>
    <s v="NEFT FROM NEFT   INWARD RECEIVED REBI /NEFT/ 2025/07/21 133617"/>
    <m/>
    <m/>
    <m/>
    <m/>
    <m/>
    <m/>
    <m/>
    <m/>
    <m/>
    <m/>
    <m/>
    <m/>
    <m/>
    <m/>
    <m/>
    <m/>
    <m/>
    <m/>
    <m/>
    <m/>
    <m/>
    <m/>
    <m/>
    <m/>
    <m/>
    <m/>
    <m/>
    <m/>
    <m/>
    <m/>
    <m/>
    <m/>
    <m/>
    <m/>
    <m/>
    <m/>
  </r>
  <r>
    <s v="401 - India"/>
    <d v="2026-02-12T00:00:00"/>
    <s v="FEBRUARY"/>
    <n v="2026"/>
    <x v="3"/>
    <s v="Deposited"/>
    <s v="PMT-S117-12994"/>
    <s v=""/>
    <s v="INR"/>
    <n v="-337500"/>
    <n v="-3550.433"/>
    <n v="3550.433"/>
    <n v="-3550.433"/>
    <s v="Ting Works LLP"/>
    <s v="Prabhat Aggarwal"/>
    <s v="NEFT FROM TING WORKS LLP UTIBN62026021221792881 UTIB Meltwater India Pvt Ltd 2026/02/12 113232 AXISP00769058642"/>
    <m/>
    <m/>
    <m/>
    <m/>
    <m/>
    <m/>
    <m/>
    <m/>
    <m/>
    <m/>
    <m/>
    <m/>
    <m/>
    <m/>
    <m/>
    <m/>
    <m/>
    <m/>
    <m/>
    <m/>
    <m/>
    <m/>
    <m/>
    <m/>
    <m/>
    <m/>
    <m/>
    <m/>
    <m/>
    <m/>
    <m/>
    <m/>
    <m/>
    <m/>
    <m/>
    <m/>
  </r>
  <r>
    <s v="401 - India"/>
    <d v="2025-07-18T00:00:00"/>
    <s v="JULY"/>
    <n v="2025"/>
    <x v="3"/>
    <s v="Deposited"/>
    <s v="PMT-S117-12516"/>
    <s v=""/>
    <s v="INR"/>
    <n v="-216270"/>
    <n v="-2275.1170000000002"/>
    <n v="2275.1170000000002"/>
    <n v="13086.978999999999"/>
    <s v="Shemaroo Entertainment Private Limited"/>
    <s v="Prabhat Aggarwal"/>
    <s v="/35159527924 SHEMAROO ENTERTAINMENT LIMITED SHEMAROO ENTERTAINMENT LIMITED 2025/07/18 180641 SBIN071892589584 SBINR12025071892589584"/>
    <m/>
    <m/>
    <m/>
    <m/>
    <m/>
    <m/>
    <m/>
    <m/>
    <m/>
    <m/>
    <m/>
    <m/>
    <m/>
    <m/>
    <m/>
    <m/>
    <m/>
    <m/>
    <m/>
    <m/>
    <m/>
    <m/>
    <m/>
    <m/>
    <m/>
    <m/>
    <m/>
    <m/>
    <m/>
    <m/>
    <m/>
    <m/>
    <m/>
    <m/>
    <m/>
    <m/>
  </r>
  <r>
    <s v="401 - India"/>
    <d v="2025-07-17T00:00:00"/>
    <s v="JULY"/>
    <n v="2025"/>
    <x v="3"/>
    <s v="Deposited"/>
    <s v="PMT-S117-12508"/>
    <s v=""/>
    <s v="INR"/>
    <n v="-216000"/>
    <n v="-2272.277"/>
    <n v="2272.277"/>
    <n v="-1851.4849999999999"/>
    <s v="GENESIS ADVERTISING PRIVATE LIMITED"/>
    <s v="Prabhat Aggarwal"/>
    <s v="/00142000027806 GENESIS ADVERTISING PVT LTD 2025/07/17 181759 HDFC071791824899 HDFCR52025071791824899"/>
    <m/>
    <m/>
    <m/>
    <m/>
    <m/>
    <m/>
    <m/>
    <m/>
    <m/>
    <m/>
    <m/>
    <m/>
    <m/>
    <m/>
    <m/>
    <m/>
    <m/>
    <m/>
    <m/>
    <m/>
    <m/>
    <m/>
    <m/>
    <m/>
    <m/>
    <m/>
    <m/>
    <m/>
    <m/>
    <m/>
    <m/>
    <m/>
    <m/>
    <m/>
    <m/>
    <m/>
  </r>
  <r>
    <s v="401 - India"/>
    <d v="2026-03-13T00:00:00"/>
    <s v="MARCH"/>
    <n v="2026"/>
    <x v="3"/>
    <s v="Deposited"/>
    <s v="PMT-S117-13046"/>
    <s v=""/>
    <s v="INR"/>
    <n v="-177000"/>
    <n v="-1862.0050000000001"/>
    <n v="1862.0050000000001"/>
    <n v="-1862.0050000000001"/>
    <s v="ANJ CREATIONS PRIVATE LIMITED"/>
    <s v="Prabhat Aggarwal"/>
    <s v="NEFT FROM ANJ CREATIONS PRIVATE L IM YESBN12026031305940553 YESB 2603131917130016 ANJ CREATIONS PVT 2026/03/13 210223 YESIG60720261741"/>
    <m/>
    <m/>
    <m/>
    <m/>
    <m/>
    <m/>
    <m/>
    <m/>
    <m/>
    <m/>
    <m/>
    <m/>
    <m/>
    <m/>
    <m/>
    <m/>
    <m/>
    <m/>
    <m/>
    <m/>
    <m/>
    <m/>
    <m/>
    <m/>
    <m/>
    <m/>
    <m/>
    <m/>
    <m/>
    <m/>
    <m/>
    <m/>
    <m/>
    <m/>
    <m/>
    <m/>
  </r>
  <r>
    <s v="401 - India"/>
    <d v="2025-05-16T00:00:00"/>
    <s v="MAY"/>
    <n v="2025"/>
    <x v="3"/>
    <s v="Not Deposited"/>
    <s v="PMT-S117-12348"/>
    <s v=""/>
    <s v="INR"/>
    <n v="-154426"/>
    <n v="-1624.5309999999999"/>
    <n v="1624.5309999999999"/>
    <n v="-18718.503000000001"/>
    <s v="DUMMY CUSTOMER_CASHAPPS 401 - India"/>
    <s v="Prabhat Aggarwal"/>
    <s v="NEFT FROM STAR INDIA PRIVATE LIMITE ICIB STAR INDIA PRIVATE LIMITED 2025/05/16 193637"/>
    <m/>
    <m/>
    <m/>
    <m/>
    <m/>
    <m/>
    <m/>
    <m/>
    <m/>
    <m/>
    <m/>
    <m/>
    <m/>
    <m/>
    <m/>
    <m/>
    <m/>
    <m/>
    <m/>
    <m/>
    <m/>
    <m/>
    <m/>
    <m/>
    <m/>
    <m/>
    <m/>
    <m/>
    <m/>
    <m/>
    <m/>
    <m/>
    <m/>
    <m/>
    <m/>
    <m/>
  </r>
  <r>
    <s v="401 - India"/>
    <d v="2025-11-11T00:00:00"/>
    <s v="NOVEMBER"/>
    <n v="2025"/>
    <x v="3"/>
    <s v="Deposited"/>
    <s v="PMT-S117-12762"/>
    <s v=""/>
    <s v="INR"/>
    <n v="-102060"/>
    <n v="-1073.6510000000001"/>
    <n v="1073.6510000000001"/>
    <n v="-18718.503000000001"/>
    <s v="DUMMY CUSTOMER_CASHAPPS 401 - India"/>
    <s v="Prabhat Aggarwal"/>
    <s v="NEFT FROM JIOSTAR INDIA PRIVATE L IM ICICN22025111119808714 ICIB JIOSTAR INDIA PRIVATE LIMITED 2025/11/11 190930 IN22531519808714"/>
    <m/>
    <m/>
    <m/>
    <m/>
    <m/>
    <m/>
    <m/>
    <m/>
    <m/>
    <m/>
    <m/>
    <m/>
    <m/>
    <m/>
    <m/>
    <m/>
    <m/>
    <m/>
    <m/>
    <m/>
    <m/>
    <m/>
    <m/>
    <m/>
    <m/>
    <m/>
    <m/>
    <m/>
    <m/>
    <m/>
    <m/>
    <m/>
    <m/>
    <m/>
    <m/>
    <m/>
  </r>
  <r>
    <s v="401 - India"/>
    <d v="2025-02-04T00:00:00"/>
    <s v="FEBRUARY"/>
    <n v="2025"/>
    <x v="3"/>
    <s v="Deposited"/>
    <s v="PMT-S117-11949"/>
    <s v=""/>
    <s v="INR"/>
    <n v="-92654.82"/>
    <n v="-974.71"/>
    <n v="974.71"/>
    <n v="-18718.503000000001"/>
    <s v="DUMMY CUSTOMER_CASHAPPS 401 - India"/>
    <s v="Prabhat Aggarwal"/>
    <s v="NEFT FROM STAR INDIA PRIVATE LIMITE ICIB STAR INDIA PRIVATE LIMITED 2025/02/04 193337"/>
    <m/>
    <m/>
    <m/>
    <m/>
    <m/>
    <m/>
    <m/>
    <m/>
    <m/>
    <m/>
    <m/>
    <m/>
    <m/>
    <m/>
    <m/>
    <m/>
    <m/>
    <m/>
    <m/>
    <m/>
    <m/>
    <m/>
    <m/>
    <m/>
    <m/>
    <m/>
    <m/>
    <m/>
    <m/>
    <m/>
    <m/>
    <m/>
    <m/>
    <m/>
    <m/>
    <m/>
  </r>
  <r>
    <s v="401 - India"/>
    <d v="2024-07-29T00:00:00"/>
    <s v="JULY"/>
    <n v="2024"/>
    <x v="3"/>
    <s v="Deposited"/>
    <s v="PMT-S117-11417"/>
    <s v=""/>
    <s v="INR"/>
    <n v="-85050"/>
    <n v="-894.70899999999995"/>
    <n v="894.70899999999995"/>
    <n v="-894.70899999999995"/>
    <s v="Viacom 18 Media Private Limited"/>
    <s v="Prabhat Aggarwal"/>
    <s v="NEFT FROM VIACOM 18 MEDIA PVT LTD ICIB VIACOM 18 MEDIA PVT LTD 2024/07/29 183604"/>
    <m/>
    <m/>
    <m/>
    <m/>
    <m/>
    <m/>
    <m/>
    <m/>
    <m/>
    <m/>
    <m/>
    <m/>
    <m/>
    <m/>
    <m/>
    <m/>
    <m/>
    <m/>
    <m/>
    <m/>
    <m/>
    <m/>
    <m/>
    <m/>
    <m/>
    <m/>
    <m/>
    <m/>
    <m/>
    <m/>
    <m/>
    <m/>
    <m/>
    <m/>
    <m/>
    <m/>
  </r>
  <r>
    <s v="401 - India"/>
    <d v="2025-11-06T00:00:00"/>
    <s v="NOVEMBER"/>
    <n v="2025"/>
    <x v="3"/>
    <s v="Deposited"/>
    <s v="PMT-S117-12725"/>
    <s v="IN-S117-407871"/>
    <s v="INR"/>
    <n v="-310953.61"/>
    <n v="-3271.17"/>
    <n v="682.87800000000004"/>
    <n v="-682.87800000000004"/>
    <s v="Air India Limited"/>
    <s v="Prabhat Aggarwal"/>
    <s v="WHT as per Manar mail 11.06.2025"/>
    <m/>
    <m/>
    <m/>
    <m/>
    <m/>
    <m/>
    <m/>
    <m/>
    <m/>
    <m/>
    <m/>
    <m/>
    <m/>
    <m/>
    <m/>
    <m/>
    <m/>
    <m/>
    <m/>
    <m/>
    <m/>
    <m/>
    <m/>
    <m/>
    <m/>
    <m/>
    <m/>
    <m/>
    <m/>
    <m/>
    <m/>
    <m/>
    <m/>
    <m/>
    <m/>
    <m/>
  </r>
  <r>
    <s v="401 - India"/>
    <d v="2025-11-14T00:00:00"/>
    <s v="NOVEMBER"/>
    <n v="2025"/>
    <x v="3"/>
    <s v="Deposited"/>
    <s v="PMT-S117-12776"/>
    <s v=""/>
    <s v="INR"/>
    <n v="-35640"/>
    <n v="-374.92599999999999"/>
    <n v="374.92599999999999"/>
    <n v="-18718.503000000001"/>
    <s v="DUMMY CUSTOMER_CASHAPPS 401 - India"/>
    <s v="Prabhat Aggarwal"/>
    <s v="NEFT FROM JIOSTAR INDIA PRIVATE LI M ICICN22025111423350625 ICIB JIOSTAR INDIA PRIVATE LIMITED 2025/11/14 183622 IN22531823350625"/>
    <m/>
    <m/>
    <m/>
    <m/>
    <m/>
    <m/>
    <m/>
    <m/>
    <m/>
    <m/>
    <m/>
    <m/>
    <m/>
    <m/>
    <m/>
    <m/>
    <m/>
    <m/>
    <m/>
    <m/>
    <m/>
    <m/>
    <m/>
    <m/>
    <m/>
    <m/>
    <m/>
    <m/>
    <m/>
    <m/>
    <m/>
    <m/>
    <m/>
    <m/>
    <m/>
    <m/>
  </r>
  <r>
    <s v="401 - India"/>
    <d v="2025-05-23T00:00:00"/>
    <s v="MAY"/>
    <n v="2025"/>
    <x v="3"/>
    <s v="Deposited"/>
    <s v="PMT-S117-12358"/>
    <s v=""/>
    <s v="INR"/>
    <n v="-30885.3"/>
    <n v="-324.90699999999998"/>
    <n v="324.90699999999998"/>
    <n v="-18718.503000000001"/>
    <s v="DUMMY CUSTOMER_CASHAPPS 401 - India"/>
    <s v="Prabhat Aggarwal"/>
    <s v="NEFT FROM STAR INDIA PRIVATE LIMITE ICIB STAR INDIA PRIVATE LIMITED 2025/05/23 190655"/>
    <m/>
    <m/>
    <m/>
    <m/>
    <m/>
    <m/>
    <m/>
    <m/>
    <m/>
    <m/>
    <m/>
    <m/>
    <m/>
    <m/>
    <m/>
    <m/>
    <m/>
    <m/>
    <m/>
    <m/>
    <m/>
    <m/>
    <m/>
    <m/>
    <m/>
    <m/>
    <m/>
    <m/>
    <m/>
    <m/>
    <m/>
    <m/>
    <m/>
    <m/>
    <m/>
    <m/>
  </r>
  <r>
    <s v="401 - India"/>
    <d v="2023-11-06T00:00:00"/>
    <s v="NOVEMBER"/>
    <n v="2023"/>
    <x v="3"/>
    <s v="Deposited"/>
    <s v="PMT-S117-10741"/>
    <s v=""/>
    <s v="INR"/>
    <n v="-5550"/>
    <n v="-58.384999999999998"/>
    <n v="58.384999999999998"/>
    <n v="-18718.503000000001"/>
    <s v="DUMMY CUSTOMER_CASHAPPS 401 - India"/>
    <s v="Prabhat Aggarwal"/>
    <s v="NEFT FROM FINANCIAL SERVICES CENTER BANS PR12038268 IN S117 406893 19BG3023P 2023/11/06 040110"/>
    <m/>
    <m/>
    <m/>
    <m/>
    <m/>
    <m/>
    <m/>
    <m/>
    <m/>
    <m/>
    <m/>
    <m/>
    <m/>
    <m/>
    <m/>
    <m/>
    <m/>
    <m/>
    <m/>
    <m/>
    <m/>
    <m/>
    <m/>
    <m/>
    <m/>
    <m/>
    <m/>
    <m/>
    <m/>
    <m/>
    <m/>
    <m/>
    <m/>
    <m/>
    <m/>
    <m/>
  </r>
  <r>
    <s v="401 - India"/>
    <d v="2023-03-03T00:00:00"/>
    <s v="MARCH"/>
    <n v="2023"/>
    <x v="3"/>
    <s v="Deposited"/>
    <s v="PMT-S117-10075"/>
    <s v=""/>
    <s v="INR"/>
    <n v="-4868.07"/>
    <n v="-51.210999999999999"/>
    <n v="51.210999999999999"/>
    <n v="-18718.503000000001"/>
    <s v="DUMMY CUSTOMER_CASHAPPS 401 - India"/>
    <s v="Prabhat Aggarwal"/>
    <s v="NEFT FROM GRASIM INDUSTRIES LTD PAI HDFC DOMNEFT01 - C71677030323173807 - - 2023/03/03 200204"/>
    <m/>
    <m/>
    <m/>
    <m/>
    <m/>
    <m/>
    <m/>
    <m/>
    <m/>
    <m/>
    <m/>
    <m/>
    <m/>
    <m/>
    <m/>
    <m/>
    <m/>
    <m/>
    <m/>
    <m/>
    <m/>
    <m/>
    <m/>
    <m/>
    <m/>
    <m/>
    <m/>
    <m/>
    <m/>
    <m/>
    <m/>
    <m/>
    <m/>
    <m/>
    <m/>
    <m/>
  </r>
  <r>
    <s v="401 - India"/>
    <d v="2026-05-01T00:00:00"/>
    <s v="MAY"/>
    <n v="2026"/>
    <x v="3"/>
    <s v="Deposited"/>
    <s v="PMT-S117-13169"/>
    <s v=""/>
    <s v="INR"/>
    <n v="-1.06"/>
    <n v="-1.0999999999999999E-2"/>
    <n v="1.0999999999999999E-2"/>
    <n v="-18718.503000000001"/>
    <s v="DUMMY CUSTOMER_CASHAPPS 401 - India"/>
    <s v="Prabhat Aggarwal"/>
    <s v="IMPS 612118004444 NSDLPB Service 502000000000 BeneVal-HSBC0110005-XX8001 NSDLPB Service 502000000000/11160010000/9999999999 HSBC0110005/054466628001 IMPS/054466628001"/>
    <m/>
    <m/>
    <m/>
    <m/>
    <m/>
    <m/>
    <m/>
    <m/>
    <m/>
    <m/>
    <m/>
    <m/>
    <m/>
    <m/>
    <m/>
    <m/>
    <m/>
    <m/>
    <m/>
    <m/>
    <m/>
    <m/>
    <m/>
    <m/>
    <m/>
    <m/>
    <m/>
    <m/>
    <m/>
    <m/>
    <m/>
    <m/>
    <m/>
    <m/>
    <m/>
    <m/>
  </r>
  <r>
    <s v="412 - Sweden"/>
    <d v="2024-06-25T00:00:00"/>
    <s v="JUNE"/>
    <n v="2024"/>
    <x v="3"/>
    <s v="Not Deposited"/>
    <s v="PMT-S146-25901"/>
    <s v=""/>
    <s v="SEK"/>
    <n v="-122441.71"/>
    <n v="-13197.502"/>
    <n v="13197.502"/>
    <n v="-26993.163"/>
    <s v="DUMMY CUSTOMER_CASHAPPS 412 - Sweden"/>
    <s v="Max Hugo Larsson Ras Vidal"/>
    <s v="Moved from PMT-S108-5201 SA-S108-DA-57155 TRIFORK A/S DKK 81,375"/>
    <m/>
    <m/>
    <m/>
    <m/>
    <m/>
    <m/>
    <m/>
    <m/>
    <m/>
    <m/>
    <m/>
    <m/>
    <m/>
    <m/>
    <m/>
    <m/>
    <m/>
    <m/>
    <m/>
    <m/>
    <m/>
    <m/>
    <m/>
    <m/>
    <m/>
    <m/>
    <m/>
    <m/>
    <m/>
    <m/>
    <m/>
    <m/>
    <m/>
    <m/>
    <m/>
    <m/>
  </r>
  <r>
    <s v="412 - Sweden"/>
    <d v="2026-04-10T00:00:00"/>
    <s v="APRIL"/>
    <n v="2026"/>
    <x v="3"/>
    <s v="Deposited"/>
    <s v="PMT-S146-28090"/>
    <s v=""/>
    <s v="SEK"/>
    <n v="-120688.75"/>
    <n v="-13008.558000000001"/>
    <n v="13008.558000000001"/>
    <n v="-13008.558000000001"/>
    <s v="Aktiebolaget Stockholms Spårvägar"/>
    <s v="Max Hugo Larsson Ras Vidal"/>
    <s v="STOCKHOLMS SPÅRVÄGAR AB"/>
    <m/>
    <m/>
    <m/>
    <m/>
    <m/>
    <m/>
    <m/>
    <m/>
    <m/>
    <m/>
    <m/>
    <m/>
    <m/>
    <m/>
    <m/>
    <m/>
    <m/>
    <m/>
    <m/>
    <m/>
    <m/>
    <m/>
    <m/>
    <m/>
    <m/>
    <m/>
    <m/>
    <m/>
    <m/>
    <m/>
    <m/>
    <m/>
    <m/>
    <m/>
    <m/>
    <m/>
  </r>
  <r>
    <s v="412 - Sweden"/>
    <d v="2024-06-25T00:00:00"/>
    <s v="JUNE"/>
    <n v="2024"/>
    <x v="3"/>
    <s v="Not Deposited"/>
    <s v="PMT-S146-25898"/>
    <s v="IN-S146-428600"/>
    <s v="DKK"/>
    <n v="-72765"/>
    <n v="-11801.120999999999"/>
    <n v="11161.478999999999"/>
    <n v="-11161.478999999999"/>
    <s v="Silvan A/S"/>
    <s v="Katarina Andersson"/>
    <s v="Moved from PMT-S108-5338"/>
    <m/>
    <m/>
    <m/>
    <m/>
    <m/>
    <m/>
    <m/>
    <m/>
    <m/>
    <m/>
    <m/>
    <m/>
    <m/>
    <m/>
    <m/>
    <m/>
    <m/>
    <m/>
    <m/>
    <m/>
    <m/>
    <m/>
    <m/>
    <m/>
    <m/>
    <m/>
    <m/>
    <m/>
    <m/>
    <m/>
    <m/>
    <m/>
    <m/>
    <m/>
    <m/>
    <m/>
  </r>
  <r>
    <s v="412 - Sweden"/>
    <d v="2024-06-25T00:00:00"/>
    <s v="JUNE"/>
    <n v="2024"/>
    <x v="3"/>
    <s v="Not Deposited"/>
    <s v="PMT-S146-25899"/>
    <s v=""/>
    <s v="DKK"/>
    <n v="-66718.75"/>
    <n v="-10820.531999999999"/>
    <n v="10820.531999999999"/>
    <n v="-10820.531999999999"/>
    <s v="LESSOR A/S"/>
    <s v="Katarina Andersson"/>
    <s v="Moved from  PMT-S108-5389"/>
    <m/>
    <m/>
    <m/>
    <m/>
    <m/>
    <m/>
    <m/>
    <m/>
    <m/>
    <m/>
    <m/>
    <m/>
    <m/>
    <m/>
    <m/>
    <m/>
    <m/>
    <m/>
    <m/>
    <m/>
    <m/>
    <m/>
    <m/>
    <m/>
    <m/>
    <m/>
    <m/>
    <m/>
    <m/>
    <m/>
    <m/>
    <m/>
    <m/>
    <m/>
    <m/>
    <m/>
  </r>
  <r>
    <s v="412 - Sweden"/>
    <d v="2023-01-03T00:00:00"/>
    <s v="JANUARY"/>
    <n v="2023"/>
    <x v="3"/>
    <s v="Deposited"/>
    <s v="PMT-S146-23445"/>
    <s v=""/>
    <s v="SEK"/>
    <n v="-98750"/>
    <n v="-10643.868"/>
    <n v="10643.868"/>
    <n v="-11317.53"/>
    <s v="Högskolan i Borås"/>
    <s v="Max Hugo Larsson Ras Vidal"/>
    <s v="IN-S146-424346"/>
    <m/>
    <m/>
    <m/>
    <m/>
    <m/>
    <m/>
    <m/>
    <m/>
    <m/>
    <m/>
    <m/>
    <m/>
    <m/>
    <m/>
    <m/>
    <m/>
    <m/>
    <m/>
    <m/>
    <m/>
    <m/>
    <m/>
    <m/>
    <m/>
    <m/>
    <m/>
    <m/>
    <m/>
    <m/>
    <m/>
    <m/>
    <m/>
    <m/>
    <m/>
    <m/>
    <m/>
  </r>
  <r>
    <s v="412 - Sweden"/>
    <d v="2025-06-11T00:00:00"/>
    <s v="JUNE"/>
    <n v="2025"/>
    <x v="3"/>
    <s v="Deposited"/>
    <s v="PMT-S146-27126"/>
    <s v=""/>
    <s v="SEK"/>
    <n v="-98211.49"/>
    <n v="-10585.824000000001"/>
    <n v="10585.824000000001"/>
    <n v="-26993.163"/>
    <s v="DUMMY CUSTOMER_CASHAPPS 412 - Sweden"/>
    <s v="Max Hugo Larsson Ras Vidal"/>
    <s v="Int. adjustment"/>
    <m/>
    <m/>
    <m/>
    <m/>
    <m/>
    <m/>
    <m/>
    <m/>
    <m/>
    <m/>
    <m/>
    <m/>
    <m/>
    <m/>
    <m/>
    <m/>
    <m/>
    <m/>
    <m/>
    <m/>
    <m/>
    <m/>
    <m/>
    <m/>
    <m/>
    <m/>
    <m/>
    <m/>
    <m/>
    <m/>
    <m/>
    <m/>
    <m/>
    <m/>
    <m/>
    <m/>
  </r>
  <r>
    <s v="412 - Sweden"/>
    <d v="2024-06-25T00:00:00"/>
    <s v="JUNE"/>
    <n v="2024"/>
    <x v="3"/>
    <s v="Not Deposited"/>
    <s v="PMT-S146-25900"/>
    <s v=""/>
    <s v="DKK"/>
    <n v="-40625"/>
    <n v="-6588.6139999999996"/>
    <n v="6588.6139999999996"/>
    <n v="-6588.6139999999996"/>
    <s v="MAERSK TANKERS A/S"/>
    <s v="Katarina Andersson"/>
    <s v="Moved from PMT-S108-5297"/>
    <m/>
    <m/>
    <m/>
    <m/>
    <m/>
    <m/>
    <m/>
    <m/>
    <m/>
    <m/>
    <m/>
    <m/>
    <m/>
    <m/>
    <m/>
    <m/>
    <m/>
    <m/>
    <m/>
    <m/>
    <m/>
    <m/>
    <m/>
    <m/>
    <m/>
    <m/>
    <m/>
    <m/>
    <m/>
    <m/>
    <m/>
    <m/>
    <m/>
    <m/>
    <m/>
    <m/>
  </r>
  <r>
    <s v="412 - Sweden"/>
    <d v="2026-03-16T00:00:00"/>
    <s v="MARCH"/>
    <n v="2026"/>
    <x v="3"/>
    <s v="Deposited"/>
    <s v="PMT-S146-28000"/>
    <s v=""/>
    <s v="DKK"/>
    <n v="-39848"/>
    <n v="-6174.1440000000002"/>
    <n v="6174.1440000000002"/>
    <n v="-6174.1440000000002"/>
    <s v="LANDBRUG &amp; FØDEVARER F.M.B.A"/>
    <s v="Katarina Andersson"/>
    <s v="8 39848.00 57281.50 IBS 39848.00 DKK SEK 143.7500 LANDBRUG + FODEVARER FMBA AXELTORV 3 DK DK5020005903538025 MELTWATER SWEDEN AB BRAHEGATAN 10 SE-114 37 STOCKHOLM CH SE7491900000091950470018 SEK DNBASESXXXX DNBASESXXXX LANDBRUG   FODEVARER F.M.B.A. F IN- S146-429508 2 2026031600022094"/>
    <m/>
    <m/>
    <m/>
    <m/>
    <m/>
    <m/>
    <m/>
    <m/>
    <m/>
    <m/>
    <m/>
    <m/>
    <m/>
    <m/>
    <m/>
    <m/>
    <m/>
    <m/>
    <m/>
    <m/>
    <m/>
    <m/>
    <m/>
    <m/>
    <m/>
    <m/>
    <m/>
    <m/>
    <m/>
    <m/>
    <m/>
    <m/>
    <m/>
    <m/>
    <m/>
    <m/>
  </r>
  <r>
    <s v="412 - Sweden"/>
    <d v="2023-04-18T00:00:00"/>
    <s v="APRIL"/>
    <n v="2023"/>
    <x v="3"/>
    <s v="Deposited"/>
    <s v="PMT-S146-24038"/>
    <s v=""/>
    <s v="SEK"/>
    <n v="-49500"/>
    <n v="-5335.4070000000002"/>
    <n v="5335.4070000000002"/>
    <n v="-5335.4070000000002"/>
    <s v="Omilon Sverige AB"/>
    <s v="Max Hugo Larsson Ras Vidal"/>
    <s v=""/>
    <m/>
    <m/>
    <m/>
    <m/>
    <m/>
    <m/>
    <m/>
    <m/>
    <m/>
    <m/>
    <m/>
    <m/>
    <m/>
    <m/>
    <m/>
    <m/>
    <m/>
    <m/>
    <m/>
    <m/>
    <m/>
    <m/>
    <m/>
    <m/>
    <m/>
    <m/>
    <m/>
    <m/>
    <m/>
    <m/>
    <m/>
    <m/>
    <m/>
    <m/>
    <m/>
    <m/>
  </r>
  <r>
    <s v="412 - Sweden"/>
    <d v="2023-03-30T00:00:00"/>
    <s v="MARCH"/>
    <n v="2023"/>
    <x v="3"/>
    <s v="Deposited"/>
    <s v="PMT-S146-23932"/>
    <s v=""/>
    <s v="SEK"/>
    <n v="-46250"/>
    <n v="-4985.1030000000001"/>
    <n v="4985.1030000000001"/>
    <n v="-4985.1030000000001"/>
    <s v="Willhem AB"/>
    <s v="Max Hugo Larsson Ras Vidal"/>
    <s v=""/>
    <m/>
    <m/>
    <m/>
    <m/>
    <m/>
    <m/>
    <m/>
    <m/>
    <m/>
    <m/>
    <m/>
    <m/>
    <m/>
    <m/>
    <m/>
    <m/>
    <m/>
    <m/>
    <m/>
    <m/>
    <m/>
    <m/>
    <m/>
    <m/>
    <m/>
    <m/>
    <m/>
    <m/>
    <m/>
    <m/>
    <m/>
    <m/>
    <m/>
    <m/>
    <m/>
    <m/>
  </r>
  <r>
    <s v="412 - Sweden"/>
    <d v="2025-03-31T00:00:00"/>
    <s v="MARCH"/>
    <n v="2025"/>
    <x v="3"/>
    <s v="Deposited"/>
    <s v="PMT-S146-26915"/>
    <s v=""/>
    <s v="SEK"/>
    <n v="-42500"/>
    <n v="-4580.9049999999997"/>
    <n v="4580.9049999999997"/>
    <n v="-4580.9049999999997"/>
    <s v="Foodora AB"/>
    <s v="Max Hugo Larsson Ras Vidal"/>
    <s v="IN-S146-428384"/>
    <m/>
    <m/>
    <m/>
    <m/>
    <m/>
    <m/>
    <m/>
    <m/>
    <m/>
    <m/>
    <m/>
    <m/>
    <m/>
    <m/>
    <m/>
    <m/>
    <m/>
    <m/>
    <m/>
    <m/>
    <m/>
    <m/>
    <m/>
    <m/>
    <m/>
    <m/>
    <m/>
    <m/>
    <m/>
    <m/>
    <m/>
    <m/>
    <m/>
    <m/>
    <m/>
    <m/>
  </r>
  <r>
    <s v="412 - Sweden"/>
    <d v="2023-05-24T00:00:00"/>
    <s v="MAY"/>
    <n v="2023"/>
    <x v="3"/>
    <s v="Deposited"/>
    <s v="PMT-S146-24186"/>
    <s v=""/>
    <s v="SEK"/>
    <n v="-40250"/>
    <n v="-4338.3869999999997"/>
    <n v="4338.3869999999997"/>
    <n v="-4338.3869999999997"/>
    <s v="Medhelp Sjukvårdsrådgivning AB"/>
    <s v="Max Hugo Larsson Ras Vidal"/>
    <s v="IN-S146-423462"/>
    <m/>
    <m/>
    <m/>
    <m/>
    <m/>
    <m/>
    <m/>
    <m/>
    <m/>
    <m/>
    <m/>
    <m/>
    <m/>
    <m/>
    <m/>
    <m/>
    <m/>
    <m/>
    <m/>
    <m/>
    <m/>
    <m/>
    <m/>
    <m/>
    <m/>
    <m/>
    <m/>
    <m/>
    <m/>
    <m/>
    <m/>
    <m/>
    <m/>
    <m/>
    <m/>
    <m/>
  </r>
  <r>
    <s v="412 - Sweden"/>
    <d v="2023-01-04T00:00:00"/>
    <s v="JANUARY"/>
    <n v="2023"/>
    <x v="3"/>
    <s v="Deposited"/>
    <s v="PMT-S146-23453"/>
    <s v=""/>
    <s v="SEK"/>
    <n v="-40000"/>
    <n v="-4311.4399999999996"/>
    <n v="4311.4399999999996"/>
    <n v="-4311.4399999999996"/>
    <s v="REGION KRONOBERG"/>
    <s v="Max Hugo Larsson Ras Vidal"/>
    <s v="IN-S146-424338"/>
    <m/>
    <m/>
    <m/>
    <m/>
    <m/>
    <m/>
    <m/>
    <m/>
    <m/>
    <m/>
    <m/>
    <m/>
    <m/>
    <m/>
    <m/>
    <m/>
    <m/>
    <m/>
    <m/>
    <m/>
    <m/>
    <m/>
    <m/>
    <m/>
    <m/>
    <m/>
    <m/>
    <m/>
    <m/>
    <m/>
    <m/>
    <m/>
    <m/>
    <m/>
    <m/>
    <m/>
  </r>
  <r>
    <s v="412 - Sweden"/>
    <d v="2024-10-28T00:00:00"/>
    <s v="OCTOBER"/>
    <n v="2024"/>
    <x v="3"/>
    <s v="Deposited"/>
    <s v="PMT-S146-26273"/>
    <s v=""/>
    <s v="SEK"/>
    <n v="-38787.5"/>
    <n v="-4180.7489999999998"/>
    <n v="4180.7489999999998"/>
    <n v="-4180.7489999999998"/>
    <s v="Perstorp Holding AB"/>
    <s v="Max Hugo Larsson Ras Vidal"/>
    <s v="IN-S146-427 (duplicate)"/>
    <m/>
    <m/>
    <m/>
    <m/>
    <m/>
    <m/>
    <m/>
    <m/>
    <m/>
    <m/>
    <m/>
    <m/>
    <m/>
    <m/>
    <m/>
    <m/>
    <m/>
    <m/>
    <m/>
    <m/>
    <m/>
    <m/>
    <m/>
    <m/>
    <m/>
    <m/>
    <m/>
    <m/>
    <m/>
    <m/>
    <m/>
    <m/>
    <m/>
    <m/>
    <m/>
    <m/>
  </r>
  <r>
    <s v="412 - Sweden"/>
    <d v="2022-11-07T00:00:00"/>
    <s v="NOVEMBER"/>
    <n v="2022"/>
    <x v="3"/>
    <s v="Deposited"/>
    <s v="PMT-S146-23107"/>
    <s v=""/>
    <s v="SEK"/>
    <n v="-30937.5"/>
    <n v="-3334.6289999999999"/>
    <n v="3334.6289999999999"/>
    <n v="-3334.6289999999999"/>
    <s v="Permobil Aktiebolag"/>
    <s v="Max Hugo Larsson Ras Vidal"/>
    <s v="IN-S146-423983"/>
    <m/>
    <m/>
    <m/>
    <m/>
    <m/>
    <m/>
    <m/>
    <m/>
    <m/>
    <m/>
    <m/>
    <m/>
    <m/>
    <m/>
    <m/>
    <m/>
    <m/>
    <m/>
    <m/>
    <m/>
    <m/>
    <m/>
    <m/>
    <m/>
    <m/>
    <m/>
    <m/>
    <m/>
    <m/>
    <m/>
    <m/>
    <m/>
    <m/>
    <m/>
    <m/>
    <m/>
  </r>
  <r>
    <s v="412 - Sweden"/>
    <d v="2022-11-29T00:00:00"/>
    <s v="NOVEMBER"/>
    <n v="2022"/>
    <x v="3"/>
    <s v="Deposited"/>
    <s v="PMT-S146-23239"/>
    <s v="IN-S146-424113"/>
    <s v="SEK"/>
    <n v="-54337.5"/>
    <n v="-5856.8220000000001"/>
    <n v="2928.4110000000001"/>
    <n v="-2928.4110000000001"/>
    <s v="Linköpings Universitet"/>
    <s v="Max Hugo Larsson Ras Vidal"/>
    <s v="IN-S146-424113"/>
    <m/>
    <m/>
    <m/>
    <m/>
    <m/>
    <m/>
    <m/>
    <m/>
    <m/>
    <m/>
    <m/>
    <m/>
    <m/>
    <m/>
    <m/>
    <m/>
    <m/>
    <m/>
    <m/>
    <m/>
    <m/>
    <m/>
    <m/>
    <m/>
    <m/>
    <m/>
    <m/>
    <m/>
    <m/>
    <m/>
    <m/>
    <m/>
    <m/>
    <m/>
    <m/>
    <m/>
  </r>
  <r>
    <s v="412 - Sweden"/>
    <d v="2025-06-04T00:00:00"/>
    <s v="JUNE"/>
    <n v="2025"/>
    <x v="3"/>
    <s v="Deposited"/>
    <s v="PMT-S146-27111"/>
    <s v=""/>
    <s v="SEK"/>
    <n v="-16928"/>
    <n v="-1824.6010000000001"/>
    <n v="1824.6010000000001"/>
    <n v="-26993.163"/>
    <s v="DUMMY CUSTOMER_CASHAPPS 412 - Sweden"/>
    <s v="Max Hugo Larsson Ras Vidal"/>
    <s v="990543 »TERBET AZA"/>
    <m/>
    <m/>
    <m/>
    <m/>
    <m/>
    <m/>
    <m/>
    <m/>
    <m/>
    <m/>
    <m/>
    <m/>
    <m/>
    <m/>
    <m/>
    <m/>
    <m/>
    <m/>
    <m/>
    <m/>
    <m/>
    <m/>
    <m/>
    <m/>
    <m/>
    <m/>
    <m/>
    <m/>
    <m/>
    <m/>
    <m/>
    <m/>
    <m/>
    <m/>
    <m/>
    <m/>
  </r>
  <r>
    <s v="412 - Sweden"/>
    <d v="2023-09-22T00:00:00"/>
    <s v="SEPTEMBER"/>
    <n v="2023"/>
    <x v="3"/>
    <s v="Deposited"/>
    <s v="PMT-S146-24586"/>
    <s v=""/>
    <s v="SEK"/>
    <n v="-15000"/>
    <n v="-1616.79"/>
    <n v="1616.79"/>
    <n v="-1616.79"/>
    <s v="Ölands Kultur och Nöjespark AB"/>
    <s v="Max Hugo Larsson Ras Vidal"/>
    <s v="IN-S146-425613"/>
    <m/>
    <m/>
    <m/>
    <m/>
    <m/>
    <m/>
    <m/>
    <m/>
    <m/>
    <m/>
    <m/>
    <m/>
    <m/>
    <m/>
    <m/>
    <m/>
    <m/>
    <m/>
    <m/>
    <m/>
    <m/>
    <m/>
    <m/>
    <m/>
    <m/>
    <m/>
    <m/>
    <m/>
    <m/>
    <m/>
    <m/>
    <m/>
    <m/>
    <m/>
    <m/>
    <m/>
  </r>
  <r>
    <s v="412 - Sweden"/>
    <d v="2022-07-20T00:00:00"/>
    <s v="JULY"/>
    <n v="2022"/>
    <x v="3"/>
    <s v="Deposited"/>
    <s v="PMT-S146-22583"/>
    <s v="IN-S146-423537"/>
    <s v="SEK"/>
    <n v="-18750"/>
    <n v="-2020.9880000000001"/>
    <n v="1347.325"/>
    <n v="-1347.325"/>
    <s v="Karlstads Kommun"/>
    <s v="Max Hugo Larsson Ras Vidal"/>
    <s v=""/>
    <m/>
    <m/>
    <m/>
    <m/>
    <m/>
    <m/>
    <m/>
    <m/>
    <m/>
    <m/>
    <m/>
    <m/>
    <m/>
    <m/>
    <m/>
    <m/>
    <m/>
    <m/>
    <m/>
    <m/>
    <m/>
    <m/>
    <m/>
    <m/>
    <m/>
    <m/>
    <m/>
    <m/>
    <m/>
    <m/>
    <m/>
    <m/>
    <m/>
    <m/>
    <m/>
    <m/>
  </r>
  <r>
    <s v="412 - Sweden"/>
    <d v="2022-11-07T00:00:00"/>
    <s v="NOVEMBER"/>
    <n v="2022"/>
    <x v="3"/>
    <s v="Deposited"/>
    <s v="PMT-S146-23136"/>
    <s v=""/>
    <s v="SEK"/>
    <n v="-12265"/>
    <n v="-1321.9949999999999"/>
    <n v="1321.9949999999999"/>
    <n v="-26993.163"/>
    <s v="DUMMY CUSTOMER_CASHAPPS 412 - Sweden"/>
    <s v="Max Hugo Larsson Ras Vidal"/>
    <s v="Erroneous Receipt from Städbranschen Sverige förlag AB"/>
    <m/>
    <m/>
    <m/>
    <m/>
    <m/>
    <m/>
    <m/>
    <m/>
    <m/>
    <m/>
    <m/>
    <m/>
    <m/>
    <m/>
    <m/>
    <m/>
    <m/>
    <m/>
    <m/>
    <m/>
    <m/>
    <m/>
    <m/>
    <m/>
    <m/>
    <m/>
    <m/>
    <m/>
    <m/>
    <m/>
    <m/>
    <m/>
    <m/>
    <m/>
    <m/>
    <m/>
  </r>
  <r>
    <s v="412 - Sweden"/>
    <d v="2022-09-05T00:00:00"/>
    <s v="SEPTEMBER"/>
    <n v="2022"/>
    <x v="3"/>
    <s v="Deposited"/>
    <s v="PMT-S146-22745"/>
    <s v="IN-S146-423513"/>
    <s v="SEK"/>
    <n v="-21938"/>
    <n v="-2364.6089999999999"/>
    <n v="1182.3320000000001"/>
    <n v="-1182.3320000000001"/>
    <s v="Effektiva Media i Stockholm Aktiebolag"/>
    <s v="Max Hugo Larsson Ras Vidal"/>
    <s v=""/>
    <m/>
    <m/>
    <m/>
    <m/>
    <m/>
    <m/>
    <m/>
    <m/>
    <m/>
    <m/>
    <m/>
    <m/>
    <m/>
    <m/>
    <m/>
    <m/>
    <m/>
    <m/>
    <m/>
    <m/>
    <m/>
    <m/>
    <m/>
    <m/>
    <m/>
    <m/>
    <m/>
    <m/>
    <m/>
    <m/>
    <m/>
    <m/>
    <m/>
    <m/>
    <m/>
    <m/>
  </r>
  <r>
    <s v="412 - Sweden"/>
    <d v="2022-08-19T00:00:00"/>
    <s v="AUGUST"/>
    <n v="2022"/>
    <x v="3"/>
    <s v="Deposited"/>
    <s v="PMT-S146-22681"/>
    <s v=""/>
    <s v="EUR"/>
    <n v="-937.5"/>
    <n v="-1065.596"/>
    <n v="1065.596"/>
    <n v="58108.741000000002"/>
    <s v="AB Tetra Pak"/>
    <s v="Amy Tyler"/>
    <s v=""/>
    <m/>
    <m/>
    <m/>
    <m/>
    <m/>
    <m/>
    <m/>
    <m/>
    <m/>
    <m/>
    <m/>
    <m/>
    <m/>
    <m/>
    <m/>
    <m/>
    <m/>
    <m/>
    <m/>
    <m/>
    <m/>
    <m/>
    <m/>
    <m/>
    <m/>
    <m/>
    <m/>
    <m/>
    <m/>
    <m/>
    <m/>
    <m/>
    <m/>
    <m/>
    <m/>
    <m/>
  </r>
  <r>
    <s v="412 - Sweden"/>
    <d v="2023-04-05T00:00:00"/>
    <s v="APRIL"/>
    <n v="2023"/>
    <x v="3"/>
    <s v="Deposited"/>
    <s v="PMT-S146-23972"/>
    <s v=""/>
    <s v="SEK"/>
    <n v="-6250"/>
    <n v="-673.66300000000001"/>
    <n v="673.66300000000001"/>
    <n v="-11317.53"/>
    <s v="Högskolan i Borås"/>
    <s v="Max Hugo Larsson Ras Vidal"/>
    <s v="IN-S146-424949"/>
    <m/>
    <m/>
    <m/>
    <m/>
    <m/>
    <m/>
    <m/>
    <m/>
    <m/>
    <m/>
    <m/>
    <m/>
    <m/>
    <m/>
    <m/>
    <m/>
    <m/>
    <m/>
    <m/>
    <m/>
    <m/>
    <m/>
    <m/>
    <m/>
    <m/>
    <m/>
    <m/>
    <m/>
    <m/>
    <m/>
    <m/>
    <m/>
    <m/>
    <m/>
    <m/>
    <m/>
  </r>
  <r>
    <s v="412 - Sweden"/>
    <d v="2025-08-27T00:00:00"/>
    <s v="AUGUST"/>
    <n v="2025"/>
    <x v="3"/>
    <s v="Deposited"/>
    <s v="PMT-S146-27338"/>
    <s v=""/>
    <s v="SEK"/>
    <n v="-586.72"/>
    <n v="-63.24"/>
    <n v="63.24"/>
    <n v="-26993.163"/>
    <s v="DUMMY CUSTOMER_CASHAPPS 412 - Sweden"/>
    <s v="Max Hugo Larsson Ras Vidal"/>
    <s v="Meltwater Sweden AB  Kontantavi"/>
    <m/>
    <m/>
    <m/>
    <m/>
    <m/>
    <m/>
    <m/>
    <m/>
    <m/>
    <m/>
    <m/>
    <m/>
    <m/>
    <m/>
    <m/>
    <m/>
    <m/>
    <m/>
    <m/>
    <m/>
    <m/>
    <m/>
    <m/>
    <m/>
    <m/>
    <m/>
    <m/>
    <m/>
    <m/>
    <m/>
    <m/>
    <m/>
    <m/>
    <m/>
    <m/>
    <m/>
  </r>
  <r>
    <s v="421 - Finland"/>
    <d v="2024-12-31T00:00:00"/>
    <s v="DECEMBER"/>
    <n v="2024"/>
    <x v="3"/>
    <s v="Deposited"/>
    <s v="PMT-S115-31371"/>
    <s v="IN-S115-432263"/>
    <s v="EUR"/>
    <n v="-16315"/>
    <n v="-19079.577000000001"/>
    <n v="14676.598"/>
    <n v="-14676.598"/>
    <s v="Drama Queen Communications Oy"/>
    <s v="Katarina Andersson"/>
    <s v="DRAMA QUEEN COMMUNICATION /51095008 MELTWATER FINLAND OYSCOR 211930000 4322632"/>
    <m/>
    <m/>
    <m/>
    <m/>
    <m/>
    <m/>
    <m/>
    <m/>
    <m/>
    <m/>
    <m/>
    <m/>
    <m/>
    <m/>
    <m/>
    <m/>
    <m/>
    <m/>
    <m/>
    <m/>
    <m/>
    <m/>
    <m/>
    <m/>
    <m/>
    <m/>
    <m/>
    <m/>
    <m/>
    <m/>
    <m/>
    <m/>
    <m/>
    <m/>
    <m/>
    <m/>
  </r>
  <r>
    <s v="421 - Finland"/>
    <d v="2022-09-30T00:00:00"/>
    <s v="SEPTEMBER"/>
    <n v="2022"/>
    <x v="3"/>
    <s v="Deposited"/>
    <s v="PMT-S115-26181"/>
    <s v=""/>
    <s v="EUR"/>
    <n v="-9920"/>
    <n v="-11600.944"/>
    <n v="11600.944"/>
    <n v="-11600.944"/>
    <s v="Bou Oy"/>
    <s v="Katarina Andersson"/>
    <s v=""/>
    <m/>
    <m/>
    <m/>
    <m/>
    <m/>
    <m/>
    <m/>
    <m/>
    <m/>
    <m/>
    <m/>
    <m/>
    <m/>
    <m/>
    <m/>
    <m/>
    <m/>
    <m/>
    <m/>
    <m/>
    <m/>
    <m/>
    <m/>
    <m/>
    <m/>
    <m/>
    <m/>
    <m/>
    <m/>
    <m/>
    <m/>
    <m/>
    <m/>
    <m/>
    <m/>
    <m/>
  </r>
  <r>
    <s v="421 - Finland"/>
    <d v="2023-11-06T00:00:00"/>
    <s v="NOVEMBER"/>
    <n v="2023"/>
    <x v="3"/>
    <s v="Deposited"/>
    <s v="PMT-S115-28988"/>
    <s v=""/>
    <s v="EUR"/>
    <n v="-8332.7999999999993"/>
    <n v="-9744.7929999999997"/>
    <n v="9744.7929999999997"/>
    <n v="-9744.7929999999997"/>
    <s v="Liikenteenohjausyhtiö Fintraffic Oy"/>
    <s v="Katarina Andersson"/>
    <s v="IN-S115-429379, 2023-11-06 11:41:14"/>
    <m/>
    <m/>
    <m/>
    <m/>
    <m/>
    <m/>
    <m/>
    <m/>
    <m/>
    <m/>
    <m/>
    <m/>
    <m/>
    <m/>
    <m/>
    <m/>
    <m/>
    <m/>
    <m/>
    <m/>
    <m/>
    <m/>
    <m/>
    <m/>
    <m/>
    <m/>
    <m/>
    <m/>
    <m/>
    <m/>
    <m/>
    <m/>
    <m/>
    <m/>
    <m/>
    <m/>
  </r>
  <r>
    <s v="421 - Finland"/>
    <d v="2025-10-15T00:00:00"/>
    <s v="OCTOBER"/>
    <n v="2025"/>
    <x v="3"/>
    <s v="Deposited"/>
    <s v="PMT-S115-32650"/>
    <s v=""/>
    <s v="EUR"/>
    <n v="-6212.25"/>
    <n v="-7264.9160000000002"/>
    <n v="7264.9160000000002"/>
    <n v="-7264.9160000000002"/>
    <s v="Aisti Corporation Oy"/>
    <s v="Katarina Andersson"/>
    <s v="AISTI CORPORATION OY/EREF/L01833/ORDP//NAME/AISTI CORPORATION OY/REMI//CDTRREFTP//CD/SCOR/CDTRREF/2119300004335409AISTI CORPORATION OY"/>
    <m/>
    <m/>
    <m/>
    <m/>
    <m/>
    <m/>
    <m/>
    <m/>
    <m/>
    <m/>
    <m/>
    <m/>
    <m/>
    <m/>
    <m/>
    <m/>
    <m/>
    <m/>
    <m/>
    <m/>
    <m/>
    <m/>
    <m/>
    <m/>
    <m/>
    <m/>
    <m/>
    <m/>
    <m/>
    <m/>
    <m/>
    <m/>
    <m/>
    <m/>
    <m/>
    <m/>
  </r>
  <r>
    <s v="421 - Finland"/>
    <d v="2025-01-30T00:00:00"/>
    <s v="JANUARY"/>
    <n v="2025"/>
    <x v="3"/>
    <s v="Deposited"/>
    <s v="PMT-S115-31621"/>
    <s v="IN-S115-432351"/>
    <s v="EUR"/>
    <n v="-19954.5"/>
    <n v="-23335.79"/>
    <n v="6914.1629999999996"/>
    <n v="-6914.1629999999996"/>
    <s v="Numera Palvelut Oy"/>
    <s v="Katarina Andersson"/>
    <s v="NUMERA PALVELUT OY /51095008 MELTWA TER FINLAND OYSCOR 0000211930000432 3518"/>
    <m/>
    <m/>
    <m/>
    <m/>
    <m/>
    <m/>
    <m/>
    <m/>
    <m/>
    <m/>
    <m/>
    <m/>
    <m/>
    <m/>
    <m/>
    <m/>
    <m/>
    <m/>
    <m/>
    <m/>
    <m/>
    <m/>
    <m/>
    <m/>
    <m/>
    <m/>
    <m/>
    <m/>
    <m/>
    <m/>
    <m/>
    <m/>
    <m/>
    <m/>
    <m/>
    <m/>
  </r>
  <r>
    <s v="421 - Finland"/>
    <d v="2023-03-07T00:00:00"/>
    <s v="MARCH"/>
    <n v="2023"/>
    <x v="3"/>
    <s v="Deposited"/>
    <s v="PMT-S115-27571"/>
    <s v=""/>
    <s v="EUR"/>
    <n v="-5580"/>
    <n v="-6525.5309999999999"/>
    <n v="6525.5309999999999"/>
    <n v="-13051.062"/>
    <s v="Nordic Ren-Gas Oy"/>
    <s v="Katarina Andersson"/>
    <s v="NORDIC REN-GAS OY"/>
    <m/>
    <m/>
    <m/>
    <m/>
    <m/>
    <m/>
    <m/>
    <m/>
    <m/>
    <m/>
    <m/>
    <m/>
    <m/>
    <m/>
    <m/>
    <m/>
    <m/>
    <m/>
    <m/>
    <m/>
    <m/>
    <m/>
    <m/>
    <m/>
    <m/>
    <m/>
    <m/>
    <m/>
    <m/>
    <m/>
    <m/>
    <m/>
    <m/>
    <m/>
    <m/>
    <m/>
  </r>
  <r>
    <s v="421 - Finland"/>
    <d v="2023-03-09T00:00:00"/>
    <s v="MARCH"/>
    <n v="2023"/>
    <x v="3"/>
    <s v="Deposited"/>
    <s v="PMT-S115-27585"/>
    <s v=""/>
    <s v="EUR"/>
    <n v="-5580"/>
    <n v="-6525.5309999999999"/>
    <n v="6525.5309999999999"/>
    <n v="-13051.062"/>
    <s v="Nordic Ren-Gas Oy"/>
    <s v="Katarina Andersson"/>
    <s v="NORDIC REN-GAS OY"/>
    <m/>
    <m/>
    <m/>
    <m/>
    <m/>
    <m/>
    <m/>
    <m/>
    <m/>
    <m/>
    <m/>
    <m/>
    <m/>
    <m/>
    <m/>
    <m/>
    <m/>
    <m/>
    <m/>
    <m/>
    <m/>
    <m/>
    <m/>
    <m/>
    <m/>
    <m/>
    <m/>
    <m/>
    <m/>
    <m/>
    <m/>
    <m/>
    <m/>
    <m/>
    <m/>
    <m/>
  </r>
  <r>
    <s v="421 - Finland"/>
    <d v="2023-06-26T00:00:00"/>
    <s v="JUNE"/>
    <n v="2023"/>
    <x v="3"/>
    <s v="Deposited"/>
    <s v="PMT-S115-28226"/>
    <s v=""/>
    <s v="EUR"/>
    <n v="-5208"/>
    <n v="-6090.4960000000001"/>
    <n v="6090.4960000000001"/>
    <n v="-6090.4960000000001"/>
    <s v="Coolbrook Oy"/>
    <s v="Katarina Andersson"/>
    <s v="COOLBROOK OY /51095008 MELTWATER FI NLAND OYSCOR 00002119300004287434"/>
    <m/>
    <m/>
    <m/>
    <m/>
    <m/>
    <m/>
    <m/>
    <m/>
    <m/>
    <m/>
    <m/>
    <m/>
    <m/>
    <m/>
    <m/>
    <m/>
    <m/>
    <m/>
    <m/>
    <m/>
    <m/>
    <m/>
    <m/>
    <m/>
    <m/>
    <m/>
    <m/>
    <m/>
    <m/>
    <m/>
    <m/>
    <m/>
    <m/>
    <m/>
    <m/>
    <m/>
  </r>
  <r>
    <s v="421 - Finland"/>
    <d v="2025-03-07T00:00:00"/>
    <s v="MARCH"/>
    <n v="2025"/>
    <x v="3"/>
    <s v="Deposited"/>
    <s v="PMT-S115-31821"/>
    <s v="IN-S115-432671"/>
    <s v="EUR"/>
    <n v="-6977.8"/>
    <n v="-8160.1880000000001"/>
    <n v="6090.4960000000001"/>
    <n v="-6090.4960000000001"/>
    <s v="Liikennevirta Oy"/>
    <s v="Katarina Andersson"/>
    <s v="LIIKENNEVIRTA OY /51095008 MELTWATE R FINLAND OYSCOR 000021193000043267 19"/>
    <m/>
    <m/>
    <m/>
    <m/>
    <m/>
    <m/>
    <m/>
    <m/>
    <m/>
    <m/>
    <m/>
    <m/>
    <m/>
    <m/>
    <m/>
    <m/>
    <m/>
    <m/>
    <m/>
    <m/>
    <m/>
    <m/>
    <m/>
    <m/>
    <m/>
    <m/>
    <m/>
    <m/>
    <m/>
    <m/>
    <m/>
    <m/>
    <m/>
    <m/>
    <m/>
    <m/>
  </r>
  <r>
    <s v="421 - Finland"/>
    <d v="2022-12-12T00:00:00"/>
    <s v="DECEMBER"/>
    <n v="2022"/>
    <x v="3"/>
    <s v="Deposited"/>
    <s v="PMT-S115-26809"/>
    <s v=""/>
    <s v="EUR"/>
    <n v="-4774"/>
    <n v="-5582.9539999999997"/>
    <n v="5582.9539999999997"/>
    <n v="-5582.9539999999997"/>
    <s v="Keskustaksi Oy"/>
    <s v="Katarina Andersson"/>
    <s v=""/>
    <m/>
    <m/>
    <m/>
    <m/>
    <m/>
    <m/>
    <m/>
    <m/>
    <m/>
    <m/>
    <m/>
    <m/>
    <m/>
    <m/>
    <m/>
    <m/>
    <m/>
    <m/>
    <m/>
    <m/>
    <m/>
    <m/>
    <m/>
    <m/>
    <m/>
    <m/>
    <m/>
    <m/>
    <m/>
    <m/>
    <m/>
    <m/>
    <m/>
    <m/>
    <m/>
    <m/>
  </r>
  <r>
    <s v="421 - Finland"/>
    <d v="2023-03-07T00:00:00"/>
    <s v="MARCH"/>
    <n v="2023"/>
    <x v="3"/>
    <s v="Deposited"/>
    <s v="PMT-S115-27568"/>
    <s v=""/>
    <s v="EUR"/>
    <n v="-4526"/>
    <n v="-5292.9309999999996"/>
    <n v="5292.9309999999996"/>
    <n v="-5680.1120000000001"/>
    <s v="Diktamen Oy"/>
    <s v="Katarina Andersson"/>
    <s v="overpaid - CM"/>
    <m/>
    <m/>
    <m/>
    <m/>
    <m/>
    <m/>
    <m/>
    <m/>
    <m/>
    <m/>
    <m/>
    <m/>
    <m/>
    <m/>
    <m/>
    <m/>
    <m/>
    <m/>
    <m/>
    <m/>
    <m/>
    <m/>
    <m/>
    <m/>
    <m/>
    <m/>
    <m/>
    <m/>
    <m/>
    <m/>
    <m/>
    <m/>
    <m/>
    <m/>
    <m/>
    <m/>
  </r>
  <r>
    <s v="421 - Finland"/>
    <d v="2023-08-08T00:00:00"/>
    <s v="AUGUST"/>
    <n v="2023"/>
    <x v="3"/>
    <s v="Deposited"/>
    <s v="PMT-S115-28427"/>
    <s v=""/>
    <s v="EUR"/>
    <n v="-4077.12"/>
    <n v="-4767.9880000000003"/>
    <n v="4767.9880000000003"/>
    <n v="-4767.9880000000003"/>
    <s v="0136082-5"/>
    <s v="Katarina Andersson"/>
    <s v="PARAISTEN KAUPUNKI /51095008 MELTWA TER FINLAND OYSCOR 0000211930000428 9306"/>
    <m/>
    <m/>
    <m/>
    <m/>
    <m/>
    <m/>
    <m/>
    <m/>
    <m/>
    <m/>
    <m/>
    <m/>
    <m/>
    <m/>
    <m/>
    <m/>
    <m/>
    <m/>
    <m/>
    <m/>
    <m/>
    <m/>
    <m/>
    <m/>
    <m/>
    <m/>
    <m/>
    <m/>
    <m/>
    <m/>
    <m/>
    <m/>
    <m/>
    <m/>
    <m/>
    <m/>
  </r>
  <r>
    <s v="421 - Finland"/>
    <d v="2022-05-02T00:00:00"/>
    <s v="MAY"/>
    <n v="2022"/>
    <x v="3"/>
    <s v="Deposited"/>
    <s v="PMT-S115-25248"/>
    <s v=""/>
    <s v="EUR"/>
    <n v="-3286"/>
    <n v="-3842.8130000000001"/>
    <n v="3842.8130000000001"/>
    <n v="-3842.8130000000001"/>
    <s v="Grafia ry"/>
    <s v="Katarina Andersson"/>
    <s v=""/>
    <m/>
    <m/>
    <m/>
    <m/>
    <m/>
    <m/>
    <m/>
    <m/>
    <m/>
    <m/>
    <m/>
    <m/>
    <m/>
    <m/>
    <m/>
    <m/>
    <m/>
    <m/>
    <m/>
    <m/>
    <m/>
    <m/>
    <m/>
    <m/>
    <m/>
    <m/>
    <m/>
    <m/>
    <m/>
    <m/>
    <m/>
    <m/>
    <m/>
    <m/>
    <m/>
    <m/>
  </r>
  <r>
    <s v="421 - Finland"/>
    <d v="2025-01-09T00:00:00"/>
    <s v="JANUARY"/>
    <n v="2025"/>
    <x v="3"/>
    <s v="Deposited"/>
    <s v="PMT-S115-31457"/>
    <s v="IN-S115-431831"/>
    <s v="EUR"/>
    <n v="-118547.31"/>
    <n v="-138635.152"/>
    <n v="3749.8649999999998"/>
    <n v="-3749.8649999999998"/>
    <s v="Neste Oyj"/>
    <s v="Katarina Andersson"/>
    <s v="NESTE OYJ /51095008 MELTWATER FINLA ND OYSCOR 2119300004318316"/>
    <m/>
    <m/>
    <m/>
    <m/>
    <m/>
    <m/>
    <m/>
    <m/>
    <m/>
    <m/>
    <m/>
    <m/>
    <m/>
    <m/>
    <m/>
    <m/>
    <m/>
    <m/>
    <m/>
    <m/>
    <m/>
    <m/>
    <m/>
    <m/>
    <m/>
    <m/>
    <m/>
    <m/>
    <m/>
    <m/>
    <m/>
    <m/>
    <m/>
    <m/>
    <m/>
    <m/>
  </r>
  <r>
    <s v="421 - Finland"/>
    <d v="2023-08-21T00:00:00"/>
    <s v="AUGUST"/>
    <n v="2023"/>
    <x v="3"/>
    <s v="Deposited"/>
    <s v="PMT-S115-28478"/>
    <s v=""/>
    <s v="EUR"/>
    <n v="-2046"/>
    <n v="-2392.6950000000002"/>
    <n v="2392.6950000000002"/>
    <n v="-2392.6950000000002"/>
    <s v="Tuska Festival Oy"/>
    <s v="Katarina Andersson"/>
    <s v="TUSKA FESTIVAL OY /51095008 MELTWAT ER FINLAND OYSCOR 2119300004290188"/>
    <m/>
    <m/>
    <m/>
    <m/>
    <m/>
    <m/>
    <m/>
    <m/>
    <m/>
    <m/>
    <m/>
    <m/>
    <m/>
    <m/>
    <m/>
    <m/>
    <m/>
    <m/>
    <m/>
    <m/>
    <m/>
    <m/>
    <m/>
    <m/>
    <m/>
    <m/>
    <m/>
    <m/>
    <m/>
    <m/>
    <m/>
    <m/>
    <m/>
    <m/>
    <m/>
    <m/>
  </r>
  <r>
    <s v="421 - Finland"/>
    <d v="2026-01-02T00:00:00"/>
    <s v="JANUARY"/>
    <n v="2026"/>
    <x v="3"/>
    <s v="Deposited"/>
    <s v="PMT-S115-33052"/>
    <s v=""/>
    <s v="EUR"/>
    <n v="-2008"/>
    <n v="-2348.2559999999999"/>
    <n v="2348.2559999999999"/>
    <n v="-2348.2559999999999"/>
    <s v="Spin18 Oy"/>
    <s v="Katarina Andersson"/>
    <s v="SPIN18 OY/EREF/E320999B197104/ORDP//NAME/SPIN18 OY/REMI//CDTRREFTP//CD/SCOR/CDTRREF/2119300004336877SPIN18 OY"/>
    <m/>
    <m/>
    <m/>
    <m/>
    <m/>
    <m/>
    <m/>
    <m/>
    <m/>
    <m/>
    <m/>
    <m/>
    <m/>
    <m/>
    <m/>
    <m/>
    <m/>
    <m/>
    <m/>
    <m/>
    <m/>
    <m/>
    <m/>
    <m/>
    <m/>
    <m/>
    <m/>
    <m/>
    <m/>
    <m/>
    <m/>
    <m/>
    <m/>
    <m/>
    <m/>
    <m/>
  </r>
  <r>
    <s v="421 - Finland"/>
    <d v="2022-07-29T00:00:00"/>
    <s v="JULY"/>
    <n v="2022"/>
    <x v="3"/>
    <s v="Deposited"/>
    <s v="PMT-S115-25775"/>
    <s v=""/>
    <s v="EUR"/>
    <n v="-1860"/>
    <n v="-2175.1770000000001"/>
    <n v="2175.1770000000001"/>
    <n v="-2175.1770000000001"/>
    <s v="Proscreen Finland Oy"/>
    <s v="Katarina Andersson"/>
    <s v=""/>
    <m/>
    <m/>
    <m/>
    <m/>
    <m/>
    <m/>
    <m/>
    <m/>
    <m/>
    <m/>
    <m/>
    <m/>
    <m/>
    <m/>
    <m/>
    <m/>
    <m/>
    <m/>
    <m/>
    <m/>
    <m/>
    <m/>
    <m/>
    <m/>
    <m/>
    <m/>
    <m/>
    <m/>
    <m/>
    <m/>
    <m/>
    <m/>
    <m/>
    <m/>
    <m/>
    <m/>
  </r>
  <r>
    <s v="421 - Finland"/>
    <d v="2022-08-25T00:00:00"/>
    <s v="AUGUST"/>
    <n v="2022"/>
    <x v="3"/>
    <s v="Deposited"/>
    <s v="PMT-S115-25891"/>
    <s v=""/>
    <s v="EUR"/>
    <n v="-1655.4"/>
    <n v="-1935.9079999999999"/>
    <n v="1935.9079999999999"/>
    <n v="-1935.9079999999999"/>
    <s v="Jones Lang LaSalle Finland Oy"/>
    <s v="Katarina Andersson"/>
    <s v="ACH CONCENTRATION CREDIT ACH CASH CONCENTRATION JLL AMERICAS-EDI/EFTPMT"/>
    <m/>
    <m/>
    <m/>
    <m/>
    <m/>
    <m/>
    <m/>
    <m/>
    <m/>
    <m/>
    <m/>
    <m/>
    <m/>
    <m/>
    <m/>
    <m/>
    <m/>
    <m/>
    <m/>
    <m/>
    <m/>
    <m/>
    <m/>
    <m/>
    <m/>
    <m/>
    <m/>
    <m/>
    <m/>
    <m/>
    <m/>
    <m/>
    <m/>
    <m/>
    <m/>
    <m/>
  </r>
  <r>
    <s v="421 - Finland"/>
    <d v="2025-06-30T00:00:00"/>
    <s v="JUNE"/>
    <n v="2025"/>
    <x v="3"/>
    <s v="Not Deposited"/>
    <s v="PMT-S115-32230"/>
    <s v="IN-S115-433181"/>
    <s v="EUR"/>
    <n v="-3720"/>
    <n v="-4350.3540000000003"/>
    <n v="1796.626"/>
    <n v="-3287.768"/>
    <s v="Wolt Oy"/>
    <s v="Katarina Andersson"/>
    <s v="Moved from CM-S115-1949"/>
    <m/>
    <m/>
    <m/>
    <m/>
    <m/>
    <m/>
    <m/>
    <m/>
    <m/>
    <m/>
    <m/>
    <m/>
    <m/>
    <m/>
    <m/>
    <m/>
    <m/>
    <m/>
    <m/>
    <m/>
    <m/>
    <m/>
    <m/>
    <m/>
    <m/>
    <m/>
    <m/>
    <m/>
    <m/>
    <m/>
    <m/>
    <m/>
    <m/>
    <m/>
    <m/>
    <m/>
  </r>
  <r>
    <s v="421 - Finland"/>
    <d v="2024-03-20T00:00:00"/>
    <s v="MARCH"/>
    <n v="2024"/>
    <x v="3"/>
    <s v="Deposited"/>
    <s v="PMT-S115-29987"/>
    <s v=""/>
    <s v="EUR"/>
    <n v="-1426"/>
    <n v="-1667.636"/>
    <n v="1667.636"/>
    <n v="-1667.636"/>
    <s v="ProPellet Oy"/>
    <s v="Katarina Andersson"/>
    <s v="PROPELLET OY /51095008 MELTWATER FINLAND OYSCOR 00002119300004307071"/>
    <m/>
    <m/>
    <m/>
    <m/>
    <m/>
    <m/>
    <m/>
    <m/>
    <m/>
    <m/>
    <m/>
    <m/>
    <m/>
    <m/>
    <m/>
    <m/>
    <m/>
    <m/>
    <m/>
    <m/>
    <m/>
    <m/>
    <m/>
    <m/>
    <m/>
    <m/>
    <m/>
    <m/>
    <m/>
    <m/>
    <m/>
    <m/>
    <m/>
    <m/>
    <m/>
    <m/>
  </r>
  <r>
    <s v="421 - Finland"/>
    <d v="2025-05-15T00:00:00"/>
    <s v="MAY"/>
    <n v="2025"/>
    <x v="3"/>
    <s v="Deposited"/>
    <s v="PMT-S115-32090"/>
    <s v=""/>
    <s v="EUR"/>
    <n v="-1255"/>
    <n v="-1467.66"/>
    <n v="1467.66"/>
    <n v="-1467.66"/>
    <s v="Wolfcom Oy"/>
    <s v="Katarina Andersson"/>
    <s v="IN-S115-432925"/>
    <m/>
    <m/>
    <m/>
    <m/>
    <m/>
    <m/>
    <m/>
    <m/>
    <m/>
    <m/>
    <m/>
    <m/>
    <m/>
    <m/>
    <m/>
    <m/>
    <m/>
    <m/>
    <m/>
    <m/>
    <m/>
    <m/>
    <m/>
    <m/>
    <m/>
    <m/>
    <m/>
    <m/>
    <m/>
    <m/>
    <m/>
    <m/>
    <m/>
    <m/>
    <m/>
    <m/>
  </r>
  <r>
    <s v="421 - Finland"/>
    <d v="2023-08-21T00:00:00"/>
    <s v="AUGUST"/>
    <n v="2023"/>
    <x v="3"/>
    <s v="Deposited"/>
    <s v="PMT-S115-28473"/>
    <s v=""/>
    <s v="EUR"/>
    <n v="-1178"/>
    <n v="-1377.6120000000001"/>
    <n v="1377.6120000000001"/>
    <n v="-1377.6120000000001"/>
    <s v="Suomen Arkkitehtiliitto - Finlands Arkitektförbund ry"/>
    <s v="Katarina Andersson"/>
    <s v="SUOMEN ARKKITEHTILIITTO - /51095008 MELTWATER FINLAND OYSCOR 211930000 4290395"/>
    <m/>
    <m/>
    <m/>
    <m/>
    <m/>
    <m/>
    <m/>
    <m/>
    <m/>
    <m/>
    <m/>
    <m/>
    <m/>
    <m/>
    <m/>
    <m/>
    <m/>
    <m/>
    <m/>
    <m/>
    <m/>
    <m/>
    <m/>
    <m/>
    <m/>
    <m/>
    <m/>
    <m/>
    <m/>
    <m/>
    <m/>
    <m/>
    <m/>
    <m/>
    <m/>
    <m/>
  </r>
  <r>
    <s v="421 - Finland"/>
    <d v="2024-12-17T00:00:00"/>
    <s v="DECEMBER"/>
    <n v="2024"/>
    <x v="3"/>
    <s v="Deposited"/>
    <s v="PMT-S115-31313"/>
    <s v=""/>
    <s v="EUR"/>
    <n v="-1008.8"/>
    <n v="-1179.741"/>
    <n v="1179.741"/>
    <n v="-1179.741"/>
    <s v="Imaqen Oy"/>
    <s v="Katarina Andersson"/>
    <s v="Bankruptcy settlement: IMAQEN OY KONKURSSIPESÄ /51095008 M ELTWATER FINLAND OYSA-S115-FI-18488"/>
    <m/>
    <m/>
    <m/>
    <m/>
    <m/>
    <m/>
    <m/>
    <m/>
    <m/>
    <m/>
    <m/>
    <m/>
    <m/>
    <m/>
    <m/>
    <m/>
    <m/>
    <m/>
    <m/>
    <m/>
    <m/>
    <m/>
    <m/>
    <m/>
    <m/>
    <m/>
    <m/>
    <m/>
    <m/>
    <m/>
    <m/>
    <m/>
    <m/>
    <m/>
    <m/>
    <m/>
  </r>
  <r>
    <s v="421 - Finland"/>
    <d v="2026-05-04T00:00:00"/>
    <s v="MAY"/>
    <n v="2026"/>
    <x v="3"/>
    <s v="Deposited"/>
    <s v="PMT-S115-33604"/>
    <s v=""/>
    <s v="EUR"/>
    <n v="-840.85"/>
    <n v="-983.33199999999999"/>
    <n v="983.33199999999999"/>
    <n v="-1722.4480000000001"/>
    <s v="Bluet Oy Ltd"/>
    <s v="Katarina Andersson"/>
    <s v="Bluet Oy Ltd Scor000021193000043451147000120000008748"/>
    <m/>
    <m/>
    <m/>
    <m/>
    <m/>
    <m/>
    <m/>
    <m/>
    <m/>
    <m/>
    <m/>
    <m/>
    <m/>
    <m/>
    <m/>
    <m/>
    <m/>
    <m/>
    <m/>
    <m/>
    <m/>
    <m/>
    <m/>
    <m/>
    <m/>
    <m/>
    <m/>
    <m/>
    <m/>
    <m/>
    <m/>
    <m/>
    <m/>
    <m/>
    <m/>
    <m/>
  </r>
  <r>
    <s v="421 - Finland"/>
    <d v="2024-09-12T00:00:00"/>
    <s v="SEPTEMBER"/>
    <n v="2024"/>
    <x v="3"/>
    <s v="Deposited"/>
    <s v="PMT-S115-30730"/>
    <s v=""/>
    <s v="EUR"/>
    <n v="-830.8"/>
    <n v="-971.57899999999995"/>
    <n v="971.57899999999995"/>
    <n v="-1943.1579999999999"/>
    <s v="Bamla Agency Oy"/>
    <s v="Katarina Andersson"/>
    <s v="BAMLA AGENCY OY /51095008 MELTWATER FINLAND OY06.09.2024 CM-S115-2009"/>
    <m/>
    <m/>
    <m/>
    <m/>
    <m/>
    <m/>
    <m/>
    <m/>
    <m/>
    <m/>
    <m/>
    <m/>
    <m/>
    <m/>
    <m/>
    <m/>
    <m/>
    <m/>
    <m/>
    <m/>
    <m/>
    <m/>
    <m/>
    <m/>
    <m/>
    <m/>
    <m/>
    <m/>
    <m/>
    <m/>
    <m/>
    <m/>
    <m/>
    <m/>
    <m/>
    <m/>
  </r>
  <r>
    <s v="421 - Finland"/>
    <d v="2024-09-20T00:00:00"/>
    <s v="SEPTEMBER"/>
    <n v="2024"/>
    <x v="3"/>
    <s v="Deposited"/>
    <s v="PMT-S115-30773"/>
    <s v="IN-S115-431652"/>
    <s v="EUR"/>
    <n v="-840.85"/>
    <n v="-983.33199999999999"/>
    <n v="971.57899999999995"/>
    <n v="-1943.1579999999999"/>
    <s v="Bamla Agency Oy"/>
    <s v="Katarina Andersson"/>
    <s v="IN-S115-431652"/>
    <m/>
    <m/>
    <m/>
    <m/>
    <m/>
    <m/>
    <m/>
    <m/>
    <m/>
    <m/>
    <m/>
    <m/>
    <m/>
    <m/>
    <m/>
    <m/>
    <m/>
    <m/>
    <m/>
    <m/>
    <m/>
    <m/>
    <m/>
    <m/>
    <m/>
    <m/>
    <m/>
    <m/>
    <m/>
    <m/>
    <m/>
    <m/>
    <m/>
    <m/>
    <m/>
    <m/>
  </r>
  <r>
    <s v="421 - Finland"/>
    <d v="2025-08-07T00:00:00"/>
    <s v="AUGUST"/>
    <n v="2025"/>
    <x v="3"/>
    <s v="Deposited"/>
    <s v="PMT-S115-32424"/>
    <s v="IN-S115-433340"/>
    <s v="EUR"/>
    <n v="-1302.69"/>
    <n v="-1523.431"/>
    <n v="877.66099999999994"/>
    <n v="-3287.768"/>
    <s v="Wolt Oy"/>
    <s v="Katarina Andersson"/>
    <s v="WOLT OY/EREF/001DOGF030417/ORDP//NAME/WOLT OY/REMI//CDTRREFTP//CD/SCOR/CDTRREF/2119300004332680WOLT OY"/>
    <m/>
    <m/>
    <m/>
    <m/>
    <m/>
    <m/>
    <m/>
    <m/>
    <m/>
    <m/>
    <m/>
    <m/>
    <m/>
    <m/>
    <m/>
    <m/>
    <m/>
    <m/>
    <m/>
    <m/>
    <m/>
    <m/>
    <m/>
    <m/>
    <m/>
    <m/>
    <m/>
    <m/>
    <m/>
    <m/>
    <m/>
    <m/>
    <m/>
    <m/>
    <m/>
    <m/>
  </r>
  <r>
    <s v="421 - Finland"/>
    <d v="2023-10-05T00:00:00"/>
    <s v="OCTOBER"/>
    <n v="2023"/>
    <x v="3"/>
    <s v="Deposited"/>
    <s v="PMT-S115-28761"/>
    <s v=""/>
    <s v="EUR"/>
    <n v="-723.34"/>
    <n v="-845.91"/>
    <n v="845.91"/>
    <n v="-845.91"/>
    <s v="Nomade Collection Ab"/>
    <s v="Katarina Andersson"/>
    <s v="NOMADE COLLECTION AB /51095008 MELT WATER FINLAND OYSCOR 00002119300004 270946"/>
    <m/>
    <m/>
    <m/>
    <m/>
    <m/>
    <m/>
    <m/>
    <m/>
    <m/>
    <m/>
    <m/>
    <m/>
    <m/>
    <m/>
    <m/>
    <m/>
    <m/>
    <m/>
    <m/>
    <m/>
    <m/>
    <m/>
    <m/>
    <m/>
    <m/>
    <m/>
    <m/>
    <m/>
    <m/>
    <m/>
    <m/>
    <m/>
    <m/>
    <m/>
    <m/>
    <m/>
  </r>
  <r>
    <s v="421 - Finland"/>
    <d v="2025-10-02T00:00:00"/>
    <s v="OCTOBER"/>
    <n v="2025"/>
    <x v="3"/>
    <s v="Deposited"/>
    <s v="PMT-S115-32610"/>
    <s v="IN-S115-434511"/>
    <s v="EUR"/>
    <n v="-1472.87"/>
    <n v="-1722.4480000000001"/>
    <n v="739.11599999999999"/>
    <n v="-1722.4480000000001"/>
    <s v="Bluet Oy Ltd"/>
    <s v="Katarina Andersson"/>
    <s v="BLUET OY LTD/EREF/0000023087000120000007989/ORDP//NAME/BLUET OY LTD/REMI//CDTRREFTP//CD/SCOR/CDTRREF/2119300004333139BLUET OY LTD"/>
    <m/>
    <m/>
    <m/>
    <m/>
    <m/>
    <m/>
    <m/>
    <m/>
    <m/>
    <m/>
    <m/>
    <m/>
    <m/>
    <m/>
    <m/>
    <m/>
    <m/>
    <m/>
    <m/>
    <m/>
    <m/>
    <m/>
    <m/>
    <m/>
    <m/>
    <m/>
    <m/>
    <m/>
    <m/>
    <m/>
    <m/>
    <m/>
    <m/>
    <m/>
    <m/>
    <m/>
  </r>
  <r>
    <s v="421 - Finland"/>
    <d v="2023-04-17T00:00:00"/>
    <s v="APRIL"/>
    <n v="2023"/>
    <x v="3"/>
    <s v="Deposited"/>
    <s v="PMT-S115-27832"/>
    <s v="IN-S115-428404"/>
    <s v="EUR"/>
    <n v="-9765"/>
    <n v="-11419.679"/>
    <n v="725.04700000000003"/>
    <n v="-725.04700000000003"/>
    <s v="Helen Oy"/>
    <s v="Katarina Andersson"/>
    <s v=""/>
    <m/>
    <m/>
    <m/>
    <m/>
    <m/>
    <m/>
    <m/>
    <m/>
    <m/>
    <m/>
    <m/>
    <m/>
    <m/>
    <m/>
    <m/>
    <m/>
    <m/>
    <m/>
    <m/>
    <m/>
    <m/>
    <m/>
    <m/>
    <m/>
    <m/>
    <m/>
    <m/>
    <m/>
    <m/>
    <m/>
    <m/>
    <m/>
    <m/>
    <m/>
    <m/>
    <m/>
  </r>
  <r>
    <s v="421 - Finland"/>
    <d v="2025-09-30T00:00:00"/>
    <s v="SEPTEMBER"/>
    <n v="2025"/>
    <x v="3"/>
    <s v="Deposited"/>
    <s v="PMT-S115-32588"/>
    <s v=""/>
    <s v="EUR"/>
    <n v="-552.20000000000005"/>
    <n v="-645.77"/>
    <n v="645.77"/>
    <n v="-3287.768"/>
    <s v="Wolt Oy"/>
    <s v="Katarina Andersson"/>
    <s v="WOLT OY/EREF/001DOGF031878/ORDP//NAME/WOLT OY/REMI//CDTRREFTP//CD/SCOR/CDTRREF/2119300004334646WOLT OY"/>
    <m/>
    <m/>
    <m/>
    <m/>
    <m/>
    <m/>
    <m/>
    <m/>
    <m/>
    <m/>
    <m/>
    <m/>
    <m/>
    <m/>
    <m/>
    <m/>
    <m/>
    <m/>
    <m/>
    <m/>
    <m/>
    <m/>
    <m/>
    <m/>
    <m/>
    <m/>
    <m/>
    <m/>
    <m/>
    <m/>
    <m/>
    <m/>
    <m/>
    <m/>
    <m/>
    <m/>
  </r>
  <r>
    <s v="421 - Finland"/>
    <d v="2025-09-30T00:00:00"/>
    <s v="SEPTEMBER"/>
    <n v="2025"/>
    <x v="3"/>
    <s v="Deposited"/>
    <s v="PMT-S115-32589"/>
    <s v=""/>
    <s v="EUR"/>
    <n v="-552.20000000000005"/>
    <n v="-645.77"/>
    <n v="645.77"/>
    <n v="-3287.768"/>
    <s v="Wolt Oy"/>
    <s v="Katarina Andersson"/>
    <s v="WOLT OY/EREF/001DOGF031836/ORDP//NAME/WOLT OY/REMI//CDTRREFTP//CD/SCOR/CDTRREF/2119300004333401WOLT OY"/>
    <m/>
    <m/>
    <m/>
    <m/>
    <m/>
    <m/>
    <m/>
    <m/>
    <m/>
    <m/>
    <m/>
    <m/>
    <m/>
    <m/>
    <m/>
    <m/>
    <m/>
    <m/>
    <m/>
    <m/>
    <m/>
    <m/>
    <m/>
    <m/>
    <m/>
    <m/>
    <m/>
    <m/>
    <m/>
    <m/>
    <m/>
    <m/>
    <m/>
    <m/>
    <m/>
    <m/>
  </r>
  <r>
    <s v="421 - Finland"/>
    <d v="2025-03-06T00:00:00"/>
    <s v="MARCH"/>
    <n v="2025"/>
    <x v="3"/>
    <s v="Deposited"/>
    <s v="PMT-S115-31820"/>
    <s v="IN-S115-432373"/>
    <s v="EUR"/>
    <n v="-3983.01"/>
    <n v="-4657.9309999999996"/>
    <n v="404.65300000000002"/>
    <n v="-404.65300000000002"/>
    <s v="Drop Design Pool Oy"/>
    <s v="Katarina Andersson"/>
    <s v="INTRUM OY /51095008 MELTWATER FINLA ND OYTilityserittely 06.03.2025 toi meksiantajanumero 3268350"/>
    <m/>
    <m/>
    <m/>
    <m/>
    <m/>
    <m/>
    <m/>
    <m/>
    <m/>
    <m/>
    <m/>
    <m/>
    <m/>
    <m/>
    <m/>
    <m/>
    <m/>
    <m/>
    <m/>
    <m/>
    <m/>
    <m/>
    <m/>
    <m/>
    <m/>
    <m/>
    <m/>
    <m/>
    <m/>
    <m/>
    <m/>
    <m/>
    <m/>
    <m/>
    <m/>
    <m/>
  </r>
  <r>
    <s v="421 - Finland"/>
    <d v="2023-03-01T00:00:00"/>
    <s v="MARCH"/>
    <n v="2023"/>
    <x v="3"/>
    <s v="Deposited"/>
    <s v="PMT-S115-27528"/>
    <s v="IN-S115-428097"/>
    <s v="EUR"/>
    <n v="-4857.08"/>
    <n v="-5680.1120000000001"/>
    <n v="387.18200000000002"/>
    <n v="-5680.1120000000001"/>
    <s v="Diktamen Oy"/>
    <s v="Katarina Andersson"/>
    <s v="overpaid - CM"/>
    <m/>
    <m/>
    <m/>
    <m/>
    <m/>
    <m/>
    <m/>
    <m/>
    <m/>
    <m/>
    <m/>
    <m/>
    <m/>
    <m/>
    <m/>
    <m/>
    <m/>
    <m/>
    <m/>
    <m/>
    <m/>
    <m/>
    <m/>
    <m/>
    <m/>
    <m/>
    <m/>
    <m/>
    <m/>
    <m/>
    <m/>
    <m/>
    <m/>
    <m/>
    <m/>
    <m/>
  </r>
  <r>
    <s v="421 - Finland"/>
    <d v="2025-07-16T00:00:00"/>
    <s v="JULY"/>
    <n v="2025"/>
    <x v="3"/>
    <s v="Deposited"/>
    <s v="PMT-S115-32343"/>
    <s v="IN-S115-433268"/>
    <s v="EUR"/>
    <n v="-1631.5"/>
    <n v="-1907.9580000000001"/>
    <n v="384.52699999999999"/>
    <n v="-384.52699999999999"/>
    <s v="Wolt Enterprises Oy"/>
    <s v="Katarina Andersson"/>
    <s v="IN-S115-433180"/>
    <m/>
    <m/>
    <m/>
    <m/>
    <m/>
    <m/>
    <m/>
    <m/>
    <m/>
    <m/>
    <m/>
    <m/>
    <m/>
    <m/>
    <m/>
    <m/>
    <m/>
    <m/>
    <m/>
    <m/>
    <m/>
    <m/>
    <m/>
    <m/>
    <m/>
    <m/>
    <m/>
    <m/>
    <m/>
    <m/>
    <m/>
    <m/>
    <m/>
    <m/>
    <m/>
    <m/>
  </r>
  <r>
    <s v="421 - Finland"/>
    <d v="2023-12-13T00:00:00"/>
    <s v="DECEMBER"/>
    <n v="2023"/>
    <x v="3"/>
    <s v="Deposited"/>
    <s v="PMT-S115-29244"/>
    <s v=""/>
    <s v="EUR"/>
    <n v="-240.66"/>
    <n v="-281.44"/>
    <n v="281.44"/>
    <n v="-281.44"/>
    <s v="Jolla Oy"/>
    <s v="Katarina Andersson"/>
    <s v="JOLLA OY /51095008 MELTWATER FINLAN D OYJolla Oy (Y: 2399817-6) saneera usohjelma maksuosuus."/>
    <m/>
    <m/>
    <m/>
    <m/>
    <m/>
    <m/>
    <m/>
    <m/>
    <m/>
    <m/>
    <m/>
    <m/>
    <m/>
    <m/>
    <m/>
    <m/>
    <m/>
    <m/>
    <m/>
    <m/>
    <m/>
    <m/>
    <m/>
    <m/>
    <m/>
    <m/>
    <m/>
    <m/>
    <m/>
    <m/>
    <m/>
    <m/>
    <m/>
    <m/>
    <m/>
    <m/>
  </r>
  <r>
    <s v="421 - Finland"/>
    <d v="2025-12-17T00:00:00"/>
    <s v="DECEMBER"/>
    <n v="2025"/>
    <x v="3"/>
    <s v="Deposited"/>
    <s v="PMT-S115-32903"/>
    <s v="IN-S115-433707"/>
    <s v="EUR"/>
    <n v="-10667.5"/>
    <n v="-12475.108"/>
    <n v="172.41200000000001"/>
    <n v="-172.41200000000001"/>
    <s v="Intrum Oy"/>
    <s v="Katarina Andersson"/>
    <s v="INTRUM OY/EREF/EFTPMT 00302537/ORDP//NAME/INTRUM OY/REMI//CDTRREFTP//CD/SCOR/CDTRREF/2119300004337070INTRUM OY"/>
    <m/>
    <m/>
    <m/>
    <m/>
    <m/>
    <m/>
    <m/>
    <m/>
    <m/>
    <m/>
    <m/>
    <m/>
    <m/>
    <m/>
    <m/>
    <m/>
    <m/>
    <m/>
    <m/>
    <m/>
    <m/>
    <m/>
    <m/>
    <m/>
    <m/>
    <m/>
    <m/>
    <m/>
    <m/>
    <m/>
    <m/>
    <m/>
    <m/>
    <m/>
    <m/>
    <m/>
  </r>
  <r>
    <s v="421 - Finland"/>
    <d v="2022-07-14T00:00:00"/>
    <s v="JULY"/>
    <n v="2022"/>
    <x v="3"/>
    <s v="Deposited"/>
    <s v="PMT-S115-25724"/>
    <s v=""/>
    <s v="EUR"/>
    <n v="-114.61"/>
    <n v="-134.03100000000001"/>
    <n v="134.03100000000001"/>
    <n v="7644.5659999999998"/>
    <s v="Lännen Tractors Oy"/>
    <s v="Katarina Andersson"/>
    <s v=""/>
    <m/>
    <m/>
    <m/>
    <m/>
    <m/>
    <m/>
    <m/>
    <m/>
    <m/>
    <m/>
    <m/>
    <m/>
    <m/>
    <m/>
    <m/>
    <m/>
    <m/>
    <m/>
    <m/>
    <m/>
    <m/>
    <m/>
    <m/>
    <m/>
    <m/>
    <m/>
    <m/>
    <m/>
    <m/>
    <m/>
    <m/>
    <m/>
    <m/>
    <m/>
    <m/>
    <m/>
  </r>
  <r>
    <s v="431 - Norway"/>
    <d v="2025-01-24T00:00:00"/>
    <s v="JANUARY"/>
    <n v="2025"/>
    <x v="3"/>
    <s v="Deposited"/>
    <s v="PMT-S127-13685"/>
    <s v=""/>
    <s v="NOK"/>
    <n v="-116550"/>
    <n v="-12475.046"/>
    <n v="12475.046"/>
    <n v="-12475.046"/>
    <s v="Manta Marine Technologies AS"/>
    <s v="Katarina Andersson"/>
    <s v="FAKTURA IN-S127-413698 116.550,00"/>
    <m/>
    <m/>
    <m/>
    <m/>
    <m/>
    <m/>
    <m/>
    <m/>
    <m/>
    <m/>
    <m/>
    <m/>
    <m/>
    <m/>
    <m/>
    <m/>
    <m/>
    <m/>
    <m/>
    <m/>
    <m/>
    <m/>
    <m/>
    <m/>
    <m/>
    <m/>
    <m/>
    <m/>
    <m/>
    <m/>
    <m/>
    <m/>
    <m/>
    <m/>
    <m/>
    <m/>
  </r>
  <r>
    <s v="431 - Norway"/>
    <d v="2024-01-11T00:00:00"/>
    <s v="JANUARY"/>
    <n v="2024"/>
    <x v="3"/>
    <s v="Deposited"/>
    <s v="PMT-S127-13123"/>
    <s v="IN-S127-413125"/>
    <s v="NOK"/>
    <n v="-109911.25"/>
    <n v="-11764.460999999999"/>
    <n v="10229.966"/>
    <n v="-10229.966"/>
    <s v="AKVA GROUP ASA"/>
    <s v="Katarina Andersson"/>
    <s v="IN-S127-413125 11.01.2024 109.911,25"/>
    <m/>
    <m/>
    <m/>
    <m/>
    <m/>
    <m/>
    <m/>
    <m/>
    <m/>
    <m/>
    <m/>
    <m/>
    <m/>
    <m/>
    <m/>
    <m/>
    <m/>
    <m/>
    <m/>
    <m/>
    <m/>
    <m/>
    <m/>
    <m/>
    <m/>
    <m/>
    <m/>
    <m/>
    <m/>
    <m/>
    <m/>
    <m/>
    <m/>
    <m/>
    <m/>
    <m/>
  </r>
  <r>
    <s v="431 - Norway"/>
    <d v="2022-08-01T00:00:00"/>
    <s v="AUGUST"/>
    <n v="2022"/>
    <x v="3"/>
    <s v="Deposited"/>
    <s v="PMT-S127-12138"/>
    <s v="IN-S127-412026"/>
    <s v="NOK"/>
    <n v="-162750"/>
    <n v="-17420.109"/>
    <n v="8710.0550000000003"/>
    <n v="-8710.0550000000003"/>
    <s v="AGDER KOLLEKTIVTRAFIKK AS"/>
    <s v="Katarina Andersson"/>
    <s v=""/>
    <m/>
    <m/>
    <m/>
    <m/>
    <m/>
    <m/>
    <m/>
    <m/>
    <m/>
    <m/>
    <m/>
    <m/>
    <m/>
    <m/>
    <m/>
    <m/>
    <m/>
    <m/>
    <m/>
    <m/>
    <m/>
    <m/>
    <m/>
    <m/>
    <m/>
    <m/>
    <m/>
    <m/>
    <m/>
    <m/>
    <m/>
    <m/>
    <m/>
    <m/>
    <m/>
    <m/>
  </r>
  <r>
    <s v="431 - Norway"/>
    <d v="2023-01-16T00:00:00"/>
    <s v="JANUARY"/>
    <n v="2023"/>
    <x v="3"/>
    <s v="Deposited"/>
    <s v="PMT-S127-12526"/>
    <s v=""/>
    <s v="NOK"/>
    <n v="-76187.5"/>
    <n v="-8154.8050000000003"/>
    <n v="8154.8050000000003"/>
    <n v="-8154.8050000000003"/>
    <s v="TAMPNET AS"/>
    <s v="Katarina Andersson"/>
    <s v="TAMPNET AS"/>
    <m/>
    <m/>
    <m/>
    <m/>
    <m/>
    <m/>
    <m/>
    <m/>
    <m/>
    <m/>
    <m/>
    <m/>
    <m/>
    <m/>
    <m/>
    <m/>
    <m/>
    <m/>
    <m/>
    <m/>
    <m/>
    <m/>
    <m/>
    <m/>
    <m/>
    <m/>
    <m/>
    <m/>
    <m/>
    <m/>
    <m/>
    <m/>
    <m/>
    <m/>
    <m/>
    <m/>
  </r>
  <r>
    <s v="431 - Norway"/>
    <d v="2025-03-07T00:00:00"/>
    <s v="MARCH"/>
    <n v="2025"/>
    <x v="3"/>
    <s v="Deposited"/>
    <s v="PMT-S127-13732"/>
    <s v=""/>
    <s v="NOK"/>
    <n v="-42655"/>
    <n v="-4565.6210000000001"/>
    <n v="4565.6210000000001"/>
    <n v="-12141.629000000001"/>
    <s v="Ergon Nordic AS"/>
    <s v="Katarina Andersson"/>
    <s v="413786 01.01.0001 42.655,00"/>
    <m/>
    <m/>
    <m/>
    <m/>
    <m/>
    <m/>
    <m/>
    <m/>
    <m/>
    <m/>
    <m/>
    <m/>
    <m/>
    <m/>
    <m/>
    <m/>
    <m/>
    <m/>
    <m/>
    <m/>
    <m/>
    <m/>
    <m/>
    <m/>
    <m/>
    <m/>
    <m/>
    <m/>
    <m/>
    <m/>
    <m/>
    <m/>
    <m/>
    <m/>
    <m/>
    <m/>
  </r>
  <r>
    <s v="431 - Norway"/>
    <d v="2025-03-11T00:00:00"/>
    <s v="MARCH"/>
    <n v="2025"/>
    <x v="3"/>
    <s v="Deposited"/>
    <s v="PMT-S127-13740"/>
    <s v=""/>
    <s v="NOK"/>
    <n v="-42655"/>
    <n v="-4565.6210000000001"/>
    <n v="4565.6210000000001"/>
    <n v="-12141.629000000001"/>
    <s v="Ergon Nordic AS"/>
    <s v="Katarina Andersson"/>
    <s v="IN-S127-413786 01.01.0001 42.655,00"/>
    <m/>
    <m/>
    <m/>
    <m/>
    <m/>
    <m/>
    <m/>
    <m/>
    <m/>
    <m/>
    <m/>
    <m/>
    <m/>
    <m/>
    <m/>
    <m/>
    <m/>
    <m/>
    <m/>
    <m/>
    <m/>
    <m/>
    <m/>
    <m/>
    <m/>
    <m/>
    <m/>
    <m/>
    <m/>
    <m/>
    <m/>
    <m/>
    <m/>
    <m/>
    <m/>
    <m/>
  </r>
  <r>
    <s v="431 - Norway"/>
    <d v="2023-06-12T00:00:00"/>
    <s v="JUNE"/>
    <n v="2023"/>
    <x v="3"/>
    <s v="Deposited"/>
    <s v="PMT-S127-12770"/>
    <s v=""/>
    <s v="NOK"/>
    <n v="-36584"/>
    <n v="-3915.8049999999998"/>
    <n v="3915.8049999999998"/>
    <n v="-3915.8049999999998"/>
    <s v="BETONGPARK ANLEGG AS"/>
    <s v="Katarina Andersson"/>
    <s v="LOWELL NORGE AS"/>
    <m/>
    <m/>
    <m/>
    <m/>
    <m/>
    <m/>
    <m/>
    <m/>
    <m/>
    <m/>
    <m/>
    <m/>
    <m/>
    <m/>
    <m/>
    <m/>
    <m/>
    <m/>
    <m/>
    <m/>
    <m/>
    <m/>
    <m/>
    <m/>
    <m/>
    <m/>
    <m/>
    <m/>
    <m/>
    <m/>
    <m/>
    <m/>
    <m/>
    <m/>
    <m/>
    <m/>
  </r>
  <r>
    <s v="431 - Norway"/>
    <d v="2026-04-22T00:00:00"/>
    <s v="APRIL"/>
    <n v="2026"/>
    <x v="3"/>
    <s v="Deposited"/>
    <s v="PMT-S127-14174"/>
    <s v=""/>
    <s v="NOK"/>
    <n v="-34500"/>
    <n v="-3692.7420000000002"/>
    <n v="3692.7420000000002"/>
    <n v="-9499.4449999999997"/>
    <s v="Epax Norway AS"/>
    <s v="Katarina Andersson"/>
    <s v="6535 079740586535 34500.00 34500.00 IBS 34500.00 EPAX NORWAY AS 5805 NO POSTBOKS 444 5805 BERGEN 15039928652 BBAN Meltwater News AS 0158 NO Nedre Vollgate 3 0158 OSLO 50100542177 BBAN CINV IN -S127-414250 34500.00 2026-04-22T00:00:00+02:00 2026-04-22 1 Overføring innland E86535"/>
    <m/>
    <m/>
    <m/>
    <m/>
    <m/>
    <m/>
    <m/>
    <m/>
    <m/>
    <m/>
    <m/>
    <m/>
    <m/>
    <m/>
    <m/>
    <m/>
    <m/>
    <m/>
    <m/>
    <m/>
    <m/>
    <m/>
    <m/>
    <m/>
    <m/>
    <m/>
    <m/>
    <m/>
    <m/>
    <m/>
    <m/>
    <m/>
    <m/>
    <m/>
    <m/>
    <m/>
  </r>
  <r>
    <s v="431 - Norway"/>
    <d v="2022-04-04T00:00:00"/>
    <s v="APRIL"/>
    <n v="2022"/>
    <x v="3"/>
    <s v="Deposited"/>
    <s v="PMT-S127-11927"/>
    <s v="IN-S127-411797"/>
    <s v="NOK"/>
    <n v="-62500"/>
    <n v="-6689.75"/>
    <n v="3344.875"/>
    <n v="-9499.4449999999997"/>
    <s v="Epax Norway AS"/>
    <s v="Katarina Andersson"/>
    <s v=""/>
    <m/>
    <m/>
    <m/>
    <m/>
    <m/>
    <m/>
    <m/>
    <m/>
    <m/>
    <m/>
    <m/>
    <m/>
    <m/>
    <m/>
    <m/>
    <m/>
    <m/>
    <m/>
    <m/>
    <m/>
    <m/>
    <m/>
    <m/>
    <m/>
    <m/>
    <m/>
    <m/>
    <m/>
    <m/>
    <m/>
    <m/>
    <m/>
    <m/>
    <m/>
    <m/>
    <m/>
  </r>
  <r>
    <s v="431 - Norway"/>
    <d v="2023-09-19T00:00:00"/>
    <s v="SEPTEMBER"/>
    <n v="2023"/>
    <x v="3"/>
    <s v="Deposited"/>
    <s v="PMT-S127-12919"/>
    <s v=""/>
    <s v="NOK"/>
    <n v="-28750"/>
    <n v="-3077.2849999999999"/>
    <n v="3077.2849999999999"/>
    <n v="-3077.2849999999999"/>
    <s v="MO INDUSTRIPARK AS"/>
    <s v="Katarina Andersson"/>
    <s v="FAKTURA 412897 28.750,00 (duplicate)"/>
    <m/>
    <m/>
    <m/>
    <m/>
    <m/>
    <m/>
    <m/>
    <m/>
    <m/>
    <m/>
    <m/>
    <m/>
    <m/>
    <m/>
    <m/>
    <m/>
    <m/>
    <m/>
    <m/>
    <m/>
    <m/>
    <m/>
    <m/>
    <m/>
    <m/>
    <m/>
    <m/>
    <m/>
    <m/>
    <m/>
    <m/>
    <m/>
    <m/>
    <m/>
    <m/>
    <m/>
  </r>
  <r>
    <s v="431 - Norway"/>
    <d v="2025-12-09T00:00:00"/>
    <s v="DECEMBER"/>
    <n v="2025"/>
    <x v="3"/>
    <s v="Deposited"/>
    <s v="PMT-S127-14028"/>
    <s v=""/>
    <s v="NOK"/>
    <n v="-28125"/>
    <n v="-3010.3879999999999"/>
    <n v="3010.3879999999999"/>
    <n v="-12141.629000000001"/>
    <s v="Ergon Nordic AS"/>
    <s v="Katarina Andersson"/>
    <s v="0176 28125.00 28125.00 IBS 28125.00 NORSK ENERGIGJENVINNING AS 4628 NO MJÅVANNSVEIEN 118 4628 KRISTIANSAND S 73250510966 BBAN Meltwater News AS 0158 NO Nedre Vollgate 3 0158 OSLO 50100542177 BBAN CINV IN-S127-414098 28125.00 2025-12-09T00:00:00+01:00 2025-12-09 2 B70176"/>
    <m/>
    <m/>
    <m/>
    <m/>
    <m/>
    <m/>
    <m/>
    <m/>
    <m/>
    <m/>
    <m/>
    <m/>
    <m/>
    <m/>
    <m/>
    <m/>
    <m/>
    <m/>
    <m/>
    <m/>
    <m/>
    <m/>
    <m/>
    <m/>
    <m/>
    <m/>
    <m/>
    <m/>
    <m/>
    <m/>
    <m/>
    <m/>
    <m/>
    <m/>
    <m/>
    <m/>
  </r>
  <r>
    <s v="431 - Norway"/>
    <d v="2025-03-07T00:00:00"/>
    <s v="MARCH"/>
    <n v="2025"/>
    <x v="3"/>
    <s v="Deposited"/>
    <s v="PMT-S127-13733"/>
    <s v="IN-S127-413757"/>
    <s v="NOK"/>
    <n v="-54450"/>
    <n v="-5828.11"/>
    <n v="2914.0549999999998"/>
    <n v="-2914.0549999999998"/>
    <s v="RYSTAD ENERGY AS"/>
    <s v="Katarina Andersson"/>
    <s v="FAKTURA IN-S127-413757 27.225,00 FAKTURA 413757 27.225,00"/>
    <m/>
    <m/>
    <m/>
    <m/>
    <m/>
    <m/>
    <m/>
    <m/>
    <m/>
    <m/>
    <m/>
    <m/>
    <m/>
    <m/>
    <m/>
    <m/>
    <m/>
    <m/>
    <m/>
    <m/>
    <m/>
    <m/>
    <m/>
    <m/>
    <m/>
    <m/>
    <m/>
    <m/>
    <m/>
    <m/>
    <m/>
    <m/>
    <m/>
    <m/>
    <m/>
    <m/>
  </r>
  <r>
    <s v="431 - Norway"/>
    <d v="2026-04-30T00:00:00"/>
    <s v="APRIL"/>
    <n v="2026"/>
    <x v="3"/>
    <s v="Deposited"/>
    <s v="PMT-S127-14184"/>
    <s v=""/>
    <s v="NOK"/>
    <n v="-25987.5"/>
    <n v="-2781.598"/>
    <n v="2781.598"/>
    <n v="-2781.598"/>
    <s v="EB MARINE AS"/>
    <s v="Katarina Andersson"/>
    <s v="613 25987.50 EB MARINE AS MIDTG$RDVEIEN 16 4031 60750573188 BBAN 50100542177 BBAN EB MARINE AS 2026-04-30 2 Overføring innland 66761127059"/>
    <m/>
    <m/>
    <m/>
    <m/>
    <m/>
    <m/>
    <m/>
    <m/>
    <m/>
    <m/>
    <m/>
    <m/>
    <m/>
    <m/>
    <m/>
    <m/>
    <m/>
    <m/>
    <m/>
    <m/>
    <m/>
    <m/>
    <m/>
    <m/>
    <m/>
    <m/>
    <m/>
    <m/>
    <m/>
    <m/>
    <m/>
    <m/>
    <m/>
    <m/>
    <m/>
    <m/>
  </r>
  <r>
    <s v="431 - Norway"/>
    <d v="2023-01-11T00:00:00"/>
    <s v="JANUARY"/>
    <n v="2023"/>
    <x v="3"/>
    <s v="Deposited"/>
    <s v="PMT-S127-12514"/>
    <s v=""/>
    <s v="NOK"/>
    <n v="-24500"/>
    <n v="-2622.3820000000001"/>
    <n v="2622.3820000000001"/>
    <n v="-2622.3820000000001"/>
    <s v="Longyearbyen lokalstyre"/>
    <s v="Katarina Andersson"/>
    <s v="FAKTURA IN-S127-412409 24.500,00"/>
    <m/>
    <m/>
    <m/>
    <m/>
    <m/>
    <m/>
    <m/>
    <m/>
    <m/>
    <m/>
    <m/>
    <m/>
    <m/>
    <m/>
    <m/>
    <m/>
    <m/>
    <m/>
    <m/>
    <m/>
    <m/>
    <m/>
    <m/>
    <m/>
    <m/>
    <m/>
    <m/>
    <m/>
    <m/>
    <m/>
    <m/>
    <m/>
    <m/>
    <m/>
    <m/>
    <m/>
  </r>
  <r>
    <s v="431 - Norway"/>
    <d v="2025-04-02T00:00:00"/>
    <s v="APRIL"/>
    <n v="2025"/>
    <x v="3"/>
    <s v="Deposited"/>
    <s v="PMT-S127-13768"/>
    <s v="IN-S127-414250"/>
    <s v="NOK"/>
    <n v="-57500"/>
    <n v="-6154.57"/>
    <n v="2461.828"/>
    <n v="-9499.4449999999997"/>
    <s v="Epax Norway AS"/>
    <s v="Katarina Andersson"/>
    <s v="IN -S127-413802 01.01.0001 28.750,00 IN-S127-413802 01.01.0001 28.750,00"/>
    <m/>
    <m/>
    <m/>
    <m/>
    <m/>
    <m/>
    <m/>
    <m/>
    <m/>
    <m/>
    <m/>
    <m/>
    <m/>
    <m/>
    <m/>
    <m/>
    <m/>
    <m/>
    <m/>
    <m/>
    <m/>
    <m/>
    <m/>
    <m/>
    <m/>
    <m/>
    <m/>
    <m/>
    <m/>
    <m/>
    <m/>
    <m/>
    <m/>
    <m/>
    <m/>
    <m/>
  </r>
  <r>
    <s v="431 - Norway"/>
    <d v="2022-08-23T00:00:00"/>
    <s v="AUGUST"/>
    <n v="2022"/>
    <x v="3"/>
    <s v="Deposited"/>
    <s v="PMT-S127-12187"/>
    <s v=""/>
    <s v="NOK"/>
    <n v="-20267.5"/>
    <n v="-2169.3519999999999"/>
    <n v="2169.3519999999999"/>
    <n v="-2169.3519999999999"/>
    <s v="NETKEM AS"/>
    <s v="Katarina Andersson"/>
    <s v="IN-S127-412059"/>
    <m/>
    <m/>
    <m/>
    <m/>
    <m/>
    <m/>
    <m/>
    <m/>
    <m/>
    <m/>
    <m/>
    <m/>
    <m/>
    <m/>
    <m/>
    <m/>
    <m/>
    <m/>
    <m/>
    <m/>
    <m/>
    <m/>
    <m/>
    <m/>
    <m/>
    <m/>
    <m/>
    <m/>
    <m/>
    <m/>
    <m/>
    <m/>
    <m/>
    <m/>
    <m/>
    <m/>
  </r>
  <r>
    <s v="431 - Norway"/>
    <d v="2022-09-20T00:00:00"/>
    <s v="SEPTEMBER"/>
    <n v="2022"/>
    <x v="3"/>
    <s v="Deposited"/>
    <s v="PMT-S127-12244"/>
    <s v=""/>
    <s v="NOK"/>
    <n v="-18800"/>
    <n v="-2012.277"/>
    <n v="2012.277"/>
    <n v="-2012.277"/>
    <s v="Høyskolen Kristiania - Ernst g Mortensens Stiftelse"/>
    <s v="Katarina Andersson"/>
    <s v=""/>
    <m/>
    <m/>
    <m/>
    <m/>
    <m/>
    <m/>
    <m/>
    <m/>
    <m/>
    <m/>
    <m/>
    <m/>
    <m/>
    <m/>
    <m/>
    <m/>
    <m/>
    <m/>
    <m/>
    <m/>
    <m/>
    <m/>
    <m/>
    <m/>
    <m/>
    <m/>
    <m/>
    <m/>
    <m/>
    <m/>
    <m/>
    <m/>
    <m/>
    <m/>
    <m/>
    <m/>
  </r>
  <r>
    <s v="431 - Norway"/>
    <d v="2023-12-29T00:00:00"/>
    <s v="DECEMBER"/>
    <n v="2023"/>
    <x v="3"/>
    <s v="Deposited"/>
    <s v="PMT-S127-13103"/>
    <s v=""/>
    <s v="NOK"/>
    <n v="-15048.75"/>
    <n v="-1610.758"/>
    <n v="1610.758"/>
    <n v="-1979.731"/>
    <s v="DUMMY CUSTOMER_CASHAPPS 431 - Norway"/>
    <s v="Katarina Andersson"/>
    <s v="050554 28.12.2023 15.048,75"/>
    <m/>
    <m/>
    <m/>
    <m/>
    <m/>
    <m/>
    <m/>
    <m/>
    <m/>
    <m/>
    <m/>
    <m/>
    <m/>
    <m/>
    <m/>
    <m/>
    <m/>
    <m/>
    <m/>
    <m/>
    <m/>
    <m/>
    <m/>
    <m/>
    <m/>
    <m/>
    <m/>
    <m/>
    <m/>
    <m/>
    <m/>
    <m/>
    <m/>
    <m/>
    <m/>
    <m/>
  </r>
  <r>
    <s v="431 - Norway"/>
    <d v="2025-09-26T00:00:00"/>
    <s v="SEPTEMBER"/>
    <n v="2025"/>
    <x v="3"/>
    <s v="Deposited"/>
    <s v="PMT-S127-13942"/>
    <s v=""/>
    <s v="NOK"/>
    <n v="-15000"/>
    <n v="-1605.54"/>
    <n v="1605.54"/>
    <n v="-1605.54"/>
    <s v="Relokator AS"/>
    <s v="Katarina Andersson"/>
    <s v="RELOKATOR AS"/>
    <m/>
    <m/>
    <m/>
    <m/>
    <m/>
    <m/>
    <m/>
    <m/>
    <m/>
    <m/>
    <m/>
    <m/>
    <m/>
    <m/>
    <m/>
    <m/>
    <m/>
    <m/>
    <m/>
    <m/>
    <m/>
    <m/>
    <m/>
    <m/>
    <m/>
    <m/>
    <m/>
    <m/>
    <m/>
    <m/>
    <m/>
    <m/>
    <m/>
    <m/>
    <m/>
    <m/>
  </r>
  <r>
    <s v="431 - Norway"/>
    <d v="2022-06-03T00:00:00"/>
    <s v="JUNE"/>
    <n v="2022"/>
    <x v="3"/>
    <s v="Deposited"/>
    <s v="PMT-S127-12049"/>
    <s v=""/>
    <s v="NOK"/>
    <n v="-12500"/>
    <n v="-1337.95"/>
    <n v="1337.95"/>
    <n v="-2675.9"/>
    <s v="NORGES BOKSEFORBUND"/>
    <s v="Katarina Andersson"/>
    <s v="IN-S127-411920 01.01.0001 12.500,00"/>
    <m/>
    <m/>
    <m/>
    <m/>
    <m/>
    <m/>
    <m/>
    <m/>
    <m/>
    <m/>
    <m/>
    <m/>
    <m/>
    <m/>
    <m/>
    <m/>
    <m/>
    <m/>
    <m/>
    <m/>
    <m/>
    <m/>
    <m/>
    <m/>
    <m/>
    <m/>
    <m/>
    <m/>
    <m/>
    <m/>
    <m/>
    <m/>
    <m/>
    <m/>
    <m/>
    <m/>
  </r>
  <r>
    <s v="431 - Norway"/>
    <d v="2023-05-15T00:00:00"/>
    <s v="MAY"/>
    <n v="2023"/>
    <x v="3"/>
    <s v="Deposited"/>
    <s v="PMT-S127-12722"/>
    <s v=""/>
    <s v="NOK"/>
    <n v="-12500"/>
    <n v="-1337.95"/>
    <n v="1337.95"/>
    <n v="-2675.9"/>
    <s v="NORGES BOKSEFORBUND"/>
    <s v="Katarina Andersson"/>
    <s v="IN-S127-412702 01.01.0001 12.500,00"/>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
  <r>
    <s v="102 - US"/>
    <d v="2025-03-20T00:00:00"/>
    <s v="MARCH"/>
    <x v="0"/>
    <x v="0"/>
    <s v="Deposited"/>
    <s v="PMT-S151-202999"/>
    <s v=""/>
    <s v="USD"/>
    <n v="-81229.11"/>
    <n v="-81229.11"/>
    <n v="81229.11"/>
    <n v="-250567.82"/>
    <s v="DUMMY CUSTOMER_CASHAPPS 102 - US"/>
    <s v=""/>
    <s v="ACH CONCENTRATION CREDIT ACH CORP TRADE PAYMENT FROM MICROSOFT MICROSOFT 0004992933 68251185441010"/>
    <m/>
    <m/>
    <m/>
    <m/>
    <m/>
    <m/>
    <m/>
    <m/>
    <m/>
    <m/>
    <m/>
    <m/>
    <m/>
    <m/>
    <m/>
    <m/>
    <m/>
    <m/>
    <m/>
    <m/>
    <m/>
    <m/>
    <m/>
    <m/>
    <m/>
    <m/>
    <m/>
    <m/>
    <m/>
    <m/>
  </r>
  <r>
    <s v="102 - US"/>
    <d v="2025-09-22T00:00:00"/>
    <s v="SEPTEMBER"/>
    <x v="0"/>
    <x v="0"/>
    <s v="Deposited"/>
    <s v="PMT-S151-211138"/>
    <s v=""/>
    <s v="USD"/>
    <n v="-54445.55"/>
    <n v="-54445.55"/>
    <n v="54445.55"/>
    <n v="-50095.55"/>
    <s v="Microsoft Corporation"/>
    <s v=""/>
    <s v="ACH CONCENTRATION CREDIT ACH CORP TRADE PAYMENT FROM MICROSOFT MICROSOFT 0005317824 68550845931010"/>
    <m/>
    <m/>
    <m/>
    <m/>
    <m/>
    <m/>
    <m/>
    <m/>
    <m/>
    <m/>
    <m/>
    <m/>
    <m/>
    <m/>
    <m/>
    <m/>
    <m/>
    <m/>
    <m/>
    <m/>
    <m/>
    <m/>
    <m/>
    <m/>
    <m/>
    <m/>
    <m/>
    <m/>
    <m/>
    <m/>
  </r>
  <r>
    <s v="102 - US"/>
    <d v="2026-02-18T00:00:00"/>
    <s v="FEBRUARY"/>
    <x v="1"/>
    <x v="0"/>
    <s v="Deposited"/>
    <s v="PMT-S151-219775"/>
    <s v=""/>
    <s v="USD"/>
    <n v="-35534"/>
    <n v="-35534"/>
    <n v="35534"/>
    <n v="-35534"/>
    <s v="Brick Media"/>
    <s v=""/>
    <s v="INCOMING MONEY TRANSFER 53RECD FED JPMORGAN CHASE BANK*ORG:BRICK MEDIA LLC,RO CKY RIVER OH 44116-1815 US,19885 DETRO*OGB:JPMORGAN CHASE BANK,TAMPA,10410 HI GHLAND MANOR DRIVE*BNF:MELTWATER NEWS US INC,REDWOOD CITY         CA/US,275 S HO*STFEDSEQ:B1Q8982R000363*TIME:0341*YOUR REF:WTH OF 26/02/18*OUR REF:0490937 10"/>
    <m/>
    <m/>
    <m/>
    <m/>
    <m/>
    <m/>
    <m/>
    <m/>
    <m/>
    <m/>
    <m/>
    <m/>
    <m/>
    <m/>
    <m/>
    <m/>
    <m/>
    <m/>
    <m/>
    <m/>
    <m/>
    <m/>
    <m/>
    <m/>
    <m/>
    <m/>
    <m/>
    <m/>
    <m/>
    <m/>
  </r>
  <r>
    <s v="102 - US"/>
    <d v="2025-02-03T00:00:00"/>
    <s v="FEBRUARY"/>
    <x v="0"/>
    <x v="0"/>
    <s v="Deposited"/>
    <s v="PMT-S151-200395"/>
    <s v=""/>
    <s v="USD"/>
    <n v="-32613.85"/>
    <n v="-32613.85"/>
    <n v="32613.85"/>
    <n v="-250567.82"/>
    <s v="DUMMY CUSTOMER_CASHAPPS 102 - US"/>
    <s v=""/>
    <s v="ACH CONCENTRATION CREDIT ACH CORP TRADE PAYMENT FROM MICROSOFT MICROSOFT 0004890122 68550745441010"/>
    <m/>
    <m/>
    <m/>
    <m/>
    <m/>
    <m/>
    <m/>
    <m/>
    <m/>
    <m/>
    <m/>
    <m/>
    <m/>
    <m/>
    <m/>
    <m/>
    <m/>
    <m/>
    <m/>
    <m/>
    <m/>
    <m/>
    <m/>
    <m/>
    <m/>
    <m/>
    <m/>
    <m/>
    <m/>
    <m/>
  </r>
  <r>
    <s v="102 - US"/>
    <d v="2022-10-17T00:00:00"/>
    <s v="OCTOBER"/>
    <x v="2"/>
    <x v="0"/>
    <s v="Deposited"/>
    <s v="PMT-S151-156272"/>
    <s v=""/>
    <s v="USD"/>
    <n v="-27218.77"/>
    <n v="-27218.77"/>
    <n v="27218.77"/>
    <n v="-27218.77"/>
    <s v="ComplySci"/>
    <s v=""/>
    <s v="ACH CONCENTRATION CREDIT ACH CASH CONCENTRATION COMPLYSCI-PAYMENT ComplySci Payment 46810"/>
    <m/>
    <m/>
    <m/>
    <m/>
    <m/>
    <m/>
    <m/>
    <m/>
    <m/>
    <m/>
    <m/>
    <m/>
    <m/>
    <m/>
    <m/>
    <m/>
    <m/>
    <m/>
    <m/>
    <m/>
    <m/>
    <m/>
    <m/>
    <m/>
    <m/>
    <m/>
    <m/>
    <m/>
    <m/>
    <m/>
  </r>
  <r>
    <s v="102 - US"/>
    <d v="2025-07-18T00:00:00"/>
    <s v="JULY"/>
    <x v="0"/>
    <x v="0"/>
    <s v="Deposited"/>
    <s v="PMT-S151-208003"/>
    <s v=""/>
    <s v="USD"/>
    <n v="-25699.72"/>
    <n v="-25699.72"/>
    <n v="25699.72"/>
    <n v="-250567.82"/>
    <s v="DUMMY CUSTOMER_CASHAPPS 102 - US"/>
    <s v=""/>
    <s v="ACH CONCENTRATION CREDIT ACH CASH CONCENTRATION ENVIOLOL-PAYMENTS ENVIOLOL  PAYMENTS 0000010593"/>
    <m/>
    <m/>
    <m/>
    <m/>
    <m/>
    <m/>
    <m/>
    <m/>
    <m/>
    <m/>
    <m/>
    <m/>
    <m/>
    <m/>
    <m/>
    <m/>
    <m/>
    <m/>
    <m/>
    <m/>
    <m/>
    <m/>
    <m/>
    <m/>
    <m/>
    <m/>
    <m/>
    <m/>
    <m/>
    <m/>
  </r>
  <r>
    <s v="102 - US"/>
    <d v="2025-06-30T00:00:00"/>
    <s v="JUNE"/>
    <x v="0"/>
    <x v="0"/>
    <s v="Deposited"/>
    <s v="PMT-S151-207105"/>
    <s v=""/>
    <s v="USD"/>
    <n v="-24128"/>
    <n v="-24128"/>
    <n v="24128"/>
    <n v="-250567.82"/>
    <s v="DUMMY CUSTOMER_CASHAPPS 102 - US"/>
    <s v=""/>
    <s v="ACH CONCENTRATION CREDIT ACH CORP TRADE PAYMENT FROM MICROSOFT MICROSOFT 0005162418 68500854311010"/>
    <m/>
    <m/>
    <m/>
    <m/>
    <m/>
    <m/>
    <m/>
    <m/>
    <m/>
    <m/>
    <m/>
    <m/>
    <m/>
    <m/>
    <m/>
    <m/>
    <m/>
    <m/>
    <m/>
    <m/>
    <m/>
    <m/>
    <m/>
    <m/>
    <m/>
    <m/>
    <m/>
    <m/>
    <m/>
    <m/>
  </r>
  <r>
    <s v="102 - US"/>
    <d v="2026-04-06T00:00:00"/>
    <s v="APRIL"/>
    <x v="1"/>
    <x v="0"/>
    <s v="Deposited"/>
    <s v="PMT-S151-222326"/>
    <s v=""/>
    <s v="USD"/>
    <n v="-20913.77"/>
    <n v="-20913.77"/>
    <n v="20913.77"/>
    <n v="-20913.77"/>
    <s v="Camp Chef"/>
    <s v=""/>
    <s v="ACH CONCENTRATION CREDIT ACH CASH CONCENTRATION BUSHNELL OPER-PAYMENT BUSHNELL  PAYMENT 2021416"/>
    <m/>
    <m/>
    <m/>
    <m/>
    <m/>
    <m/>
    <m/>
    <m/>
    <m/>
    <m/>
    <m/>
    <m/>
    <m/>
    <m/>
    <m/>
    <m/>
    <m/>
    <m/>
    <m/>
    <m/>
    <m/>
    <m/>
    <m/>
    <m/>
    <m/>
    <m/>
    <m/>
    <m/>
    <m/>
    <m/>
  </r>
  <r>
    <s v="102 - US"/>
    <d v="2026-04-15T00:00:00"/>
    <s v="APRIL"/>
    <x v="1"/>
    <x v="0"/>
    <s v="Deposited"/>
    <s v="PMT-S151-222780"/>
    <s v=""/>
    <s v="USD"/>
    <n v="-20698"/>
    <n v="-20698"/>
    <n v="20698"/>
    <n v="-20698"/>
    <s v="Culloton + Bauer Luce"/>
    <s v=""/>
    <s v="ACH CONCENTRATION CREDIT ACH CASH CONCENTRATION CULLOTON STRATEG-ACH PAYMEN Culloton  ACH Paymen 95267"/>
    <m/>
    <m/>
    <m/>
    <m/>
    <m/>
    <m/>
    <m/>
    <m/>
    <m/>
    <m/>
    <m/>
    <m/>
    <m/>
    <m/>
    <m/>
    <m/>
    <m/>
    <m/>
    <m/>
    <m/>
    <m/>
    <m/>
    <m/>
    <m/>
    <m/>
    <m/>
    <m/>
    <m/>
    <m/>
    <m/>
  </r>
  <r>
    <s v="102 - US"/>
    <d v="2025-08-20T00:00:00"/>
    <s v="AUGUST"/>
    <x v="0"/>
    <x v="0"/>
    <s v="Deposited"/>
    <s v="PMT-S151-209700"/>
    <s v=""/>
    <s v="USD"/>
    <n v="-20000"/>
    <n v="-20000"/>
    <n v="20000"/>
    <n v="-50095.55"/>
    <s v="Microsoft Corporation"/>
    <s v=""/>
    <s v="ACH CONCENTRATION CREDIT ACH CORP TRADE PAYMENT FROM MICROSOFT MICROSOFT 0005263117 68151120631010"/>
    <m/>
    <m/>
    <m/>
    <m/>
    <m/>
    <m/>
    <m/>
    <m/>
    <m/>
    <m/>
    <m/>
    <m/>
    <m/>
    <m/>
    <m/>
    <m/>
    <m/>
    <m/>
    <m/>
    <m/>
    <m/>
    <m/>
    <m/>
    <m/>
    <m/>
    <m/>
    <m/>
    <m/>
    <m/>
    <m/>
  </r>
  <r>
    <s v="102 - US"/>
    <d v="2026-03-27T00:00:00"/>
    <s v="MARCH"/>
    <x v="1"/>
    <x v="0"/>
    <s v="Deposited"/>
    <s v="PMT-S151-221843"/>
    <s v="PMT-S151-221843"/>
    <s v="USD"/>
    <n v="-39600"/>
    <n v="-39600"/>
    <n v="19800"/>
    <n v="-19800"/>
    <s v="Blue Learning"/>
    <s v=""/>
    <s v="ACH CONCENTRATION CREDIT ACH CASH CONCENTRATION BLUE LEARNING OP-CORP PAY BLUE LEAR CORP PAY 10957"/>
    <m/>
    <m/>
    <m/>
    <m/>
    <m/>
    <m/>
    <m/>
    <m/>
    <m/>
    <m/>
    <m/>
    <m/>
    <m/>
    <m/>
    <m/>
    <m/>
    <m/>
    <m/>
    <m/>
    <m/>
    <m/>
    <m/>
    <m/>
    <m/>
    <m/>
    <m/>
    <m/>
    <m/>
    <m/>
    <m/>
  </r>
  <r>
    <s v="102 - US"/>
    <d v="2026-04-27T00:00:00"/>
    <s v="APRIL"/>
    <x v="1"/>
    <x v="0"/>
    <s v="Deposited"/>
    <s v="PMT-S151-223322"/>
    <s v=""/>
    <s v="USD"/>
    <n v="-19350"/>
    <n v="-19350"/>
    <n v="19350"/>
    <n v="-19350"/>
    <s v="Gaudenzia, Inc"/>
    <s v=""/>
    <s v=""/>
    <m/>
    <m/>
    <m/>
    <m/>
    <m/>
    <m/>
    <m/>
    <m/>
    <m/>
    <m/>
    <m/>
    <m/>
    <m/>
    <m/>
    <m/>
    <m/>
    <m/>
    <m/>
    <m/>
    <m/>
    <m/>
    <m/>
    <m/>
    <m/>
    <m/>
    <m/>
    <m/>
    <m/>
    <m/>
    <m/>
  </r>
  <r>
    <s v="102 - US"/>
    <d v="2023-05-03T00:00:00"/>
    <s v="MAY"/>
    <x v="3"/>
    <x v="0"/>
    <s v="Deposited"/>
    <s v="PMT-S151-167535"/>
    <s v=""/>
    <s v="USD"/>
    <n v="-18060"/>
    <n v="-18060"/>
    <n v="18060"/>
    <n v="-18060"/>
    <s v="Sun Valley Resort"/>
    <s v=""/>
    <s v="CHECK"/>
    <m/>
    <m/>
    <m/>
    <m/>
    <m/>
    <m/>
    <m/>
    <m/>
    <m/>
    <m/>
    <m/>
    <m/>
    <m/>
    <m/>
    <m/>
    <m/>
    <m/>
    <m/>
    <m/>
    <m/>
    <m/>
    <m/>
    <m/>
    <m/>
    <m/>
    <m/>
    <m/>
    <m/>
    <m/>
    <m/>
  </r>
  <r>
    <s v="102 - US"/>
    <d v="2022-04-01T00:00:00"/>
    <s v="APRIL"/>
    <x v="2"/>
    <x v="0"/>
    <s v="Deposited"/>
    <s v="PMT-S151-145279"/>
    <s v=""/>
    <s v="USD"/>
    <n v="-17850.400000000001"/>
    <n v="-17850.400000000001"/>
    <n v="17850.400000000001"/>
    <n v="-17850.400000000001"/>
    <s v="Netchoice"/>
    <s v=""/>
    <s v="FOREIGN REMITTANCE CREDIT 33RECD CHIP WELLS FARGO BANK,SAN FRANCISCO,CA*O RG:NETCHOICE,US 20005-3417,WASHINGTON           DC,1401 K S*BNF:MELTWATER NEW S US INC,SAN FRANCISCO        CA/US,STE 100*OBI:INVOICE S151 535230*STCHIPSEQ :0499781*TIME:1511*YOUR REF:643*OUR REF:091587415"/>
    <m/>
    <m/>
    <m/>
    <m/>
    <m/>
    <m/>
    <m/>
    <m/>
    <m/>
    <m/>
    <m/>
    <m/>
    <m/>
    <m/>
    <m/>
    <m/>
    <m/>
    <m/>
    <m/>
    <m/>
    <m/>
    <m/>
    <m/>
    <m/>
    <m/>
    <m/>
    <m/>
    <m/>
    <m/>
    <m/>
  </r>
  <r>
    <s v="102 - US"/>
    <d v="2026-04-20T00:00:00"/>
    <s v="APRIL"/>
    <x v="1"/>
    <x v="0"/>
    <s v="Deposited"/>
    <s v="PMT-S151-223019"/>
    <s v=""/>
    <s v="USD"/>
    <n v="-17200"/>
    <n v="-17200"/>
    <n v="17200"/>
    <n v="0"/>
    <s v="Gordon State College"/>
    <s v=""/>
    <s v="ACH CONCENTRATION CREDIT ACH CORP TRADE PAYMENT FROM Gordon State Col Gordon St CTX 0000039074"/>
    <m/>
    <m/>
    <m/>
    <m/>
    <m/>
    <m/>
    <m/>
    <m/>
    <m/>
    <m/>
    <m/>
    <m/>
    <m/>
    <m/>
    <m/>
    <m/>
    <m/>
    <m/>
    <m/>
    <m/>
    <m/>
    <m/>
    <m/>
    <m/>
    <m/>
    <m/>
    <m/>
    <m/>
    <m/>
    <m/>
  </r>
  <r>
    <s v="102 - US"/>
    <d v="2022-12-12T00:00:00"/>
    <s v="DECEMBER"/>
    <x v="2"/>
    <x v="0"/>
    <s v="Deposited"/>
    <s v="PMT-S151-159463"/>
    <s v=""/>
    <s v="USD"/>
    <n v="-16500"/>
    <n v="-16500"/>
    <n v="16500"/>
    <n v="3500"/>
    <s v="Bayhealth Medical Center"/>
    <s v=""/>
    <s v="CHECK"/>
    <m/>
    <m/>
    <m/>
    <m/>
    <m/>
    <m/>
    <m/>
    <m/>
    <m/>
    <m/>
    <m/>
    <m/>
    <m/>
    <m/>
    <m/>
    <m/>
    <m/>
    <m/>
    <m/>
    <m/>
    <m/>
    <m/>
    <m/>
    <m/>
    <m/>
    <m/>
    <m/>
    <m/>
    <m/>
    <m/>
  </r>
  <r>
    <s v="102 - US"/>
    <d v="2026-05-01T00:00:00"/>
    <s v="MAY"/>
    <x v="1"/>
    <x v="0"/>
    <s v="Deposited"/>
    <s v="PMT-S151-223708"/>
    <s v=""/>
    <s v="USD"/>
    <n v="-16483"/>
    <n v="-16483"/>
    <n v="16483"/>
    <n v="-16483"/>
    <s v="Washington Times Global Media Group"/>
    <s v="Jordan Irvine"/>
    <s v="ACH CREDIT ACH DEPOSIT FROM WASHINGTON TIMES-CREDITS WASHINGTO CREDITS    TWT-22920"/>
    <m/>
    <m/>
    <m/>
    <m/>
    <m/>
    <m/>
    <m/>
    <m/>
    <m/>
    <m/>
    <m/>
    <m/>
    <m/>
    <m/>
    <m/>
    <m/>
    <m/>
    <m/>
    <m/>
    <m/>
    <m/>
    <m/>
    <m/>
    <m/>
    <m/>
    <m/>
    <m/>
    <m/>
    <m/>
    <m/>
  </r>
  <r>
    <s v="102 - US"/>
    <d v="2026-02-03T00:00:00"/>
    <s v="FEBRUARY"/>
    <x v="1"/>
    <x v="0"/>
    <s v="Deposited"/>
    <s v="PMT-S151-218617"/>
    <s v="IN-S151-589402"/>
    <s v="USD"/>
    <n v="-16000"/>
    <n v="-16000"/>
    <n v="15999.84"/>
    <n v="-15999.84"/>
    <s v="West Palm Beach Downtown Development Authority"/>
    <s v="Jose Castellanos"/>
    <s v=""/>
    <m/>
    <m/>
    <m/>
    <m/>
    <m/>
    <m/>
    <m/>
    <m/>
    <m/>
    <m/>
    <m/>
    <m/>
    <m/>
    <m/>
    <m/>
    <m/>
    <m/>
    <m/>
    <m/>
    <m/>
    <m/>
    <m/>
    <m/>
    <m/>
    <m/>
    <m/>
    <m/>
    <m/>
    <m/>
    <m/>
  </r>
  <r>
    <s v="102 - US"/>
    <d v="2022-04-29T00:00:00"/>
    <s v="APRIL"/>
    <x v="2"/>
    <x v="0"/>
    <s v="Deposited"/>
    <s v="PMT-S151-146709"/>
    <s v=""/>
    <s v="USD"/>
    <n v="-15750"/>
    <n v="-15750"/>
    <n v="15750"/>
    <n v="-15750"/>
    <s v="Kean University"/>
    <s v="Kristin Walsh"/>
    <s v=""/>
    <m/>
    <m/>
    <m/>
    <m/>
    <m/>
    <m/>
    <m/>
    <m/>
    <m/>
    <m/>
    <m/>
    <m/>
    <m/>
    <m/>
    <m/>
    <m/>
    <m/>
    <m/>
    <m/>
    <m/>
    <m/>
    <m/>
    <m/>
    <m/>
    <m/>
    <m/>
    <m/>
    <m/>
    <m/>
    <m/>
  </r>
  <r>
    <s v="102 - US"/>
    <d v="2026-04-27T00:00:00"/>
    <s v="APRIL"/>
    <x v="1"/>
    <x v="0"/>
    <s v="Deposited"/>
    <s v="PMT-S151-223397"/>
    <s v=""/>
    <s v="USD"/>
    <n v="-15000"/>
    <n v="-15000"/>
    <n v="15000"/>
    <n v="-15000"/>
    <s v="Nautilus Solar Energy, LLC"/>
    <s v=""/>
    <s v="ACH CONCENTRATION CREDIT ACH CASH CONCENTRATION NAUTILUS SOLAR E-ACH PMT NAUTILUS  ACH Pmt 11216430243"/>
    <m/>
    <m/>
    <m/>
    <m/>
    <m/>
    <m/>
    <m/>
    <m/>
    <m/>
    <m/>
    <m/>
    <m/>
    <m/>
    <m/>
    <m/>
    <m/>
    <m/>
    <m/>
    <m/>
    <m/>
    <m/>
    <m/>
    <m/>
    <m/>
    <m/>
    <m/>
    <m/>
    <m/>
    <m/>
    <m/>
  </r>
  <r>
    <s v="102 - US"/>
    <d v="2025-12-05T00:00:00"/>
    <s v="DECEMBER"/>
    <x v="0"/>
    <x v="0"/>
    <s v="Deposited"/>
    <s v="PMT-S151-215069"/>
    <s v=""/>
    <s v="USD"/>
    <n v="-14145.99"/>
    <n v="-14145.99"/>
    <n v="14145.99"/>
    <n v="154725.09"/>
    <s v="Amazon.com Services LLC"/>
    <s v=""/>
    <s v="ACH CONCENTRATION CREDIT ACH CASH CONCENTRATION AMAZON.COM-EDI PYMNTS AMAZON.CO EDI PYMNTS DAS4VG6U2FWEEBQ"/>
    <m/>
    <m/>
    <m/>
    <m/>
    <m/>
    <m/>
    <m/>
    <m/>
    <m/>
    <m/>
    <m/>
    <m/>
    <m/>
    <m/>
    <m/>
    <m/>
    <m/>
    <m/>
    <m/>
    <m/>
    <m/>
    <m/>
    <m/>
    <m/>
    <m/>
    <m/>
    <m/>
    <m/>
    <m/>
    <m/>
  </r>
  <r>
    <s v="102 - US"/>
    <d v="2024-11-18T00:00:00"/>
    <s v="NOVEMBER"/>
    <x v="4"/>
    <x v="0"/>
    <s v="Deposited"/>
    <s v="PMT-S151-196679"/>
    <s v=""/>
    <s v="USD"/>
    <n v="-13975"/>
    <n v="-13975"/>
    <n v="13975"/>
    <n v="-250567.82"/>
    <s v="DUMMY CUSTOMER_CASHAPPS 102 - US"/>
    <s v=""/>
    <s v="FOREIGN REMITTANCE CREDIT 33RECD CHIP JPMORGAN CHASE BANK*ORG:BYTECHIP LLC,UNITED STATES,US ,8 THE GREEN, SUITE B, DOVE*OGB:RD WALLET TECHNOLOGIES LIMITED,CAUSEWAY BAY,535 JAFFE RO*BNF:MELTWATER NEWS US INC,REDWOOD CITY CA/US,STE 165*OBI:202411080803*STCHIPSEQ:00209649*TIME:0248 *YOUR REF:1513OT8581513*OUR REF:323200531"/>
    <m/>
    <m/>
    <m/>
    <m/>
    <m/>
    <m/>
    <m/>
    <m/>
    <m/>
    <m/>
    <m/>
    <m/>
    <m/>
    <m/>
    <m/>
    <m/>
    <m/>
    <m/>
    <m/>
    <m/>
    <m/>
    <m/>
    <m/>
    <m/>
    <m/>
    <m/>
    <m/>
    <m/>
    <m/>
    <m/>
  </r>
  <r>
    <s v="102 - US"/>
    <d v="2022-05-13T00:00:00"/>
    <s v="MAY"/>
    <x v="2"/>
    <x v="0"/>
    <s v="Deposited"/>
    <s v="PMT-S151-147498"/>
    <s v=""/>
    <s v="USD"/>
    <n v="-13650"/>
    <n v="-13650"/>
    <n v="13650"/>
    <n v="-13650"/>
    <s v="Florida Dept. of Agriculture and Consumer Services"/>
    <s v="Jordan Irvine"/>
    <s v="CHECK"/>
    <m/>
    <m/>
    <m/>
    <m/>
    <m/>
    <m/>
    <m/>
    <m/>
    <m/>
    <m/>
    <m/>
    <m/>
    <m/>
    <m/>
    <m/>
    <m/>
    <m/>
    <m/>
    <m/>
    <m/>
    <m/>
    <m/>
    <m/>
    <m/>
    <m/>
    <m/>
    <m/>
    <m/>
    <m/>
    <m/>
  </r>
  <r>
    <s v="102 - US"/>
    <d v="2025-09-10T00:00:00"/>
    <s v="SEPTEMBER"/>
    <x v="0"/>
    <x v="0"/>
    <s v="Deposited"/>
    <s v="PMT-S151-210583"/>
    <s v=""/>
    <s v="USD"/>
    <n v="-13564.62"/>
    <n v="-13564.62"/>
    <n v="13564.62"/>
    <n v="-13564.62"/>
    <s v="Cubic Corporation"/>
    <s v="Jose Castellanos"/>
    <s v="Customer refund ACH CONCENTRATION CREDIT ACH CASH CONCENTRATION CUBIC CORPORATIO-EDI/ACH Cubic Cor EDI/ACH                                                10152000245 624"/>
    <m/>
    <m/>
    <m/>
    <m/>
    <m/>
    <m/>
    <m/>
    <m/>
    <m/>
    <m/>
    <m/>
    <m/>
    <m/>
    <m/>
    <m/>
    <m/>
    <m/>
    <m/>
    <m/>
    <m/>
    <m/>
    <m/>
    <m/>
    <m/>
    <m/>
    <m/>
    <m/>
    <m/>
    <m/>
    <m/>
  </r>
  <r>
    <s v="102 - US"/>
    <d v="2023-08-29T00:00:00"/>
    <s v="AUGUST"/>
    <x v="3"/>
    <x v="0"/>
    <s v="Deposited"/>
    <s v="PMT-S151-173898"/>
    <s v=""/>
    <s v="USD"/>
    <n v="-13500"/>
    <n v="-13500"/>
    <n v="13500"/>
    <n v="-13500"/>
    <s v="Versant Health"/>
    <s v=""/>
    <s v="CHECK"/>
    <m/>
    <m/>
    <m/>
    <m/>
    <m/>
    <m/>
    <m/>
    <m/>
    <m/>
    <m/>
    <m/>
    <m/>
    <m/>
    <m/>
    <m/>
    <m/>
    <m/>
    <m/>
    <m/>
    <m/>
    <m/>
    <m/>
    <m/>
    <m/>
    <m/>
    <m/>
    <m/>
    <m/>
    <m/>
    <m/>
  </r>
  <r>
    <s v="102 - US"/>
    <d v="2023-06-08T00:00:00"/>
    <s v="JUNE"/>
    <x v="3"/>
    <x v="0"/>
    <s v="Deposited"/>
    <s v="PMT-S151-169476"/>
    <s v=""/>
    <s v="USD"/>
    <n v="-12980"/>
    <n v="-12980"/>
    <n v="12980"/>
    <n v="-250567.82"/>
    <s v="DUMMY CUSTOMER_CASHAPPS 102 - US"/>
    <s v=""/>
    <s v="ACH CONCENTRATION CREDIT ACH CASH CONCENTRATION DALLAS FOUNDATIO-CORP PAY DALLAS FO CORP PAY 1504"/>
    <m/>
    <m/>
    <m/>
    <m/>
    <m/>
    <m/>
    <m/>
    <m/>
    <m/>
    <m/>
    <m/>
    <m/>
    <m/>
    <m/>
    <m/>
    <m/>
    <m/>
    <m/>
    <m/>
    <m/>
    <m/>
    <m/>
    <m/>
    <m/>
    <m/>
    <m/>
    <m/>
    <m/>
    <m/>
    <m/>
  </r>
  <r>
    <s v="102 - US"/>
    <d v="2022-09-26T00:00:00"/>
    <s v="SEPTEMBER"/>
    <x v="2"/>
    <x v="0"/>
    <s v="Deposited"/>
    <s v="PMT-S151-154814"/>
    <s v=""/>
    <s v="USD"/>
    <n v="-11550"/>
    <n v="-11550"/>
    <n v="11550"/>
    <n v="-11550"/>
    <s v="AmeriCU Credit Union"/>
    <s v=""/>
    <s v="CHECK"/>
    <m/>
    <m/>
    <m/>
    <m/>
    <m/>
    <m/>
    <m/>
    <m/>
    <m/>
    <m/>
    <m/>
    <m/>
    <m/>
    <m/>
    <m/>
    <m/>
    <m/>
    <m/>
    <m/>
    <m/>
    <m/>
    <m/>
    <m/>
    <m/>
    <m/>
    <m/>
    <m/>
    <m/>
    <m/>
    <m/>
  </r>
  <r>
    <s v="102 - US"/>
    <d v="2023-09-05T00:00:00"/>
    <s v="SEPTEMBER"/>
    <x v="3"/>
    <x v="0"/>
    <s v="Deposited"/>
    <s v="PMT-S151-174242"/>
    <s v="IN-S151-555435"/>
    <s v="USD"/>
    <n v="-22698.13"/>
    <n v="-22698.13"/>
    <n v="11349.07"/>
    <n v="-11349.07"/>
    <s v="Drive Agency, LLC"/>
    <s v="Yangzom Vitali-116"/>
    <s v="ACH CREDIT ACH DEPOSIT FROM GREENBERG QUINLA-ACH PAYMNT INV IN-S151-548883"/>
    <m/>
    <m/>
    <m/>
    <m/>
    <m/>
    <m/>
    <m/>
    <m/>
    <m/>
    <m/>
    <m/>
    <m/>
    <m/>
    <m/>
    <m/>
    <m/>
    <m/>
    <m/>
    <m/>
    <m/>
    <m/>
    <m/>
    <m/>
    <m/>
    <m/>
    <m/>
    <m/>
    <m/>
    <m/>
    <m/>
  </r>
  <r>
    <s v="102 - US"/>
    <d v="2026-04-24T00:00:00"/>
    <s v="APRIL"/>
    <x v="1"/>
    <x v="0"/>
    <s v="Deposited"/>
    <s v="PMT-S151-223327"/>
    <s v=""/>
    <s v="USD"/>
    <n v="-9900"/>
    <n v="-9900"/>
    <n v="9900"/>
    <n v="-250567.82"/>
    <s v="DUMMY CUSTOMER_CASHAPPS 102 - US"/>
    <s v=""/>
    <s v="ACH CONCENTRATION CREDIT ACH CASH CONCENTRATION COMMISSION L'UNI-PAYMENT COMMISSIO PAYMENT    KQ3LUSEQGD69"/>
    <m/>
    <m/>
    <m/>
    <m/>
    <m/>
    <m/>
    <m/>
    <m/>
    <m/>
    <m/>
    <m/>
    <m/>
    <m/>
    <m/>
    <m/>
    <m/>
    <m/>
    <m/>
    <m/>
    <m/>
    <m/>
    <m/>
    <m/>
    <m/>
    <m/>
    <m/>
    <m/>
    <m/>
    <m/>
    <m/>
  </r>
  <r>
    <s v="102 - US"/>
    <d v="2023-07-07T00:00:00"/>
    <s v="JULY"/>
    <x v="3"/>
    <x v="0"/>
    <s v="Deposited"/>
    <s v="PMT-S151-171074"/>
    <s v=""/>
    <s v="USD"/>
    <n v="-9695"/>
    <n v="-9695"/>
    <n v="9695"/>
    <n v="-10420"/>
    <s v="Amarin Pharma, Inc."/>
    <s v="Sarah Shoemaker-MW"/>
    <s v="FOREIGN REMITTANCE CREDIT 33RECD CHIP JPMORGAN CHASE BANK*ORG:AMARIN SWITZERLAND GMBH,CH/ZUG 6300,BAARERSTRASSE 75*OGB:JPMORGAN CHASE BANK,N.A.,ZUERICH,DREI KOENIGSTRASSE 21*BNF:MELTWATER NEWS US INC,REDWOOD CITY         CA/US,STE 165 *OBI:/ROC/714*STCHIPSEQ:0157130*TIME:0207*YOUR REF:SWF OF 23/07/07*OUR REF:18 8409072"/>
    <m/>
    <m/>
    <m/>
    <m/>
    <m/>
    <m/>
    <m/>
    <m/>
    <m/>
    <m/>
    <m/>
    <m/>
    <m/>
    <m/>
    <m/>
    <m/>
    <m/>
    <m/>
    <m/>
    <m/>
    <m/>
    <m/>
    <m/>
    <m/>
    <m/>
    <m/>
    <m/>
    <m/>
    <m/>
    <m/>
  </r>
  <r>
    <s v="102 - US"/>
    <d v="2025-01-27T00:00:00"/>
    <s v="JANUARY"/>
    <x v="0"/>
    <x v="0"/>
    <s v="Deposited"/>
    <s v="PMT-S151-199815"/>
    <s v=""/>
    <s v="USD"/>
    <n v="-9680"/>
    <n v="-9680"/>
    <n v="9680"/>
    <n v="-9680"/>
    <s v="Zonda Home"/>
    <s v=""/>
    <s v="ACH CONCENTRATION CREDIT ACH CASH CONCENTRATION METROSTUDY INC-AB-TFBANIP METROSTUD AB-TFBANIP                                             4090116"/>
    <m/>
    <m/>
    <m/>
    <m/>
    <m/>
    <m/>
    <m/>
    <m/>
    <m/>
    <m/>
    <m/>
    <m/>
    <m/>
    <m/>
    <m/>
    <m/>
    <m/>
    <m/>
    <m/>
    <m/>
    <m/>
    <m/>
    <m/>
    <m/>
    <m/>
    <m/>
    <m/>
    <m/>
    <m/>
    <m/>
  </r>
  <r>
    <s v="102 - US"/>
    <d v="2026-01-09T00:00:00"/>
    <s v="JANUARY"/>
    <x v="1"/>
    <x v="0"/>
    <s v="Deposited"/>
    <s v="PMT-S151-217064"/>
    <s v=""/>
    <s v="USD"/>
    <n v="-9600"/>
    <n v="-9600"/>
    <n v="9600"/>
    <n v="-9600"/>
    <s v="Hunstville Botanical Garden"/>
    <s v=""/>
    <s v="ACH CONCENTRATION CREDIT ACH CASH CONCENTRATION HSV BG       517-ACH PAYMEN HSV BG    ACH Paymen 32465974"/>
    <m/>
    <m/>
    <m/>
    <m/>
    <m/>
    <m/>
    <m/>
    <m/>
    <m/>
    <m/>
    <m/>
    <m/>
    <m/>
    <m/>
    <m/>
    <m/>
    <m/>
    <m/>
    <m/>
    <m/>
    <m/>
    <m/>
    <m/>
    <m/>
    <m/>
    <m/>
    <m/>
    <m/>
    <m/>
    <m/>
  </r>
  <r>
    <s v="102 - US"/>
    <d v="2022-10-18T00:00:00"/>
    <s v="OCTOBER"/>
    <x v="2"/>
    <x v="0"/>
    <s v="Deposited"/>
    <s v="PMT-S151-156313"/>
    <s v="IN-S151-546649"/>
    <s v="USD"/>
    <n v="-14000"/>
    <n v="-14000"/>
    <n v="9333.33"/>
    <n v="-9333.33"/>
    <s v="Management &amp; Training Corporation (Job Corps)"/>
    <s v="Jose Castellanos-103"/>
    <s v="renewal 12/7/22-12/6/25"/>
    <m/>
    <m/>
    <m/>
    <m/>
    <m/>
    <m/>
    <m/>
    <m/>
    <m/>
    <m/>
    <m/>
    <m/>
    <m/>
    <m/>
    <m/>
    <m/>
    <m/>
    <m/>
    <m/>
    <m/>
    <m/>
    <m/>
    <m/>
    <m/>
    <m/>
    <m/>
    <m/>
    <m/>
    <m/>
    <m/>
  </r>
  <r>
    <s v="102 - US"/>
    <d v="2022-06-24T00:00:00"/>
    <s v="JUNE"/>
    <x v="2"/>
    <x v="0"/>
    <s v="Deposited"/>
    <s v="PMT-S151-149470"/>
    <s v=""/>
    <s v="USD"/>
    <n v="-8250"/>
    <n v="-8250"/>
    <n v="8250"/>
    <n v="-8250"/>
    <s v="Avendra"/>
    <s v=""/>
    <s v="CHECK"/>
    <m/>
    <m/>
    <m/>
    <m/>
    <m/>
    <m/>
    <m/>
    <m/>
    <m/>
    <m/>
    <m/>
    <m/>
    <m/>
    <m/>
    <m/>
    <m/>
    <m/>
    <m/>
    <m/>
    <m/>
    <m/>
    <m/>
    <m/>
    <m/>
    <m/>
    <m/>
    <m/>
    <m/>
    <m/>
    <m/>
  </r>
  <r>
    <s v="102 - US"/>
    <d v="2022-07-06T00:00:00"/>
    <s v="JULY"/>
    <x v="2"/>
    <x v="0"/>
    <s v="Deposited"/>
    <s v="PMT-S151-150211"/>
    <s v=""/>
    <s v="USD"/>
    <n v="-8250"/>
    <n v="-8250"/>
    <n v="8250"/>
    <n v="-250567.82"/>
    <s v="DUMMY CUSTOMER_CASHAPPS 102 - US"/>
    <s v=""/>
    <s v="ACH CONCENTRATION CREDIT ACH CASH CONCENTRATION INDIANA UNV-BATCH INDIANA U BATCH 504301824"/>
    <m/>
    <m/>
    <m/>
    <m/>
    <m/>
    <m/>
    <m/>
    <m/>
    <m/>
    <m/>
    <m/>
    <m/>
    <m/>
    <m/>
    <m/>
    <m/>
    <m/>
    <m/>
    <m/>
    <m/>
    <m/>
    <m/>
    <m/>
    <m/>
    <m/>
    <m/>
    <m/>
    <m/>
    <m/>
    <m/>
  </r>
  <r>
    <s v="102 - US"/>
    <d v="2023-01-30T00:00:00"/>
    <s v="JANUARY"/>
    <x v="3"/>
    <x v="0"/>
    <s v="Deposited"/>
    <s v="PMT-S151-162604"/>
    <s v="IN-S151-549189"/>
    <s v="USD"/>
    <n v="-15665.62"/>
    <n v="-15665.62"/>
    <n v="8165.62"/>
    <n v="-8165.62"/>
    <s v="Comic Relief, Inc"/>
    <s v=""/>
    <s v="ACH CONCENTRATION CREDIT ACH CASH CONCENTRATION COMIC RELIEF8654-PAYMENTS COMIC REL PAYMENTS                                               Meltwater N ews"/>
    <m/>
    <m/>
    <m/>
    <m/>
    <m/>
    <m/>
    <m/>
    <m/>
    <m/>
    <m/>
    <m/>
    <m/>
    <m/>
    <m/>
    <m/>
    <m/>
    <m/>
    <m/>
    <m/>
    <m/>
    <m/>
    <m/>
    <m/>
    <m/>
    <m/>
    <m/>
    <m/>
    <m/>
    <m/>
    <m/>
  </r>
  <r>
    <s v="102 - US"/>
    <d v="2025-07-18T00:00:00"/>
    <s v="JULY"/>
    <x v="0"/>
    <x v="0"/>
    <s v="Deposited"/>
    <s v="PMT-S151-208027"/>
    <s v=""/>
    <s v="USD"/>
    <n v="-7720.17"/>
    <n v="-7720.17"/>
    <n v="7720.17"/>
    <n v="-250567.82"/>
    <s v="DUMMY CUSTOMER_CASHAPPS 102 - US"/>
    <s v=""/>
    <s v="ACH CONCENTRATION CREDIT ACH CASH CONCENTRATION ENVIOLOL-PAYMENTS ENVIOLOL  PAYMENTS 0000010634"/>
    <m/>
    <m/>
    <m/>
    <m/>
    <m/>
    <m/>
    <m/>
    <m/>
    <m/>
    <m/>
    <m/>
    <m/>
    <m/>
    <m/>
    <m/>
    <m/>
    <m/>
    <m/>
    <m/>
    <m/>
    <m/>
    <m/>
    <m/>
    <m/>
    <m/>
    <m/>
    <m/>
    <m/>
    <m/>
    <m/>
  </r>
  <r>
    <s v="102 - US"/>
    <d v="2025-08-12T00:00:00"/>
    <s v="AUGUST"/>
    <x v="0"/>
    <x v="0"/>
    <s v="Deposited"/>
    <s v="PMT-S151-209317"/>
    <s v=""/>
    <s v="USD"/>
    <n v="-7652"/>
    <n v="-7652"/>
    <n v="7652"/>
    <n v="-7652"/>
    <s v="Fort Worth Symphony Orchestra"/>
    <s v=""/>
    <s v=""/>
    <m/>
    <m/>
    <m/>
    <m/>
    <m/>
    <m/>
    <m/>
    <m/>
    <m/>
    <m/>
    <m/>
    <m/>
    <m/>
    <m/>
    <m/>
    <m/>
    <m/>
    <m/>
    <m/>
    <m/>
    <m/>
    <m/>
    <m/>
    <m/>
    <m/>
    <m/>
    <m/>
    <m/>
    <m/>
    <m/>
  </r>
  <r>
    <s v="102 - US"/>
    <d v="2026-04-14T00:00:00"/>
    <s v="APRIL"/>
    <x v="1"/>
    <x v="0"/>
    <s v="Deposited"/>
    <s v="PMT-S151-222677"/>
    <s v=""/>
    <s v="USD"/>
    <n v="-7500"/>
    <n v="-7500"/>
    <n v="7500"/>
    <n v="-250567.82"/>
    <s v="DUMMY CUSTOMER_CASHAPPS 102 - US"/>
    <s v=""/>
    <s v=""/>
    <m/>
    <m/>
    <m/>
    <m/>
    <m/>
    <m/>
    <m/>
    <m/>
    <m/>
    <m/>
    <m/>
    <m/>
    <m/>
    <m/>
    <m/>
    <m/>
    <m/>
    <m/>
    <m/>
    <m/>
    <m/>
    <m/>
    <m/>
    <m/>
    <m/>
    <m/>
    <m/>
    <m/>
    <m/>
    <m/>
  </r>
  <r>
    <s v="102 - US"/>
    <d v="2023-10-06T00:00:00"/>
    <s v="OCTOBER"/>
    <x v="3"/>
    <x v="0"/>
    <s v="Deposited"/>
    <s v="PMT-S151-175978"/>
    <s v=""/>
    <s v="USD"/>
    <n v="-7350"/>
    <n v="-7350"/>
    <n v="7350"/>
    <n v="-7350"/>
    <s v="American Magic"/>
    <s v=""/>
    <s v="ACH CONCENTRATION CREDIT ACH CASH CONCENTRATION BMQR-SPT ACH BMQR SPT ACH    Meltwater"/>
    <m/>
    <m/>
    <m/>
    <m/>
    <m/>
    <m/>
    <m/>
    <m/>
    <m/>
    <m/>
    <m/>
    <m/>
    <m/>
    <m/>
    <m/>
    <m/>
    <m/>
    <m/>
    <m/>
    <m/>
    <m/>
    <m/>
    <m/>
    <m/>
    <m/>
    <m/>
    <m/>
    <m/>
    <m/>
    <m/>
  </r>
  <r>
    <s v="102 - US"/>
    <d v="2025-01-31T00:00:00"/>
    <s v="JANUARY"/>
    <x v="0"/>
    <x v="0"/>
    <s v="Deposited"/>
    <s v="PMT-S151-200236"/>
    <s v=""/>
    <s v="USD"/>
    <n v="-7150"/>
    <n v="-7150"/>
    <n v="7150"/>
    <n v="-250567.82"/>
    <s v="DUMMY CUSTOMER_CASHAPPS 102 - US"/>
    <s v=""/>
    <s v="ACH CONCENTRATION CREDIT ACH CORP TRADE PAYMENT FROM THE CITY OF NEW THE CITY  Payments 202501296563717"/>
    <m/>
    <m/>
    <m/>
    <m/>
    <m/>
    <m/>
    <m/>
    <m/>
    <m/>
    <m/>
    <m/>
    <m/>
    <m/>
    <m/>
    <m/>
    <m/>
    <m/>
    <m/>
    <m/>
    <m/>
    <m/>
    <m/>
    <m/>
    <m/>
    <m/>
    <m/>
    <m/>
    <m/>
    <m/>
    <m/>
  </r>
  <r>
    <s v="102 - US"/>
    <d v="2022-10-04T00:00:00"/>
    <s v="OCTOBER"/>
    <x v="2"/>
    <x v="0"/>
    <s v="Deposited"/>
    <s v="PMT-S151-155504"/>
    <s v=""/>
    <s v="USD"/>
    <n v="-7000"/>
    <n v="-7000"/>
    <n v="7000"/>
    <n v="-7000"/>
    <s v="Girl Scouts of Northeast Texas"/>
    <s v=""/>
    <s v="ACH CONCENTRATION CREDIT ACH CASH CONCENTRATION GIRL SCOUTS OF N-PAYMENTS GIRL SCOU PAYMENTS   MELTWATER"/>
    <m/>
    <m/>
    <m/>
    <m/>
    <m/>
    <m/>
    <m/>
    <m/>
    <m/>
    <m/>
    <m/>
    <m/>
    <m/>
    <m/>
    <m/>
    <m/>
    <m/>
    <m/>
    <m/>
    <m/>
    <m/>
    <m/>
    <m/>
    <m/>
    <m/>
    <m/>
    <m/>
    <m/>
    <m/>
    <m/>
  </r>
  <r>
    <s v="102 - US"/>
    <d v="2022-12-02T00:00:00"/>
    <s v="DECEMBER"/>
    <x v="2"/>
    <x v="0"/>
    <s v="Deposited"/>
    <s v="PMT-S151-159053"/>
    <s v="IN-S151-547293"/>
    <s v="USD"/>
    <n v="-20000"/>
    <n v="-20000"/>
    <n v="7000"/>
    <n v="-7000"/>
    <s v="SSR Mining, Inc"/>
    <s v=""/>
    <s v="ACH CREDIT ACH DEPOSIT FROM SSR MINING INC.-AP PAYMENT SSR MININ AP PAYMENT NOTPROVIDED"/>
    <m/>
    <m/>
    <m/>
    <m/>
    <m/>
    <m/>
    <m/>
    <m/>
    <m/>
    <m/>
    <m/>
    <m/>
    <m/>
    <m/>
    <m/>
    <m/>
    <m/>
    <m/>
    <m/>
    <m/>
    <m/>
    <m/>
    <m/>
    <m/>
    <m/>
    <m/>
    <m/>
    <m/>
    <m/>
    <m/>
  </r>
  <r>
    <s v="102 - US"/>
    <d v="2023-07-31T00:00:00"/>
    <s v="JULY"/>
    <x v="3"/>
    <x v="0"/>
    <s v="Deposited"/>
    <s v="PMT-S151-172289"/>
    <s v="IN-S151-568917"/>
    <s v="USD"/>
    <n v="-7750"/>
    <n v="-7750"/>
    <n v="6975"/>
    <n v="-6975"/>
    <s v="Johnston County Schools"/>
    <s v="Stephanie Thore"/>
    <s v="CHECK"/>
    <m/>
    <m/>
    <m/>
    <m/>
    <m/>
    <m/>
    <m/>
    <m/>
    <m/>
    <m/>
    <m/>
    <m/>
    <m/>
    <m/>
    <m/>
    <m/>
    <m/>
    <m/>
    <m/>
    <m/>
    <m/>
    <m/>
    <m/>
    <m/>
    <m/>
    <m/>
    <m/>
    <m/>
    <m/>
    <m/>
  </r>
  <r>
    <s v="102 - US"/>
    <d v="2023-07-21T00:00:00"/>
    <s v="JULY"/>
    <x v="3"/>
    <x v="0"/>
    <s v="Deposited"/>
    <s v="PMT-S151-171846"/>
    <s v=""/>
    <s v="USD"/>
    <n v="-6929"/>
    <n v="-6929"/>
    <n v="6929"/>
    <n v="-6929"/>
    <s v="Season Health"/>
    <s v=""/>
    <s v="ACH CONCENTRATION CREDIT ACH CASH CONCENTRATION SURELY HEALTH,I-TRANSFER"/>
    <m/>
    <m/>
    <m/>
    <m/>
    <m/>
    <m/>
    <m/>
    <m/>
    <m/>
    <m/>
    <m/>
    <m/>
    <m/>
    <m/>
    <m/>
    <m/>
    <m/>
    <m/>
    <m/>
    <m/>
    <m/>
    <m/>
    <m/>
    <m/>
    <m/>
    <m/>
    <m/>
    <m/>
    <m/>
    <m/>
  </r>
  <r>
    <s v="102 - US"/>
    <d v="2025-12-22T00:00:00"/>
    <s v="DECEMBER"/>
    <x v="0"/>
    <x v="0"/>
    <s v="Deposited"/>
    <s v="PMT-S151-216041"/>
    <s v="PMT-S151-216041"/>
    <s v="USD"/>
    <n v="-6655"/>
    <n v="-6655"/>
    <n v="6655"/>
    <n v="-6655"/>
    <s v="The Commit Partnership"/>
    <s v=""/>
    <s v="ACH CONCENTRATION CREDIT ACH CASH CONCENTRATION COMMIT2DALLAS-INS1515900"/>
    <m/>
    <m/>
    <m/>
    <m/>
    <m/>
    <m/>
    <m/>
    <m/>
    <m/>
    <m/>
    <m/>
    <m/>
    <m/>
    <m/>
    <m/>
    <m/>
    <m/>
    <m/>
    <m/>
    <m/>
    <m/>
    <m/>
    <m/>
    <m/>
    <m/>
    <m/>
    <m/>
    <m/>
    <m/>
    <m/>
  </r>
  <r>
    <s v="102 - US"/>
    <d v="2022-12-29T00:00:00"/>
    <s v="DECEMBER"/>
    <x v="2"/>
    <x v="0"/>
    <s v="Deposited"/>
    <s v="PMT-S151-160605"/>
    <s v=""/>
    <s v="USD"/>
    <n v="-6325"/>
    <n v="-6325"/>
    <n v="6325"/>
    <n v="-6325"/>
    <s v="Gulfshore Playhouse"/>
    <s v=""/>
    <s v="CHECK"/>
    <m/>
    <m/>
    <m/>
    <m/>
    <m/>
    <m/>
    <m/>
    <m/>
    <m/>
    <m/>
    <m/>
    <m/>
    <m/>
    <m/>
    <m/>
    <m/>
    <m/>
    <m/>
    <m/>
    <m/>
    <m/>
    <m/>
    <m/>
    <m/>
    <m/>
    <m/>
    <m/>
    <m/>
    <m/>
    <m/>
  </r>
  <r>
    <s v="102 - US"/>
    <d v="2026-04-24T00:00:00"/>
    <s v="APRIL"/>
    <x v="1"/>
    <x v="0"/>
    <s v="Deposited"/>
    <s v="PMT-S151-223212"/>
    <s v=""/>
    <s v="USD"/>
    <n v="-6200"/>
    <n v="-6200"/>
    <n v="6200"/>
    <n v="-6200"/>
    <s v="Honolulu Marathon Association"/>
    <s v="Stephanie Thore"/>
    <s v=""/>
    <m/>
    <m/>
    <m/>
    <m/>
    <m/>
    <m/>
    <m/>
    <m/>
    <m/>
    <m/>
    <m/>
    <m/>
    <m/>
    <m/>
    <m/>
    <m/>
    <m/>
    <m/>
    <m/>
    <m/>
    <m/>
    <m/>
    <m/>
    <m/>
    <m/>
    <m/>
    <m/>
    <m/>
    <m/>
    <m/>
  </r>
  <r>
    <s v="102 - US"/>
    <d v="2026-05-04T00:00:00"/>
    <s v="MAY"/>
    <x v="1"/>
    <x v="0"/>
    <s v="Deposited"/>
    <s v="PMT-S151-223744"/>
    <s v=""/>
    <s v="USD"/>
    <n v="-5625"/>
    <n v="-5625"/>
    <n v="5625"/>
    <n v="-5625"/>
    <s v="Omaha Supernovas"/>
    <s v=""/>
    <s v=""/>
    <m/>
    <m/>
    <m/>
    <m/>
    <m/>
    <m/>
    <m/>
    <m/>
    <m/>
    <m/>
    <m/>
    <m/>
    <m/>
    <m/>
    <m/>
    <m/>
    <m/>
    <m/>
    <m/>
    <m/>
    <m/>
    <m/>
    <m/>
    <m/>
    <m/>
    <m/>
    <m/>
    <m/>
    <m/>
    <m/>
  </r>
  <r>
    <s v="102 - US"/>
    <d v="2022-04-27T00:00:00"/>
    <s v="APRIL"/>
    <x v="2"/>
    <x v="0"/>
    <s v="Deposited"/>
    <s v="PMT-S151-146660"/>
    <s v=""/>
    <s v="USD"/>
    <n v="-5505"/>
    <n v="-5505"/>
    <n v="5505"/>
    <n v="-5505"/>
    <s v="Pacvue"/>
    <s v=""/>
    <s v="ACH CONCENTRATION CREDIT ACH CASH CONCENTRATION PACVUE CORPORATI-ACH PMT PACVUE CO ACH Pmt 5332490959"/>
    <m/>
    <m/>
    <m/>
    <m/>
    <m/>
    <m/>
    <m/>
    <m/>
    <m/>
    <m/>
    <m/>
    <m/>
    <m/>
    <m/>
    <m/>
    <m/>
    <m/>
    <m/>
    <m/>
    <m/>
    <m/>
    <m/>
    <m/>
    <m/>
    <m/>
    <m/>
    <m/>
    <m/>
    <m/>
    <m/>
  </r>
  <r>
    <s v="102 - US"/>
    <d v="2023-04-25T00:00:00"/>
    <s v="APRIL"/>
    <x v="3"/>
    <x v="0"/>
    <s v="Deposited"/>
    <s v="PMT-S151-167020"/>
    <s v=""/>
    <s v="USD"/>
    <n v="-5500"/>
    <n v="-5500"/>
    <n v="5500"/>
    <n v="-5500"/>
    <s v="Birmingham Public Schools"/>
    <s v=""/>
    <s v="CHECK"/>
    <m/>
    <m/>
    <m/>
    <m/>
    <m/>
    <m/>
    <m/>
    <m/>
    <m/>
    <m/>
    <m/>
    <m/>
    <m/>
    <m/>
    <m/>
    <m/>
    <m/>
    <m/>
    <m/>
    <m/>
    <m/>
    <m/>
    <m/>
    <m/>
    <m/>
    <m/>
    <m/>
    <m/>
    <m/>
    <m/>
  </r>
  <r>
    <s v="102 - US"/>
    <d v="2023-08-16T00:00:00"/>
    <s v="AUGUST"/>
    <x v="3"/>
    <x v="0"/>
    <s v="Deposited"/>
    <s v="PMT-S151-173335"/>
    <s v=""/>
    <s v="USD"/>
    <n v="-5500"/>
    <n v="-5500"/>
    <n v="5500"/>
    <n v="-5500"/>
    <s v="Brain Technologies, Inc."/>
    <s v=""/>
    <s v="ACH CONCENTRATION CREDIT ACH CASH CONCENTRATION BRAIN TECHNOLOGI-BILL.COM Brain Tec Bill.com                                               016GNOXUE2QY ILR"/>
    <m/>
    <m/>
    <m/>
    <m/>
    <m/>
    <m/>
    <m/>
    <m/>
    <m/>
    <m/>
    <m/>
    <m/>
    <m/>
    <m/>
    <m/>
    <m/>
    <m/>
    <m/>
    <m/>
    <m/>
    <m/>
    <m/>
    <m/>
    <m/>
    <m/>
    <m/>
    <m/>
    <m/>
    <m/>
    <m/>
  </r>
  <r>
    <s v="102 - US"/>
    <d v="2025-10-22T00:00:00"/>
    <s v="OCTOBER"/>
    <x v="0"/>
    <x v="0"/>
    <s v="Deposited"/>
    <s v="PMT-S151-212527"/>
    <s v=""/>
    <s v="USD"/>
    <n v="-5500"/>
    <n v="-5500"/>
    <n v="5500"/>
    <n v="-5500"/>
    <s v="Vladimir Jones"/>
    <s v=""/>
    <s v=""/>
    <m/>
    <m/>
    <m/>
    <m/>
    <m/>
    <m/>
    <m/>
    <m/>
    <m/>
    <m/>
    <m/>
    <m/>
    <m/>
    <m/>
    <m/>
    <m/>
    <m/>
    <m/>
    <m/>
    <m/>
    <m/>
    <m/>
    <m/>
    <m/>
    <m/>
    <m/>
    <m/>
    <m/>
    <m/>
    <m/>
  </r>
  <r>
    <s v="102 - US"/>
    <d v="2023-01-04T00:00:00"/>
    <s v="JANUARY"/>
    <x v="3"/>
    <x v="0"/>
    <s v="Deposited"/>
    <s v="PMT-S151-160930"/>
    <s v=""/>
    <s v="USD"/>
    <n v="-5457"/>
    <n v="-5457"/>
    <n v="5457"/>
    <n v="-5457"/>
    <s v="Calvin Klein"/>
    <s v="Jason Welch"/>
    <s v="INCOMING MONEY TRANSFER 53RECD FED BANK OF AMERICA N.A.*ORG:1/PVH EUROPE B .V.,3/NL/AMSTERDAM 1054ES,2/STADHOUDERSKAD*OGB:BANK OF AMERICA NA LONDON,LOND ON,BANK OF AMERICA MERRILL*BNF:MELTWATER NEWS US INC,SAN FRANCISCO        CA/ US,STE 100*OBI:IN-S151-531453C PVHE CALVIN KL EIN EUROPE BV /RFB/221019200010 1556*STFEDSEQ:B1Q8982R002942*TIME:1618*YOUR REF:2210192000101556*OUR REF:0045 77450"/>
    <m/>
    <m/>
    <m/>
    <m/>
    <m/>
    <m/>
    <m/>
    <m/>
    <m/>
    <m/>
    <m/>
    <m/>
    <m/>
    <m/>
    <m/>
    <m/>
    <m/>
    <m/>
    <m/>
    <m/>
    <m/>
    <m/>
    <m/>
    <m/>
    <m/>
    <m/>
    <m/>
    <m/>
    <m/>
    <m/>
  </r>
  <r>
    <s v="102 - US"/>
    <d v="2024-02-20T00:00:00"/>
    <s v="FEBRUARY"/>
    <x v="4"/>
    <x v="0"/>
    <s v="Deposited"/>
    <s v="PMT-S151-183645"/>
    <s v=""/>
    <s v="USD"/>
    <n v="-5400"/>
    <n v="-5400"/>
    <n v="5400"/>
    <n v="-5400"/>
    <s v="Mextenis, S.A. de C.V"/>
    <s v="Maria Papadopoulos"/>
    <s v="INCOMING MONEY TRANSFER 53RECD FED BANK OF NEW YORK*ORG:MEX TENIS S.A. DE C.V.,MX 23/10/1992,BOSQUES DE LAS LOMA*OGB:INTERCAM BANCO SA INSTITUCION DE B A,CIUDAD DE MEXICO,COL*BNF:MELTWATER NEWS US INC,REDWOOD CITY         CA/US,S TE 165*OBI:PAY LICENCIAMELTWATERPAQ PAGO DE SE RVIC BOF MEX TENIS S.A. DE C.V .*STFEDSEQ:B1Q8981R004078*TIME:1315*YOUR REF NONREF*OUR REF:051500808"/>
    <m/>
    <m/>
    <m/>
    <m/>
    <m/>
    <m/>
    <m/>
    <m/>
    <m/>
    <m/>
    <m/>
    <m/>
    <m/>
    <m/>
    <m/>
    <m/>
    <m/>
    <m/>
    <m/>
    <m/>
    <m/>
    <m/>
    <m/>
    <m/>
    <m/>
    <m/>
    <m/>
    <m/>
    <m/>
    <m/>
  </r>
  <r>
    <s v="102 - US"/>
    <d v="2025-04-16T00:00:00"/>
    <s v="APRIL"/>
    <x v="0"/>
    <x v="0"/>
    <s v="Deposited"/>
    <s v="PMT-S151-204303"/>
    <s v=""/>
    <s v="USD"/>
    <n v="-5375"/>
    <n v="-5375"/>
    <n v="5375"/>
    <n v="-5375"/>
    <s v="Bath &amp; Body Works Direct, Inc."/>
    <s v=""/>
    <s v="ACH CONCENTRATION CREDIT ACH CASH CONCENTRATION L BRAND 1332-EDI PAYMNT L BRAND 1 EDI PAYMNT 2003275583"/>
    <m/>
    <m/>
    <m/>
    <m/>
    <m/>
    <m/>
    <m/>
    <m/>
    <m/>
    <m/>
    <m/>
    <m/>
    <m/>
    <m/>
    <m/>
    <m/>
    <m/>
    <m/>
    <m/>
    <m/>
    <m/>
    <m/>
    <m/>
    <m/>
    <m/>
    <m/>
    <m/>
    <m/>
    <m/>
    <m/>
  </r>
  <r>
    <s v="102 - US"/>
    <d v="2023-09-26T00:00:00"/>
    <s v="SEPTEMBER"/>
    <x v="3"/>
    <x v="0"/>
    <s v="Deposited"/>
    <s v="PMT-S151-175385"/>
    <s v="IN-S151-559205"/>
    <s v="USD"/>
    <n v="-9717.1200000000008"/>
    <n v="-9717.1200000000008"/>
    <n v="5254.62"/>
    <n v="-5254.62"/>
    <s v="CultureWorks Inc"/>
    <s v=""/>
    <s v="ACH CONCENTRATION CREDIT ACH CASH CONCENTRATION CULTUREWORKS,IN-BILL.COM CultureWo Bill.com                                                         025BRMYDKVMZ 65U"/>
    <m/>
    <m/>
    <m/>
    <m/>
    <m/>
    <m/>
    <m/>
    <m/>
    <m/>
    <m/>
    <m/>
    <m/>
    <m/>
    <m/>
    <m/>
    <m/>
    <m/>
    <m/>
    <m/>
    <m/>
    <m/>
    <m/>
    <m/>
    <m/>
    <m/>
    <m/>
    <m/>
    <m/>
    <m/>
    <m/>
  </r>
  <r>
    <s v="102 - US"/>
    <d v="2025-06-20T00:00:00"/>
    <s v="JUNE"/>
    <x v="0"/>
    <x v="0"/>
    <s v="Deposited"/>
    <s v="PMT-S151-206730"/>
    <s v="IN-S151-583041"/>
    <s v="USD"/>
    <n v="-55150"/>
    <n v="-55150"/>
    <n v="5150"/>
    <n v="-50095.55"/>
    <s v="Microsoft Corporation"/>
    <s v=""/>
    <s v="ACH CONCENTRATION CREDIT ACH CASH CONCENTRATION 200-ACTIVISION P-6531011921 200-ACTIV 6531011921 6531011921"/>
    <m/>
    <m/>
    <m/>
    <m/>
    <m/>
    <m/>
    <m/>
    <m/>
    <m/>
    <m/>
    <m/>
    <m/>
    <m/>
    <m/>
    <m/>
    <m/>
    <m/>
    <m/>
    <m/>
    <m/>
    <m/>
    <m/>
    <m/>
    <m/>
    <m/>
    <m/>
    <m/>
    <m/>
    <m/>
    <m/>
  </r>
  <r>
    <s v="102 - US"/>
    <d v="2025-10-27T00:00:00"/>
    <s v="OCTOBER"/>
    <x v="0"/>
    <x v="0"/>
    <s v="Deposited"/>
    <s v="PMT-S151-212754"/>
    <s v=""/>
    <s v="USD"/>
    <n v="-5000"/>
    <n v="-5000"/>
    <n v="5000"/>
    <n v="-5000"/>
    <s v="McDaniels Marketing"/>
    <s v=""/>
    <s v=""/>
    <m/>
    <m/>
    <m/>
    <m/>
    <m/>
    <m/>
    <m/>
    <m/>
    <m/>
    <m/>
    <m/>
    <m/>
    <m/>
    <m/>
    <m/>
    <m/>
    <m/>
    <m/>
    <m/>
    <m/>
    <m/>
    <m/>
    <m/>
    <m/>
    <m/>
    <m/>
    <m/>
    <m/>
    <m/>
    <m/>
  </r>
  <r>
    <s v="102 - US"/>
    <d v="2025-11-19T00:00:00"/>
    <s v="NOVEMBER"/>
    <x v="0"/>
    <x v="0"/>
    <s v="Deposited"/>
    <s v="PMT-S151-214232"/>
    <s v=""/>
    <s v="USD"/>
    <n v="-5000"/>
    <n v="-5000"/>
    <n v="5000"/>
    <n v="-5000"/>
    <s v="Mendaera, Inc"/>
    <s v=""/>
    <s v=""/>
    <m/>
    <m/>
    <m/>
    <m/>
    <m/>
    <m/>
    <m/>
    <m/>
    <m/>
    <m/>
    <m/>
    <m/>
    <m/>
    <m/>
    <m/>
    <m/>
    <m/>
    <m/>
    <m/>
    <m/>
    <m/>
    <m/>
    <m/>
    <m/>
    <m/>
    <m/>
    <m/>
    <m/>
    <m/>
    <m/>
  </r>
  <r>
    <s v="102 - US"/>
    <d v="2022-04-22T00:00:00"/>
    <s v="APRIL"/>
    <x v="2"/>
    <x v="0"/>
    <s v="Deposited"/>
    <s v="PMT-S151-146301"/>
    <s v=""/>
    <s v="USD"/>
    <n v="-4800"/>
    <n v="-4800"/>
    <n v="4800"/>
    <n v="-4800"/>
    <s v="WeGo Public Transit"/>
    <s v=""/>
    <s v="CHECK"/>
    <m/>
    <m/>
    <m/>
    <m/>
    <m/>
    <m/>
    <m/>
    <m/>
    <m/>
    <m/>
    <m/>
    <m/>
    <m/>
    <m/>
    <m/>
    <m/>
    <m/>
    <m/>
    <m/>
    <m/>
    <m/>
    <m/>
    <m/>
    <m/>
    <m/>
    <m/>
    <m/>
    <m/>
    <m/>
    <m/>
  </r>
  <r>
    <s v="102 - US"/>
    <d v="2026-04-23T00:00:00"/>
    <s v="APRIL"/>
    <x v="1"/>
    <x v="0"/>
    <s v="Deposited"/>
    <s v="PMT-S151-223214"/>
    <s v=""/>
    <s v="USD"/>
    <n v="-4265.16"/>
    <n v="-4265.16"/>
    <n v="4265.16"/>
    <n v="-4265.16"/>
    <s v="TFI Family Services, Inc."/>
    <s v=""/>
    <s v="ACH CONCENTRATION CREDIT ACH CASH CONCENTRATION TFI FAMILY SERVI-ACH PAYMEN TFI Famil ACH Paymen V000000551"/>
    <m/>
    <m/>
    <m/>
    <m/>
    <m/>
    <m/>
    <m/>
    <m/>
    <m/>
    <m/>
    <m/>
    <m/>
    <m/>
    <m/>
    <m/>
    <m/>
    <m/>
    <m/>
    <m/>
    <m/>
    <m/>
    <m/>
    <m/>
    <m/>
    <m/>
    <m/>
    <m/>
    <m/>
    <m/>
    <m/>
  </r>
  <r>
    <s v="102 - US"/>
    <d v="2022-04-01T00:00:00"/>
    <s v="APRIL"/>
    <x v="2"/>
    <x v="0"/>
    <s v="Deposited"/>
    <s v="PMT-S151-145257"/>
    <s v=""/>
    <s v="USD"/>
    <n v="-4225"/>
    <n v="-4225"/>
    <n v="4225"/>
    <n v="-4225"/>
    <s v="SVB Leerink"/>
    <s v=""/>
    <s v="ACH CONCENTRATION CREDIT ACH CASH CONCENTRATION LEERINK PRTNRS-TRADE PAY LEERINK P TRADE PAY MELTWATER"/>
    <m/>
    <m/>
    <m/>
    <m/>
    <m/>
    <m/>
    <m/>
    <m/>
    <m/>
    <m/>
    <m/>
    <m/>
    <m/>
    <m/>
    <m/>
    <m/>
    <m/>
    <m/>
    <m/>
    <m/>
    <m/>
    <m/>
    <m/>
    <m/>
    <m/>
    <m/>
    <m/>
    <m/>
    <m/>
    <m/>
  </r>
  <r>
    <s v="102 - US"/>
    <d v="2025-06-26T00:00:00"/>
    <s v="JUNE"/>
    <x v="0"/>
    <x v="0"/>
    <s v="Deposited"/>
    <s v="PMT-S151-206955"/>
    <s v=""/>
    <s v="USD"/>
    <n v="-4087.75"/>
    <n v="-4087.75"/>
    <n v="4087.75"/>
    <n v="-4087.75"/>
    <s v="FOULGER-PRATT"/>
    <s v=""/>
    <s v="ACH CONCENTRATION CREDIT ACH CASH CONCENTRATION FOULGERPRATT PMD-PAYMENT FOULGERPR PAYMENT    5543440"/>
    <m/>
    <m/>
    <m/>
    <m/>
    <m/>
    <m/>
    <m/>
    <m/>
    <m/>
    <m/>
    <m/>
    <m/>
    <m/>
    <m/>
    <m/>
    <m/>
    <m/>
    <m/>
    <m/>
    <m/>
    <m/>
    <m/>
    <m/>
    <m/>
    <m/>
    <m/>
    <m/>
    <m/>
    <m/>
    <m/>
  </r>
  <r>
    <s v="102 - US"/>
    <d v="2026-05-01T00:00:00"/>
    <s v="MAY"/>
    <x v="1"/>
    <x v="0"/>
    <s v="Deposited"/>
    <s v="PMT-S151-223676"/>
    <s v=""/>
    <s v="USD"/>
    <n v="-4026"/>
    <n v="-4026"/>
    <n v="4026"/>
    <n v="0"/>
    <s v="Philander Smith University"/>
    <s v="Stephanie Thore"/>
    <s v=""/>
    <m/>
    <m/>
    <m/>
    <m/>
    <m/>
    <m/>
    <m/>
    <m/>
    <m/>
    <m/>
    <m/>
    <m/>
    <m/>
    <m/>
    <m/>
    <m/>
    <m/>
    <m/>
    <m/>
    <m/>
    <m/>
    <m/>
    <m/>
    <m/>
    <m/>
    <m/>
    <m/>
    <m/>
    <m/>
    <m/>
  </r>
  <r>
    <s v="102 - US"/>
    <d v="2024-06-14T00:00:00"/>
    <s v="JUNE"/>
    <x v="4"/>
    <x v="0"/>
    <s v="Deposited"/>
    <s v="PMT-S151-189268"/>
    <s v="IN-S151-564791"/>
    <s v="USD"/>
    <n v="-7983"/>
    <n v="-7983"/>
    <n v="3991.5"/>
    <n v="-3991.5"/>
    <s v="RISE INTERNATIONAL GROUP LIMITED"/>
    <s v=""/>
    <s v="BOOK TRANSFER CREDIT 41BOOK CREDIT MELTWATER NEWS US INC*ORG:ULUTECH IN TERNATIONAL TRADING LLC,2F 011 OBAID BUD NAIF *OGB:EMIRATES NBD BANK PJ,DUBAI BANIYAS ROAD*BNF:MELTWATER NEWS US INC,REDWOOD CITY         CA/US,STE 165*OB I:INS151564791*STBOOK*TIME:0622*YOUR REF:EPHCOP16603XIGD9*OUR REF:166272624"/>
    <m/>
    <m/>
    <m/>
    <m/>
    <m/>
    <m/>
    <m/>
    <m/>
    <m/>
    <m/>
    <m/>
    <m/>
    <m/>
    <m/>
    <m/>
    <m/>
    <m/>
    <m/>
    <m/>
    <m/>
    <m/>
    <m/>
    <m/>
    <m/>
    <m/>
    <m/>
    <m/>
    <m/>
    <m/>
    <m/>
  </r>
  <r>
    <s v="102 - US"/>
    <d v="2025-05-09T00:00:00"/>
    <s v="MAY"/>
    <x v="0"/>
    <x v="0"/>
    <s v="Deposited"/>
    <s v="PMT-S151-205267"/>
    <s v=""/>
    <s v="USD"/>
    <n v="-3990"/>
    <n v="-3990"/>
    <n v="3990"/>
    <n v="-3990"/>
    <s v="OPERADORA HOTELERA DEL CORREDOR MAYAKOBA"/>
    <s v=""/>
    <s v="INCOMING MONEY TRANSFER 53RECD FED BANK OF AMERICA N.A.*ORG:1/OPERADORA HO TELERA DEL CORREDO,3/MX/MEXICO,2/PLAYA DEL*OGB:BBVA BANCOMER,S.A.,MEXICO,120 0,AVENIDA UNIVERSIDAD*BNF:MELTWATER NEWS US INC,REDWOOD CITY         CA/US,2 75 SHO*OBI:444*STFEDSEQ:B1Q8982R000314*TIME:2216*YOUR REF:1074658586010177*OU R REF:129062691"/>
    <m/>
    <m/>
    <m/>
    <m/>
    <m/>
    <m/>
    <m/>
    <m/>
    <m/>
    <m/>
    <m/>
    <m/>
    <m/>
    <m/>
    <m/>
    <m/>
    <m/>
    <m/>
    <m/>
    <m/>
    <m/>
    <m/>
    <m/>
    <m/>
    <m/>
    <m/>
    <m/>
    <m/>
    <m/>
    <m/>
  </r>
  <r>
    <s v="102 - US"/>
    <d v="2023-01-19T00:00:00"/>
    <s v="JANUARY"/>
    <x v="3"/>
    <x v="0"/>
    <s v="Deposited"/>
    <s v="PMT-S151-161929"/>
    <s v=""/>
    <s v="USD"/>
    <n v="-3950"/>
    <n v="-3950"/>
    <n v="3950"/>
    <n v="-3950"/>
    <s v="CommunityAmerica Credit Union"/>
    <s v=""/>
    <s v="ACH CONCENTRATION CREDIT ACH CORP TRADE PAYMENT FROM COMMUNITYAMERICA COMMUNITY DIRECT-PAY 30422800"/>
    <m/>
    <m/>
    <m/>
    <m/>
    <m/>
    <m/>
    <m/>
    <m/>
    <m/>
    <m/>
    <m/>
    <m/>
    <m/>
    <m/>
    <m/>
    <m/>
    <m/>
    <m/>
    <m/>
    <m/>
    <m/>
    <m/>
    <m/>
    <m/>
    <m/>
    <m/>
    <m/>
    <m/>
    <m/>
    <m/>
  </r>
  <r>
    <s v="102 - US"/>
    <d v="2025-11-26T00:00:00"/>
    <s v="NOVEMBER"/>
    <x v="0"/>
    <x v="0"/>
    <s v="Deposited"/>
    <s v="PMT-S151-214621"/>
    <s v=""/>
    <s v="USD"/>
    <n v="-3841.2"/>
    <n v="-3841.2"/>
    <n v="3841.2"/>
    <n v="154725.09"/>
    <s v="Amazon.com Services LLC"/>
    <s v=""/>
    <s v="ACH CONCENTRATION CREDIT ACH CASH CONCENTRATION AMAZON.COM-EDI PYMNTS AMAZON.CO EDI PYMNTS DASACDYOVX4SPOU"/>
    <m/>
    <m/>
    <m/>
    <m/>
    <m/>
    <m/>
    <m/>
    <m/>
    <m/>
    <m/>
    <m/>
    <m/>
    <m/>
    <m/>
    <m/>
    <m/>
    <m/>
    <m/>
    <m/>
    <m/>
    <m/>
    <m/>
    <m/>
    <m/>
    <m/>
    <m/>
    <m/>
    <m/>
    <m/>
    <m/>
  </r>
  <r>
    <s v="102 - US"/>
    <d v="2022-09-19T00:00:00"/>
    <s v="SEPTEMBER"/>
    <x v="2"/>
    <x v="0"/>
    <s v="Deposited"/>
    <s v="PMT-S151-154377"/>
    <s v="IN-S151-543872"/>
    <s v="USD"/>
    <n v="-30844.22"/>
    <n v="-30844.22"/>
    <n v="3520.22"/>
    <n v="-3520.22"/>
    <s v="AIDS Healthcare Foundation"/>
    <s v="Jose Castellanos-103"/>
    <s v="PMT-S151-153768 (09/06/2022)"/>
    <m/>
    <m/>
    <m/>
    <m/>
    <m/>
    <m/>
    <m/>
    <m/>
    <m/>
    <m/>
    <m/>
    <m/>
    <m/>
    <m/>
    <m/>
    <m/>
    <m/>
    <m/>
    <m/>
    <m/>
    <m/>
    <m/>
    <m/>
    <m/>
    <m/>
    <m/>
    <m/>
    <m/>
    <m/>
    <m/>
  </r>
  <r>
    <s v="102 - US"/>
    <d v="2026-03-27T00:00:00"/>
    <s v="MARCH"/>
    <x v="1"/>
    <x v="0"/>
    <s v="Deposited"/>
    <s v="PMT-S151-221854"/>
    <s v=""/>
    <s v="USD"/>
    <n v="-3500"/>
    <n v="-3500"/>
    <n v="3500"/>
    <n v="-250567.82"/>
    <s v="DUMMY CUSTOMER_CASHAPPS 102 - US"/>
    <s v=""/>
    <s v="ACH CONCENTRATION CREDIT ACH CASH CONCENTRATION AMERICAN INDIAN-AMINDIAN American  AMINDIAN                                               3441"/>
    <m/>
    <m/>
    <m/>
    <m/>
    <m/>
    <m/>
    <m/>
    <m/>
    <m/>
    <m/>
    <m/>
    <m/>
    <m/>
    <m/>
    <m/>
    <m/>
    <m/>
    <m/>
    <m/>
    <m/>
    <m/>
    <m/>
    <m/>
    <m/>
    <m/>
    <m/>
    <m/>
    <m/>
    <m/>
    <m/>
  </r>
  <r>
    <s v="102 - US"/>
    <d v="2022-06-03T00:00:00"/>
    <s v="JUNE"/>
    <x v="2"/>
    <x v="0"/>
    <s v="Deposited"/>
    <s v="PMT-S151-148522"/>
    <s v=""/>
    <s v="USD"/>
    <n v="-3450.01"/>
    <n v="-3450.01"/>
    <n v="3450.01"/>
    <n v="-3450.01"/>
    <s v="Peak Vista Community Health Centers"/>
    <s v=""/>
    <s v="ACH CONCENTRATION CREDIT ACH CASH CONCENTRATION PEAK VISTA COMM-TRADE PAY Peak Vist TRADE PAY VMEL03"/>
    <m/>
    <m/>
    <m/>
    <m/>
    <m/>
    <m/>
    <m/>
    <m/>
    <m/>
    <m/>
    <m/>
    <m/>
    <m/>
    <m/>
    <m/>
    <m/>
    <m/>
    <m/>
    <m/>
    <m/>
    <m/>
    <m/>
    <m/>
    <m/>
    <m/>
    <m/>
    <m/>
    <m/>
    <m/>
    <m/>
  </r>
  <r>
    <s v="102 - US"/>
    <d v="2022-08-05T00:00:00"/>
    <s v="AUGUST"/>
    <x v="2"/>
    <x v="0"/>
    <s v="Deposited"/>
    <s v="PMT-S151-152042"/>
    <s v=""/>
    <s v="USD"/>
    <n v="-3400"/>
    <n v="-3400"/>
    <n v="3400"/>
    <n v="-3400"/>
    <s v="iProspect Colombia S.A.S"/>
    <s v="Yangzom Vitali"/>
    <s v="INCOMING MONEY TRANSFER 53RECD FED BANK OF AMERICA N.A.*ORG:IPROSPECT COLO MBIA SAS,BOGOTA COLOMBIA,CARRERA 19 C 91 6*OGB:SCOTIABANK COLPATRIA S.A.,BOGO TA,TORRE COLPATRIA,CARRERA*BNF:MELTWATER NEWS US INC,SAN FRANCISCO        CA/ US,STE 100*OBI:ACC INVOICE IN-S151-533120*STFEDSEQ:B1Q8981R003908*TIME:1848*Y OUR REF:KTPP2090515*OUR REF:217618348"/>
    <m/>
    <m/>
    <m/>
    <m/>
    <m/>
    <m/>
    <m/>
    <m/>
    <m/>
    <m/>
    <m/>
    <m/>
    <m/>
    <m/>
    <m/>
    <m/>
    <m/>
    <m/>
    <m/>
    <m/>
    <m/>
    <m/>
    <m/>
    <m/>
    <m/>
    <m/>
    <m/>
    <m/>
    <m/>
    <m/>
  </r>
  <r>
    <s v="102 - US"/>
    <d v="2022-04-28T00:00:00"/>
    <s v="APRIL"/>
    <x v="2"/>
    <x v="0"/>
    <s v="Deposited"/>
    <s v="PMT-S151-146617"/>
    <s v="IN-S151-536351"/>
    <s v="USD"/>
    <n v="-6750"/>
    <n v="-6750"/>
    <n v="3375"/>
    <n v="-3375"/>
    <s v="American Oncology Network"/>
    <s v="Jose Castellanos"/>
    <s v="Check"/>
    <m/>
    <m/>
    <m/>
    <m/>
    <m/>
    <m/>
    <m/>
    <m/>
    <m/>
    <m/>
    <m/>
    <m/>
    <m/>
    <m/>
    <m/>
    <m/>
    <m/>
    <m/>
    <m/>
    <m/>
    <m/>
    <m/>
    <m/>
    <m/>
    <m/>
    <m/>
    <m/>
    <m/>
    <m/>
    <m/>
  </r>
  <r>
    <s v="102 - US"/>
    <d v="2022-07-08T00:00:00"/>
    <s v="JULY"/>
    <x v="2"/>
    <x v="0"/>
    <s v="Deposited"/>
    <s v="PMT-S151-150272"/>
    <s v=""/>
    <s v="USD"/>
    <n v="-3300"/>
    <n v="-3300"/>
    <n v="3300"/>
    <n v="-3300"/>
    <s v="Fishburne Military School"/>
    <s v="Jose Castellanos"/>
    <s v="CHECK"/>
    <m/>
    <m/>
    <m/>
    <m/>
    <m/>
    <m/>
    <m/>
    <m/>
    <m/>
    <m/>
    <m/>
    <m/>
    <m/>
    <m/>
    <m/>
    <m/>
    <m/>
    <m/>
    <m/>
    <m/>
    <m/>
    <m/>
    <m/>
    <m/>
    <m/>
    <m/>
    <m/>
    <m/>
    <m/>
    <m/>
  </r>
  <r>
    <s v="102 - US"/>
    <d v="2026-05-04T00:00:00"/>
    <s v="MAY"/>
    <x v="1"/>
    <x v="0"/>
    <s v="Deposited"/>
    <s v="PMT-S151-223743"/>
    <s v=""/>
    <s v="USD"/>
    <n v="-3187.5"/>
    <n v="-3187.5"/>
    <n v="3187.5"/>
    <n v="-3187.5"/>
    <s v="The Hanover Insurance Company"/>
    <s v=""/>
    <s v=""/>
    <m/>
    <m/>
    <m/>
    <m/>
    <m/>
    <m/>
    <m/>
    <m/>
    <m/>
    <m/>
    <m/>
    <m/>
    <m/>
    <m/>
    <m/>
    <m/>
    <m/>
    <m/>
    <m/>
    <m/>
    <m/>
    <m/>
    <m/>
    <m/>
    <m/>
    <m/>
    <m/>
    <m/>
    <m/>
    <m/>
  </r>
  <r>
    <s v="102 - US"/>
    <d v="2022-05-13T00:00:00"/>
    <s v="MAY"/>
    <x v="2"/>
    <x v="0"/>
    <s v="Deposited"/>
    <s v="PMT-S151-147510"/>
    <s v="IN-S151-536994"/>
    <s v="USD"/>
    <n v="-6000"/>
    <n v="-6000"/>
    <n v="3000"/>
    <n v="-3000"/>
    <s v="High Bar Brands"/>
    <s v="Stephanie Thore"/>
    <s v="CHECK"/>
    <m/>
    <m/>
    <m/>
    <m/>
    <m/>
    <m/>
    <m/>
    <m/>
    <m/>
    <m/>
    <m/>
    <m/>
    <m/>
    <m/>
    <m/>
    <m/>
    <m/>
    <m/>
    <m/>
    <m/>
    <m/>
    <m/>
    <m/>
    <m/>
    <m/>
    <m/>
    <m/>
    <m/>
    <m/>
    <m/>
  </r>
  <r>
    <s v="102 - US"/>
    <d v="2023-06-07T00:00:00"/>
    <s v="JUNE"/>
    <x v="3"/>
    <x v="0"/>
    <s v="Deposited"/>
    <s v="PMT-S151-169389"/>
    <s v=""/>
    <s v="USD"/>
    <n v="-2979"/>
    <n v="-2979"/>
    <n v="2979"/>
    <n v="-250567.82"/>
    <s v="DUMMY CUSTOMER_CASHAPPS 102 - US"/>
    <s v=""/>
    <s v="FOREIGN REMITTANCE CREDIT 33RECD CHIP DEUTSCHE BANK AG*ORG:EPPENDORF NEDERLAND B .V.,NETHERLANDS-NL,6546 BC  NIJMEGE*OGB:DEUTSCHE BANK AG,AMSTERDAM,DE ENTREE 196*BNF:MELTWATER NEWS US INC,REDWOOD CITY         CA/US,STE 165*OBI:2023-400 -003 05/01/23*STCHIPSEQ:0022320*TIME:0000*YOUR REF:SIP/02.06-10:52*OUR REF:15 8317944"/>
    <m/>
    <m/>
    <m/>
    <m/>
    <m/>
    <m/>
    <m/>
    <m/>
    <m/>
    <m/>
    <m/>
    <m/>
    <m/>
    <m/>
    <m/>
    <m/>
    <m/>
    <m/>
    <m/>
    <m/>
    <m/>
    <m/>
    <m/>
    <m/>
    <m/>
    <m/>
    <m/>
    <m/>
    <m/>
    <m/>
  </r>
  <r>
    <s v="102 - US"/>
    <d v="2025-08-14T00:00:00"/>
    <s v="AUGUST"/>
    <x v="0"/>
    <x v="0"/>
    <s v="Deposited"/>
    <s v="PMT-S151-209465"/>
    <s v="IN-S151-584586"/>
    <s v="USD"/>
    <n v="-36131.26"/>
    <n v="-36131.26"/>
    <n v="2963.26"/>
    <n v="-2963.26"/>
    <s v="L.A. Care Health Plan"/>
    <s v="Jose Castellanos"/>
    <s v="ACH CONCENTRATION CREDIT ACH CASH CONCENTRATION L.A. CARE HEALTH-122000661"/>
    <m/>
    <m/>
    <m/>
    <m/>
    <m/>
    <m/>
    <m/>
    <m/>
    <m/>
    <m/>
    <m/>
    <m/>
    <m/>
    <m/>
    <m/>
    <m/>
    <m/>
    <m/>
    <m/>
    <m/>
    <m/>
    <m/>
    <m/>
    <m/>
    <m/>
    <m/>
    <m/>
    <m/>
    <m/>
    <m/>
  </r>
  <r>
    <s v="102 - US"/>
    <d v="2025-07-28T00:00:00"/>
    <s v="JULY"/>
    <x v="0"/>
    <x v="0"/>
    <s v="Deposited"/>
    <s v="PMT-S151-208422"/>
    <s v=""/>
    <s v="USD"/>
    <n v="-2636.66"/>
    <n v="-2636.66"/>
    <n v="2636.66"/>
    <n v="-2636.66"/>
    <s v="Survivors Network of those Abused by Priests (SNAP)"/>
    <s v=""/>
    <s v=""/>
    <m/>
    <m/>
    <m/>
    <m/>
    <m/>
    <m/>
    <m/>
    <m/>
    <m/>
    <m/>
    <m/>
    <m/>
    <m/>
    <m/>
    <m/>
    <m/>
    <m/>
    <m/>
    <m/>
    <m/>
    <m/>
    <m/>
    <m/>
    <m/>
    <m/>
    <m/>
    <m/>
    <m/>
    <m/>
    <m/>
  </r>
  <r>
    <s v="102 - US"/>
    <d v="2025-08-15T00:00:00"/>
    <s v="AUGUST"/>
    <x v="0"/>
    <x v="0"/>
    <s v="Deposited"/>
    <s v="PMT-S151-209557"/>
    <s v=""/>
    <s v="USD"/>
    <n v="-2625"/>
    <n v="-2625"/>
    <n v="2625"/>
    <n v="-2625"/>
    <s v="Green Check Verified"/>
    <s v=""/>
    <s v="ACH CONCENTRATION CREDIT ACH CASH CONCENTRATION GREEN CHECK VERI-MERCURYACH Green Che MercuryACH                                                   MRCR-QVA1TXX X5U"/>
    <m/>
    <m/>
    <m/>
    <m/>
    <m/>
    <m/>
    <m/>
    <m/>
    <m/>
    <m/>
    <m/>
    <m/>
    <m/>
    <m/>
    <m/>
    <m/>
    <m/>
    <m/>
    <m/>
    <m/>
    <m/>
    <m/>
    <m/>
    <m/>
    <m/>
    <m/>
    <m/>
    <m/>
    <m/>
    <m/>
  </r>
  <r>
    <s v="102 - US"/>
    <d v="2023-03-07T00:00:00"/>
    <s v="MARCH"/>
    <x v="3"/>
    <x v="0"/>
    <s v="Deposited"/>
    <s v="PMT-S151-164531"/>
    <s v=""/>
    <s v="USD"/>
    <n v="-2550"/>
    <n v="-2550"/>
    <n v="2550"/>
    <n v="-250567.82"/>
    <s v="DUMMY CUSTOMER_CASHAPPS 102 - US"/>
    <s v=""/>
    <s v="ACH CONCENTRATION CREDIT ACH CORP TRADE PAYMENT FROM HOPE GAS,INC. HOPE GAS,PAYMENTS 188413095"/>
    <m/>
    <m/>
    <m/>
    <m/>
    <m/>
    <m/>
    <m/>
    <m/>
    <m/>
    <m/>
    <m/>
    <m/>
    <m/>
    <m/>
    <m/>
    <m/>
    <m/>
    <m/>
    <m/>
    <m/>
    <m/>
    <m/>
    <m/>
    <m/>
    <m/>
    <m/>
    <m/>
    <m/>
    <m/>
    <m/>
  </r>
  <r>
    <s v="102 - US"/>
    <d v="2022-06-21T00:00:00"/>
    <s v="JUNE"/>
    <x v="2"/>
    <x v="0"/>
    <s v="Deposited"/>
    <s v="PMT-S151-149275"/>
    <s v=""/>
    <s v="USD"/>
    <n v="-2425"/>
    <n v="-2425"/>
    <n v="2425"/>
    <n v="-2425"/>
    <s v="Matrix LLC"/>
    <s v=""/>
    <s v="CHECK"/>
    <m/>
    <m/>
    <m/>
    <m/>
    <m/>
    <m/>
    <m/>
    <m/>
    <m/>
    <m/>
    <m/>
    <m/>
    <m/>
    <m/>
    <m/>
    <m/>
    <m/>
    <m/>
    <m/>
    <m/>
    <m/>
    <m/>
    <m/>
    <m/>
    <m/>
    <m/>
    <m/>
    <m/>
    <m/>
    <m/>
  </r>
  <r>
    <s v="102 - US"/>
    <d v="2025-10-03T00:00:00"/>
    <s v="OCTOBER"/>
    <x v="0"/>
    <x v="0"/>
    <s v="Deposited"/>
    <s v="PMT-S151-211737"/>
    <s v="IN-S151-586645"/>
    <s v="USD"/>
    <n v="-2500"/>
    <n v="-2500"/>
    <n v="2300"/>
    <n v="-2300"/>
    <s v="Thunder Tech"/>
    <s v=""/>
    <s v="ACH CONCENTRATION CREDIT ACH CASH CONCENTRATION THUNDERTECH-9.30.25 THUNDERTE 9.30.25 MELTWATER"/>
    <m/>
    <m/>
    <m/>
    <m/>
    <m/>
    <m/>
    <m/>
    <m/>
    <m/>
    <m/>
    <m/>
    <m/>
    <m/>
    <m/>
    <m/>
    <m/>
    <m/>
    <m/>
    <m/>
    <m/>
    <m/>
    <m/>
    <m/>
    <m/>
    <m/>
    <m/>
    <m/>
    <m/>
    <m/>
    <m/>
  </r>
  <r>
    <s v="102 - US"/>
    <d v="2023-10-10T00:00:00"/>
    <s v="OCTOBER"/>
    <x v="3"/>
    <x v="0"/>
    <s v="Deposited"/>
    <s v="PMT-S151-176048"/>
    <s v="IN-S151-560145"/>
    <s v="USD"/>
    <n v="-6360.82"/>
    <n v="-6360.82"/>
    <n v="2259.39"/>
    <n v="-2259.39"/>
    <s v="National Sorghum Producers"/>
    <s v=""/>
    <s v="CHECK"/>
    <m/>
    <m/>
    <m/>
    <m/>
    <m/>
    <m/>
    <m/>
    <m/>
    <m/>
    <m/>
    <m/>
    <m/>
    <m/>
    <m/>
    <m/>
    <m/>
    <m/>
    <m/>
    <m/>
    <m/>
    <m/>
    <m/>
    <m/>
    <m/>
    <m/>
    <m/>
    <m/>
    <m/>
    <m/>
    <m/>
  </r>
  <r>
    <s v="102 - US"/>
    <d v="2023-10-03T00:00:00"/>
    <s v="OCTOBER"/>
    <x v="3"/>
    <x v="0"/>
    <s v="Deposited"/>
    <s v="PMT-S151-175765"/>
    <s v=""/>
    <s v="USD"/>
    <n v="-2177.5100000000002"/>
    <n v="-2177.5100000000002"/>
    <n v="2177.5100000000002"/>
    <n v="-2177.5100000000002"/>
    <s v="Insight Venture Management"/>
    <s v="Jason Welch"/>
    <s v="ACH CONCENTRATION CREDIT ACH CORP TRADE PAYMENT FROM INSIGHT VENTURE INSIGHT V DIRECT-PAY 53852876"/>
    <m/>
    <m/>
    <m/>
    <m/>
    <m/>
    <m/>
    <m/>
    <m/>
    <m/>
    <m/>
    <m/>
    <m/>
    <m/>
    <m/>
    <m/>
    <m/>
    <m/>
    <m/>
    <m/>
    <m/>
    <m/>
    <m/>
    <m/>
    <m/>
    <m/>
    <m/>
    <m/>
    <m/>
    <m/>
    <m/>
  </r>
  <r>
    <s v="102 - US"/>
    <d v="2026-03-17T00:00:00"/>
    <s v="MARCH"/>
    <x v="1"/>
    <x v="0"/>
    <s v="Deposited"/>
    <s v="PMT-S151-221300"/>
    <s v=""/>
    <s v="USD"/>
    <n v="-2150"/>
    <n v="-2150"/>
    <n v="2150"/>
    <n v="-250567.82"/>
    <s v="DUMMY CUSTOMER_CASHAPPS 102 - US"/>
    <s v=""/>
    <s v="ACH CONCENTRATION CREDIT ACH CASH CONCENTRATION AMERICAN FOREIGN-BILL.COM American  Bill.com                                               015MRNWKHRWP 41O"/>
    <m/>
    <m/>
    <m/>
    <m/>
    <m/>
    <m/>
    <m/>
    <m/>
    <m/>
    <m/>
    <m/>
    <m/>
    <m/>
    <m/>
    <m/>
    <m/>
    <m/>
    <m/>
    <m/>
    <m/>
    <m/>
    <m/>
    <m/>
    <m/>
    <m/>
    <m/>
    <m/>
    <m/>
    <m/>
    <m/>
  </r>
  <r>
    <s v="102 - US"/>
    <d v="2022-11-04T00:00:00"/>
    <s v="NOVEMBER"/>
    <x v="2"/>
    <x v="0"/>
    <s v="Deposited"/>
    <s v="PMT-S151-157433"/>
    <s v=""/>
    <s v="USD"/>
    <n v="-2085"/>
    <n v="-2085"/>
    <n v="2085"/>
    <n v="-250567.82"/>
    <s v="DUMMY CUSTOMER_CASHAPPS 102 - US"/>
    <s v=""/>
    <s v="ACH CONCENTRATION CREDIT ACH CASH CONCENTRATION UNITED NATIONS-3305888902 UNITED NA 3305888902                                             3305888902"/>
    <m/>
    <m/>
    <m/>
    <m/>
    <m/>
    <m/>
    <m/>
    <m/>
    <m/>
    <m/>
    <m/>
    <m/>
    <m/>
    <m/>
    <m/>
    <m/>
    <m/>
    <m/>
    <m/>
    <m/>
    <m/>
    <m/>
    <m/>
    <m/>
    <m/>
    <m/>
    <m/>
    <m/>
    <m/>
    <m/>
  </r>
  <r>
    <s v="102 - US"/>
    <d v="2022-10-14T00:00:00"/>
    <s v="OCTOBER"/>
    <x v="2"/>
    <x v="0"/>
    <s v="Deposited"/>
    <s v="PMT-S151-156027"/>
    <s v=""/>
    <s v="USD"/>
    <n v="-2032.49"/>
    <n v="-2032.49"/>
    <n v="2032.49"/>
    <n v="-2032.49"/>
    <s v="Feeding Westchester"/>
    <s v=""/>
    <s v="CHECK"/>
    <m/>
    <m/>
    <m/>
    <m/>
    <m/>
    <m/>
    <m/>
    <m/>
    <m/>
    <m/>
    <m/>
    <m/>
    <m/>
    <m/>
    <m/>
    <m/>
    <m/>
    <m/>
    <m/>
    <m/>
    <m/>
    <m/>
    <m/>
    <m/>
    <m/>
    <m/>
    <m/>
    <m/>
    <m/>
    <m/>
  </r>
  <r>
    <s v="102 - US"/>
    <d v="2023-09-25T00:00:00"/>
    <s v="SEPTEMBER"/>
    <x v="3"/>
    <x v="0"/>
    <s v="Deposited"/>
    <s v="PMT-S151-175314"/>
    <s v="IN-S151-559407"/>
    <s v="USD"/>
    <n v="-4000"/>
    <n v="-4000"/>
    <n v="2000"/>
    <n v="-2000"/>
    <s v="BioSTL"/>
    <s v=""/>
    <s v="ACH CONCENTRATION CREDIT ACH CASH CONCENTRATION BIOGENFU1 3638-PAYMENTS BIOGENFU1 PAYMENTS Meltwater News"/>
    <m/>
    <m/>
    <m/>
    <m/>
    <m/>
    <m/>
    <m/>
    <m/>
    <m/>
    <m/>
    <m/>
    <m/>
    <m/>
    <m/>
    <m/>
    <m/>
    <m/>
    <m/>
    <m/>
    <m/>
    <m/>
    <m/>
    <m/>
    <m/>
    <m/>
    <m/>
    <m/>
    <m/>
    <m/>
    <m/>
  </r>
  <r>
    <s v="102 - US"/>
    <d v="2024-10-28T00:00:00"/>
    <s v="OCTOBER"/>
    <x v="4"/>
    <x v="0"/>
    <s v="Deposited"/>
    <s v="PMT-S151-195665"/>
    <s v="IN-S151-574748"/>
    <s v="USD"/>
    <n v="-22000"/>
    <n v="-22000"/>
    <n v="2000"/>
    <n v="-2000"/>
    <s v="Cover Genius Trading Pty Ltd"/>
    <s v=""/>
    <s v="COVER GENIUS HOLDINGS PTY LTD COUPA PAY 821-2622 COVER GENIUS HOL DINGS PTY LTD TMATE /ROC/12397127124613 FX USD 22000.00 AT 0.6756200 200226969/TMS/2024-10-27T21:33:18 GMT/MID/0.661282"/>
    <m/>
    <m/>
    <m/>
    <m/>
    <m/>
    <m/>
    <m/>
    <m/>
    <m/>
    <m/>
    <m/>
    <m/>
    <m/>
    <m/>
    <m/>
    <m/>
    <m/>
    <m/>
    <m/>
    <m/>
    <m/>
    <m/>
    <m/>
    <m/>
    <m/>
    <m/>
    <m/>
    <m/>
    <m/>
    <m/>
  </r>
  <r>
    <s v="102 - US"/>
    <d v="2022-11-07T00:00:00"/>
    <s v="NOVEMBER"/>
    <x v="2"/>
    <x v="0"/>
    <s v="Deposited"/>
    <s v="PMT-S151-157478"/>
    <s v=""/>
    <s v="USD"/>
    <n v="-1800"/>
    <n v="-1800"/>
    <n v="1800"/>
    <n v="-1800"/>
    <s v="Concord University"/>
    <s v="Jose Castellanos-103"/>
    <s v="IN-S151-544931 got credited CM-S151-13155"/>
    <m/>
    <m/>
    <m/>
    <m/>
    <m/>
    <m/>
    <m/>
    <m/>
    <m/>
    <m/>
    <m/>
    <m/>
    <m/>
    <m/>
    <m/>
    <m/>
    <m/>
    <m/>
    <m/>
    <m/>
    <m/>
    <m/>
    <m/>
    <m/>
    <m/>
    <m/>
    <m/>
    <m/>
    <m/>
    <m/>
  </r>
  <r>
    <s v="102 - US"/>
    <d v="2025-12-12T00:00:00"/>
    <s v="DECEMBER"/>
    <x v="0"/>
    <x v="0"/>
    <s v="Deposited"/>
    <s v="PMT-S151-215552"/>
    <s v=""/>
    <s v="USD"/>
    <n v="-1750"/>
    <n v="-1750"/>
    <n v="1750"/>
    <n v="-250567.82"/>
    <s v="DUMMY CUSTOMER_CASHAPPS 102 - US"/>
    <s v=""/>
    <s v="ACH CONCENTRATION CREDIT ACH CASH CONCENTRATION ELEVATED CULTIVA-E CULT ELEVATED  E CULT     E CULTIVATION"/>
    <m/>
    <m/>
    <m/>
    <m/>
    <m/>
    <m/>
    <m/>
    <m/>
    <m/>
    <m/>
    <m/>
    <m/>
    <m/>
    <m/>
    <m/>
    <m/>
    <m/>
    <m/>
    <m/>
    <m/>
    <m/>
    <m/>
    <m/>
    <m/>
    <m/>
    <m/>
    <m/>
    <m/>
    <m/>
    <m/>
  </r>
  <r>
    <s v="102 - US"/>
    <d v="2022-10-28T00:00:00"/>
    <s v="OCTOBER"/>
    <x v="2"/>
    <x v="0"/>
    <s v="Deposited"/>
    <s v="PMT-S151-157014"/>
    <s v=""/>
    <s v="USD"/>
    <n v="-1500"/>
    <n v="-1500"/>
    <n v="1500"/>
    <n v="-250567.82"/>
    <s v="DUMMY CUSTOMER_CASHAPPS 102 - US"/>
    <s v=""/>
    <s v="ACH CONCENTRATION CREDIT ACH CORP TRADE PAYMENT FROM LAWRENCE LIV NAT LAWRENCE  PAYABLES LAWRENCE LIVERM"/>
    <m/>
    <m/>
    <m/>
    <m/>
    <m/>
    <m/>
    <m/>
    <m/>
    <m/>
    <m/>
    <m/>
    <m/>
    <m/>
    <m/>
    <m/>
    <m/>
    <m/>
    <m/>
    <m/>
    <m/>
    <m/>
    <m/>
    <m/>
    <m/>
    <m/>
    <m/>
    <m/>
    <m/>
    <m/>
    <m/>
  </r>
  <r>
    <s v="102 - US"/>
    <d v="2025-10-30T00:00:00"/>
    <s v="OCTOBER"/>
    <x v="0"/>
    <x v="0"/>
    <s v="Deposited"/>
    <s v="PMT-S151-213059"/>
    <s v=""/>
    <s v="USD"/>
    <n v="-1500"/>
    <n v="-1500"/>
    <n v="1500"/>
    <n v="-1500"/>
    <s v="Echelon Insights"/>
    <s v="Yangzom Vitali-116"/>
    <s v="FOREIGN REMITTANCE CREDIT 33RECD CHIP PNC BANK*ORG:ECHELON INSIGHTS LLC,ALEX ANDRIA VA 22314 3029 US,STE 250*OGB:PNC BANK,N.A.,US/CAMP HILL,17001-0297,PA 500 FIRST AVEN*BNF:MELTWATER NEWS US INC,REDWOOD CITY         CA/US,275 SHO* BBI:/INT/202510884077*STCHIPSEQ:00158840*TIME:0111*YOUR REF:IN-S151-587978*OU R REF:303170378"/>
    <m/>
    <m/>
    <m/>
    <m/>
    <m/>
    <m/>
    <m/>
    <m/>
    <m/>
    <m/>
    <m/>
    <m/>
    <m/>
    <m/>
    <m/>
    <m/>
    <m/>
    <m/>
    <m/>
    <m/>
    <m/>
    <m/>
    <m/>
    <m/>
    <m/>
    <m/>
    <m/>
    <m/>
    <m/>
    <m/>
  </r>
  <r>
    <s v="102 - US"/>
    <d v="2026-01-16T00:00:00"/>
    <s v="JANUARY"/>
    <x v="1"/>
    <x v="0"/>
    <s v="Deposited"/>
    <s v="PMT-S151-217537"/>
    <s v=""/>
    <s v="USD"/>
    <n v="-1498.72"/>
    <n v="-1498.72"/>
    <n v="1498.72"/>
    <n v="-1498.72"/>
    <s v="Elevate Textiles"/>
    <s v=""/>
    <s v="ACH CONCENTRATION CREDIT ACH CORP TRADE PAYMENT FROM ELEVATE TEXTILES ELEVATE T CORP PMT 488174"/>
    <m/>
    <m/>
    <m/>
    <m/>
    <m/>
    <m/>
    <m/>
    <m/>
    <m/>
    <m/>
    <m/>
    <m/>
    <m/>
    <m/>
    <m/>
    <m/>
    <m/>
    <m/>
    <m/>
    <m/>
    <m/>
    <m/>
    <m/>
    <m/>
    <m/>
    <m/>
    <m/>
    <m/>
    <m/>
    <m/>
  </r>
  <r>
    <s v="102 - US"/>
    <d v="2026-05-01T00:00:00"/>
    <s v="MAY"/>
    <x v="1"/>
    <x v="0"/>
    <s v="Deposited"/>
    <s v="PMT-S151-223677"/>
    <s v=""/>
    <s v="USD"/>
    <n v="-1450"/>
    <n v="-1450"/>
    <n v="1450"/>
    <n v="-1450"/>
    <s v="Celigo CAM USD"/>
    <s v=""/>
    <s v=""/>
    <m/>
    <m/>
    <m/>
    <m/>
    <m/>
    <m/>
    <m/>
    <m/>
    <m/>
    <m/>
    <m/>
    <m/>
    <m/>
    <m/>
    <m/>
    <m/>
    <m/>
    <m/>
    <m/>
    <m/>
    <m/>
    <m/>
    <m/>
    <m/>
    <m/>
    <m/>
    <m/>
    <m/>
    <m/>
    <m/>
  </r>
  <r>
    <s v="102 - US"/>
    <d v="2024-08-29T00:00:00"/>
    <s v="AUGUST"/>
    <x v="4"/>
    <x v="0"/>
    <s v="Deposited"/>
    <s v="PMT-S151-192922"/>
    <s v=""/>
    <s v="USD"/>
    <n v="-1379.91"/>
    <n v="-1379.91"/>
    <n v="1379.91"/>
    <n v="-250567.82"/>
    <s v="DUMMY CUSTOMER_CASHAPPS 102 - US"/>
    <s v=""/>
    <s v="ACH CONCENTRATION CREDIT ACH CASH CONCENTRATION DANIEL J EDELMAN-PAYMENTS Daniel J  PAYMENTS                                                      01VEND031547 USD"/>
    <m/>
    <m/>
    <m/>
    <m/>
    <m/>
    <m/>
    <m/>
    <m/>
    <m/>
    <m/>
    <m/>
    <m/>
    <m/>
    <m/>
    <m/>
    <m/>
    <m/>
    <m/>
    <m/>
    <m/>
    <m/>
    <m/>
    <m/>
    <m/>
    <m/>
    <m/>
    <m/>
    <m/>
    <m/>
    <m/>
  </r>
  <r>
    <s v="102 - US"/>
    <d v="2026-02-27T00:00:00"/>
    <s v="FEBRUARY"/>
    <x v="1"/>
    <x v="0"/>
    <s v="Deposited"/>
    <s v="PMT-S151-220382"/>
    <s v="IN-S151-592980"/>
    <s v="USD"/>
    <n v="-46120.26"/>
    <n v="-46120.26"/>
    <n v="1320.26"/>
    <n v="-1320.26"/>
    <s v="Adobe Inc"/>
    <s v=""/>
    <s v="ACH CONCENTRATION CREDIT ACH CASH CONCENTRATION ADOBE INC.-PAYMENTS Adobe Inc PAYMENTS 5101172354"/>
    <m/>
    <m/>
    <m/>
    <m/>
    <m/>
    <m/>
    <m/>
    <m/>
    <m/>
    <m/>
    <m/>
    <m/>
    <m/>
    <m/>
    <m/>
    <m/>
    <m/>
    <m/>
    <m/>
    <m/>
    <m/>
    <m/>
    <m/>
    <m/>
    <m/>
    <m/>
    <m/>
    <m/>
    <m/>
    <m/>
  </r>
  <r>
    <s v="102 - US"/>
    <d v="2025-10-20T00:00:00"/>
    <s v="OCTOBER"/>
    <x v="0"/>
    <x v="0"/>
    <s v="Deposited"/>
    <s v="PMT-S151-212382"/>
    <s v=""/>
    <s v="USD"/>
    <n v="-1250"/>
    <n v="-1250"/>
    <n v="1250"/>
    <n v="-1250"/>
    <s v="National Congress of American Indians"/>
    <s v=""/>
    <s v=""/>
    <m/>
    <m/>
    <m/>
    <m/>
    <m/>
    <m/>
    <m/>
    <m/>
    <m/>
    <m/>
    <m/>
    <m/>
    <m/>
    <m/>
    <m/>
    <m/>
    <m/>
    <m/>
    <m/>
    <m/>
    <m/>
    <m/>
    <m/>
    <m/>
    <m/>
    <m/>
    <m/>
    <m/>
    <m/>
    <m/>
  </r>
  <r>
    <s v="102 - US"/>
    <d v="2022-11-28T00:00:00"/>
    <s v="NOVEMBER"/>
    <x v="2"/>
    <x v="0"/>
    <s v="Deposited"/>
    <s v="PMT-S151-158621"/>
    <s v=""/>
    <s v="USD"/>
    <n v="-1200"/>
    <n v="-1200"/>
    <n v="1200"/>
    <n v="-1200"/>
    <s v="Registrar Corp"/>
    <s v=""/>
    <s v="CHECK"/>
    <m/>
    <m/>
    <m/>
    <m/>
    <m/>
    <m/>
    <m/>
    <m/>
    <m/>
    <m/>
    <m/>
    <m/>
    <m/>
    <m/>
    <m/>
    <m/>
    <m/>
    <m/>
    <m/>
    <m/>
    <m/>
    <m/>
    <m/>
    <m/>
    <m/>
    <m/>
    <m/>
    <m/>
    <m/>
    <m/>
  </r>
  <r>
    <s v="102 - US"/>
    <d v="2023-04-05T00:00:00"/>
    <s v="APRIL"/>
    <x v="3"/>
    <x v="0"/>
    <s v="Deposited"/>
    <s v="PMT-S151-166131"/>
    <s v="IN-S151-550789"/>
    <s v="USD"/>
    <n v="-4549"/>
    <n v="-4549"/>
    <n v="1000"/>
    <n v="-1000"/>
    <s v="Empower Healthcare Solutions, LLC"/>
    <s v=""/>
    <s v="ACH CONCENTRATION CREDIT ACH CASH CONCENTRATION EMPOWER HEALTH-VENDORPMT EMPOWER H VENDORPMT                                              VEN-00076"/>
    <m/>
    <m/>
    <m/>
    <m/>
    <m/>
    <m/>
    <m/>
    <m/>
    <m/>
    <m/>
    <m/>
    <m/>
    <m/>
    <m/>
    <m/>
    <m/>
    <m/>
    <m/>
    <m/>
    <m/>
    <m/>
    <m/>
    <m/>
    <m/>
    <m/>
    <m/>
    <m/>
    <m/>
    <m/>
    <m/>
  </r>
  <r>
    <s v="102 - US"/>
    <d v="2023-02-21T00:00:00"/>
    <s v="FEBRUARY"/>
    <x v="3"/>
    <x v="0"/>
    <s v="Deposited"/>
    <s v="PMT-S151-163655"/>
    <s v=""/>
    <s v="USD"/>
    <n v="-970.92"/>
    <n v="-970.92"/>
    <n v="970.92"/>
    <n v="2004.08"/>
    <s v="Spotted MP (Marketing + Public Relations)"/>
    <s v=""/>
    <s v="CHECK"/>
    <m/>
    <m/>
    <m/>
    <m/>
    <m/>
    <m/>
    <m/>
    <m/>
    <m/>
    <m/>
    <m/>
    <m/>
    <m/>
    <m/>
    <m/>
    <m/>
    <m/>
    <m/>
    <m/>
    <m/>
    <m/>
    <m/>
    <m/>
    <m/>
    <m/>
    <m/>
    <m/>
    <m/>
    <m/>
    <m/>
  </r>
  <r>
    <s v="102 - US"/>
    <d v="2023-02-13T00:00:00"/>
    <s v="FEBRUARY"/>
    <x v="3"/>
    <x v="0"/>
    <s v="Deposited"/>
    <s v="PMT-S151-163322"/>
    <s v=""/>
    <s v="USD"/>
    <n v="-958.69"/>
    <n v="-958.69"/>
    <n v="958.69"/>
    <n v="-958.69"/>
    <s v="Endeavor Real Estate Group"/>
    <s v=""/>
    <s v="CHECK"/>
    <m/>
    <m/>
    <m/>
    <m/>
    <m/>
    <m/>
    <m/>
    <m/>
    <m/>
    <m/>
    <m/>
    <m/>
    <m/>
    <m/>
    <m/>
    <m/>
    <m/>
    <m/>
    <m/>
    <m/>
    <m/>
    <m/>
    <m/>
    <m/>
    <m/>
    <m/>
    <m/>
    <m/>
    <m/>
    <m/>
  </r>
  <r>
    <s v="102 - US"/>
    <d v="2023-03-03T00:00:00"/>
    <s v="MARCH"/>
    <x v="3"/>
    <x v="0"/>
    <s v="Deposited"/>
    <s v="PMT-S151-164379"/>
    <s v="IN-S151-550647"/>
    <s v="USD"/>
    <n v="-11900"/>
    <n v="-11900"/>
    <n v="900"/>
    <n v="11475"/>
    <s v="The Bridgespan Group"/>
    <s v=""/>
    <s v="INCOMING MONEY TRANSFER 53RECD FED BANK OF AMERICA N.A.*ORG:THE BRIDGESPA N GROUP INC,02116 US MA,BOSTON,535 BOYLSTON*OGB:BANK OF AMERICA N.A.,NEW YORK 100 WEST 33RD STREET*BNF:MELTWATER NEWS US INC,REDWOOD CITY         CA/US,ST E 165*OBI:THE BRIDGESPAN GROUP INVOICE IN -S151-550647*STFEDSEQ:B1Q8981R00313 3*TIME:1508*YOUR REF:2333E05202UL2A81*OUR REF 062610842"/>
    <m/>
    <m/>
    <m/>
    <m/>
    <m/>
    <m/>
    <m/>
    <m/>
    <m/>
    <m/>
    <m/>
    <m/>
    <m/>
    <m/>
    <m/>
    <m/>
    <m/>
    <m/>
    <m/>
    <m/>
    <m/>
    <m/>
    <m/>
    <m/>
    <m/>
    <m/>
    <m/>
    <m/>
    <m/>
    <m/>
  </r>
  <r>
    <s v="102 - US"/>
    <d v="2025-07-10T00:00:00"/>
    <s v="JULY"/>
    <x v="0"/>
    <x v="0"/>
    <s v="Deposited"/>
    <s v="PMT-S151-207582"/>
    <s v=""/>
    <s v="USD"/>
    <n v="-881.54"/>
    <n v="-881.54"/>
    <n v="881.54"/>
    <n v="-2065"/>
    <s v="Third Round Analytics Capital, LLC"/>
    <s v=""/>
    <s v="INCOMING MONEY TRANSFER 53RECD FED COLUMN NATIONAL ASSOCIATION*ORG:TRAC UNICO RN FUND II,SONOMA,CA,US,557 THIRD STREET EA*BNF:MELTWATER NEWS US INC,REDW OOD CITY         CA/US,275 SHO*OBI:FFC MELTWATER NEWS US INC DBA OWLER 183332 760005 UNICORN FUND II*STFEDSEQ:B1Q8981R003826*TIME:1701*YOUR REF:NONREF*OUR REF:191469883"/>
    <m/>
    <m/>
    <m/>
    <m/>
    <m/>
    <m/>
    <m/>
    <m/>
    <m/>
    <m/>
    <m/>
    <m/>
    <m/>
    <m/>
    <m/>
    <m/>
    <m/>
    <m/>
    <m/>
    <m/>
    <m/>
    <m/>
    <m/>
    <m/>
    <m/>
    <m/>
    <m/>
    <m/>
    <m/>
    <m/>
  </r>
  <r>
    <s v="102 - US"/>
    <d v="2023-02-17T00:00:00"/>
    <s v="FEBRUARY"/>
    <x v="3"/>
    <x v="0"/>
    <s v="Deposited"/>
    <s v="PMT-S151-163637"/>
    <s v=""/>
    <s v="USD"/>
    <n v="-814.24"/>
    <n v="-814.24"/>
    <n v="814.24"/>
    <n v="-2166.46"/>
    <s v="International Rescue Committee"/>
    <s v="Jason Welch"/>
    <s v="ACH CONCENTRATION CREDIT ACH CASH CONCENTRATION INTLRESC-INTLRESC INTLRESC  INTLRESC                             0 0031625"/>
    <m/>
    <m/>
    <m/>
    <m/>
    <m/>
    <m/>
    <m/>
    <m/>
    <m/>
    <m/>
    <m/>
    <m/>
    <m/>
    <m/>
    <m/>
    <m/>
    <m/>
    <m/>
    <m/>
    <m/>
    <m/>
    <m/>
    <m/>
    <m/>
    <m/>
    <m/>
    <m/>
    <m/>
    <m/>
    <m/>
  </r>
  <r>
    <s v="102 - US"/>
    <d v="2026-02-12T00:00:00"/>
    <s v="FEBRUARY"/>
    <x v="1"/>
    <x v="0"/>
    <s v="Deposited"/>
    <s v="PMT-S151-219378"/>
    <s v="IN-S151-592338"/>
    <s v="USD"/>
    <n v="-18311.53"/>
    <n v="-18311.53"/>
    <n v="762.97"/>
    <n v="-762.97"/>
    <s v="Fishman"/>
    <s v="Jordan Irvine"/>
    <s v=""/>
    <m/>
    <m/>
    <m/>
    <m/>
    <m/>
    <m/>
    <m/>
    <m/>
    <m/>
    <m/>
    <m/>
    <m/>
    <m/>
    <m/>
    <m/>
    <m/>
    <m/>
    <m/>
    <m/>
    <m/>
    <m/>
    <m/>
    <m/>
    <m/>
    <m/>
    <m/>
    <m/>
    <m/>
    <m/>
    <m/>
  </r>
  <r>
    <s v="102 - US"/>
    <d v="2023-05-19T00:00:00"/>
    <s v="MAY"/>
    <x v="3"/>
    <x v="0"/>
    <s v="Deposited"/>
    <s v="PMT-S151-168472"/>
    <s v="IN-S151-553966"/>
    <s v="USD"/>
    <n v="-38800"/>
    <n v="-38800"/>
    <n v="725"/>
    <n v="-10420"/>
    <s v="Amarin Pharma, Inc."/>
    <s v="Sarah Shoemaker-MW"/>
    <s v="FOREIGN REMITTANCE CREDIT 33RECD CHIP JPMORGAN CHASE BANK*ORG:AMARIN SWITZERLAN D GMBH,CH/ZUG 6300,BAARERSTRASSE 75*OGB:JPMORGAN CHASE BANK,N.A.,ZUERICH,DRE IKOENIGSTRASSE 21*BNF:MELTWATER NEWS US INC,SAN FRANCISCO        CA/US,225 BU S*OBI:/ROC/649*STCHIPSEQ:0150770*TIME:0208*YOUR REF:SWF OF 23/05/19*OUR REF:1 39399668"/>
    <m/>
    <m/>
    <m/>
    <m/>
    <m/>
    <m/>
    <m/>
    <m/>
    <m/>
    <m/>
    <m/>
    <m/>
    <m/>
    <m/>
    <m/>
    <m/>
    <m/>
    <m/>
    <m/>
    <m/>
    <m/>
    <m/>
    <m/>
    <m/>
    <m/>
    <m/>
    <m/>
    <m/>
    <m/>
    <m/>
  </r>
  <r>
    <s v="102 - US"/>
    <d v="2022-08-19T00:00:00"/>
    <s v="AUGUST"/>
    <x v="2"/>
    <x v="0"/>
    <s v="Deposited"/>
    <s v="PMT-S151-152778"/>
    <s v=""/>
    <s v="USD"/>
    <n v="-703"/>
    <n v="-703"/>
    <n v="703"/>
    <n v="-703"/>
    <s v="Rappi Latin America"/>
    <s v="Yangzom Vitali-116"/>
    <s v="FOREIGN REMITTANCE CREDIT 33RECD CHIP CITIBANK NA*ORG:RAPPI SAS - USD,CALLE 93 NUMERO 19-58  BOGOTA*OGB:CITIBANK NA,NEW YORK*BNF:MELTWATER NEWS US INC,SAN F RANCISCO        CA/US,STE 100*STCHIPSEQ:0442872*TIME:1420*YOUR REF:NONREF*OUR REF:231572351"/>
    <m/>
    <m/>
    <m/>
    <m/>
    <m/>
    <m/>
    <m/>
    <m/>
    <m/>
    <m/>
    <m/>
    <m/>
    <m/>
    <m/>
    <m/>
    <m/>
    <m/>
    <m/>
    <m/>
    <m/>
    <m/>
    <m/>
    <m/>
    <m/>
    <m/>
    <m/>
    <m/>
    <m/>
    <m/>
    <m/>
  </r>
  <r>
    <s v="102 - US"/>
    <d v="2022-12-27T00:00:00"/>
    <s v="DECEMBER"/>
    <x v="2"/>
    <x v="0"/>
    <s v="Deposited"/>
    <s v="PMT-S151-160523"/>
    <s v=""/>
    <s v="USD"/>
    <n v="-700"/>
    <n v="-700"/>
    <n v="700"/>
    <n v="-250567.82"/>
    <s v="DUMMY CUSTOMER_CASHAPPS 102 - US"/>
    <s v=""/>
    <s v="ACH CONCENTRATION CREDIT ACH CASH CONCENTRATION ASSOCIATION OF C-RECEIVABLE Associati                            R eceivable                                                       016WJTGPY2HQS J0"/>
    <m/>
    <m/>
    <m/>
    <m/>
    <m/>
    <m/>
    <m/>
    <m/>
    <m/>
    <m/>
    <m/>
    <m/>
    <m/>
    <m/>
    <m/>
    <m/>
    <m/>
    <m/>
    <m/>
    <m/>
    <m/>
    <m/>
    <m/>
    <m/>
    <m/>
    <m/>
    <m/>
    <m/>
    <m/>
    <m/>
  </r>
  <r>
    <s v="102 - US"/>
    <d v="2025-07-10T00:00:00"/>
    <s v="JULY"/>
    <x v="0"/>
    <x v="0"/>
    <s v="Deposited"/>
    <s v="PMT-S151-207581"/>
    <s v=""/>
    <s v="USD"/>
    <n v="-667.21"/>
    <n v="-667.21"/>
    <n v="667.21"/>
    <n v="-2065"/>
    <s v="Third Round Analytics Capital, LLC"/>
    <s v=""/>
    <s v="INCOMING MONEY TRANSFER 53RECD FED COLUMN NATIONAL ASSOCIATION*ORG:TRAC UNICO RN FUND 1,LP,SONOMA,CA,US,557 THIRD STREET*BNF:MELTWATER NEWS US INC,REDW OOD CITY         CA/US,275 SHO*OBI:FFC MELTWATER NEWS US INC DBA OWLER 183332 760005 UNICORN FUND*STFEDSEQ:B1Q8982R003810*TIME:1701*YOUR REF:NONREF*OUR REF :191469884"/>
    <m/>
    <m/>
    <m/>
    <m/>
    <m/>
    <m/>
    <m/>
    <m/>
    <m/>
    <m/>
    <m/>
    <m/>
    <m/>
    <m/>
    <m/>
    <m/>
    <m/>
    <m/>
    <m/>
    <m/>
    <m/>
    <m/>
    <m/>
    <m/>
    <m/>
    <m/>
    <m/>
    <m/>
    <m/>
    <m/>
  </r>
  <r>
    <s v="102 - US"/>
    <d v="2023-03-08T00:00:00"/>
    <s v="MARCH"/>
    <x v="3"/>
    <x v="0"/>
    <s v="Deposited"/>
    <s v="PMT-S151-164601"/>
    <s v="IN-S151-547382"/>
    <s v="USD"/>
    <n v="-4860"/>
    <n v="-4860"/>
    <n v="660"/>
    <n v="-660"/>
    <s v="VITRO VIDRIERA MONTERREY"/>
    <s v=""/>
    <s v="FOREIGN REMITTANCE CREDIT 33RECD CHIP BANK OF AMERICA N.A.*ORG:VITRO VIDRIER A MONTE RREY SA D,MEX,64410 MONTERREY,KERAM*OGB:BANCO MERCANTIL DEL NORTE,S. A.,IN,MONTERREY,COL. PRIMA*BNF:MELTWATER NEWS US INC,REDWOOD CITY         CA /US,STE 165*OBI:XXXXXXXXXXXXXXXXXXXXXXXXXXXXXXXXXXX XXXXXXXXXXXXXXXXXXXXXXXXX XXXXXXXXXX XXXXXXXXXXXXXXXXXXXXXXXXX+*STCHIPSEQ:0349018*TIME:1016*YOUR REF:42 64968275301103*OUR REF:067539921"/>
    <m/>
    <m/>
    <m/>
    <m/>
    <m/>
    <m/>
    <m/>
    <m/>
    <m/>
    <m/>
    <m/>
    <m/>
    <m/>
    <m/>
    <m/>
    <m/>
    <m/>
    <m/>
    <m/>
    <m/>
    <m/>
    <m/>
    <m/>
    <m/>
    <m/>
    <m/>
    <m/>
    <m/>
    <m/>
    <m/>
  </r>
  <r>
    <s v="102 - US"/>
    <d v="2024-01-29T00:00:00"/>
    <s v="JANUARY"/>
    <x v="4"/>
    <x v="0"/>
    <s v="Deposited"/>
    <s v="PMT-S151-182181"/>
    <s v="IN-S151-564725"/>
    <s v="USD"/>
    <n v="-10093.75"/>
    <n v="-10093.75"/>
    <n v="593.75"/>
    <n v="-593.75"/>
    <s v="University of Massachusetts Lowell"/>
    <s v=""/>
    <s v="CHECK"/>
    <m/>
    <m/>
    <m/>
    <m/>
    <m/>
    <m/>
    <m/>
    <m/>
    <m/>
    <m/>
    <m/>
    <m/>
    <m/>
    <m/>
    <m/>
    <m/>
    <m/>
    <m/>
    <m/>
    <m/>
    <m/>
    <m/>
    <m/>
    <m/>
    <m/>
    <m/>
    <m/>
    <m/>
    <m/>
    <m/>
  </r>
  <r>
    <s v="102 - US"/>
    <d v="2025-07-10T00:00:00"/>
    <s v="JULY"/>
    <x v="0"/>
    <x v="0"/>
    <s v="Deposited"/>
    <s v="PMT-S151-207580"/>
    <s v=""/>
    <s v="USD"/>
    <n v="-516.25"/>
    <n v="-516.25"/>
    <n v="516.25"/>
    <n v="-2065"/>
    <s v="Third Round Analytics Capital, LLC"/>
    <s v=""/>
    <s v="INCOMING MONEY TRANSFER 53RECD FED COLUMN NATIONAL ASSOCIATION*ORG:THIRD ROUN D ANALYTICS CAPITAL,LLC,SONOMA,CA,US,557 3*BNF:MELTWATER NEWS US INC,REDW OOD CITY         CA/US,275 SHO*OBI:FFC MELTWATER NEWS US INC DBA OWLER 183332 760005 TRAC LLC SWEEP ACCOUN T*STFEDSEQ:B1Q8981R003827*TIME:1701*YOUR REF:NON REF*OUR REF:191469885"/>
    <m/>
    <m/>
    <m/>
    <m/>
    <m/>
    <m/>
    <m/>
    <m/>
    <m/>
    <m/>
    <m/>
    <m/>
    <m/>
    <m/>
    <m/>
    <m/>
    <m/>
    <m/>
    <m/>
    <m/>
    <m/>
    <m/>
    <m/>
    <m/>
    <m/>
    <m/>
    <m/>
    <m/>
    <m/>
    <m/>
  </r>
  <r>
    <s v="102 - US"/>
    <d v="2026-01-29T00:00:00"/>
    <s v="JANUARY"/>
    <x v="1"/>
    <x v="0"/>
    <s v="Deposited"/>
    <s v="PMT-S151-218355"/>
    <s v="IN-S151-588123"/>
    <s v="USD"/>
    <n v="-37552"/>
    <n v="-37552"/>
    <n v="508"/>
    <n v="-508"/>
    <s v="Heartland Institute"/>
    <s v=""/>
    <s v="ACH CONCENTRATION CREDIT ACH CASH CONCENTRATION HEARTLAND INSTIT-PAYMENTS HEARTLAND PAYMENTS                                               MELTWATER"/>
    <m/>
    <m/>
    <m/>
    <m/>
    <m/>
    <m/>
    <m/>
    <m/>
    <m/>
    <m/>
    <m/>
    <m/>
    <m/>
    <m/>
    <m/>
    <m/>
    <m/>
    <m/>
    <m/>
    <m/>
    <m/>
    <m/>
    <m/>
    <m/>
    <m/>
    <m/>
    <m/>
    <m/>
    <m/>
    <m/>
  </r>
  <r>
    <s v="102 - US"/>
    <d v="2024-11-19T00:00:00"/>
    <s v="NOVEMBER"/>
    <x v="4"/>
    <x v="0"/>
    <s v="Deposited"/>
    <s v="PMT-S151-196620"/>
    <s v=""/>
    <s v="USD"/>
    <n v="-505"/>
    <n v="-505"/>
    <n v="505"/>
    <n v="-505"/>
    <s v="Nez Perce Tribe"/>
    <s v=""/>
    <s v="CHECK"/>
    <m/>
    <m/>
    <m/>
    <m/>
    <m/>
    <m/>
    <m/>
    <m/>
    <m/>
    <m/>
    <m/>
    <m/>
    <m/>
    <m/>
    <m/>
    <m/>
    <m/>
    <m/>
    <m/>
    <m/>
    <m/>
    <m/>
    <m/>
    <m/>
    <m/>
    <m/>
    <m/>
    <m/>
    <m/>
    <m/>
  </r>
  <r>
    <s v="102 - US"/>
    <d v="2022-08-22T00:00:00"/>
    <s v="AUGUST"/>
    <x v="2"/>
    <x v="0"/>
    <s v="Deposited"/>
    <s v="PMT-S151-152879"/>
    <s v="IN-S151-540721"/>
    <s v="USD"/>
    <n v="-10500"/>
    <n v="-10500"/>
    <n v="500"/>
    <n v="-500"/>
    <s v="Caribbean Ideas"/>
    <s v=""/>
    <s v="FOREIGN REMITTANCE CREDIT 33RECD CHIP JPMORGAN CHASE BANK*ORG:CARIBBEAN IDEAS L IMITED,TRINIDAD AND TOBAGO,ST CLAIR POR*OGB:REPUBLIC BANK LIMITED,PORT OF SPA IN,59 INDEPENDENCE SQUA*BNF:MELTWATER NEWS US INC,SAN FRANCISCO        CA/US STE 100*OBI:INV IN-S151-540721*BBI:/BNF/YR 601 MONTGOMERY ST NO 108 SA //N FR ANCISCO CA 94105 USA BR.*STCHIPSEQ:0502316*TIME:1219*YOUR REF:SWF OF 22/08/22 *OUR REF:234559427"/>
    <m/>
    <m/>
    <m/>
    <m/>
    <m/>
    <m/>
    <m/>
    <m/>
    <m/>
    <m/>
    <m/>
    <m/>
    <m/>
    <m/>
    <m/>
    <m/>
    <m/>
    <m/>
    <m/>
    <m/>
    <m/>
    <m/>
    <m/>
    <m/>
    <m/>
    <m/>
    <m/>
    <m/>
    <m/>
    <m/>
  </r>
  <r>
    <s v="102 - US"/>
    <d v="2023-08-04T00:00:00"/>
    <s v="AUGUST"/>
    <x v="3"/>
    <x v="0"/>
    <s v="Deposited"/>
    <s v="PMT-S151-172692"/>
    <s v=""/>
    <s v="USD"/>
    <n v="-500"/>
    <n v="-500"/>
    <n v="500"/>
    <n v="-500"/>
    <s v="Planting Hope Brands LLC"/>
    <s v=""/>
    <s v="ACH CONCENTRATION CREDIT ACH CASH CONCENTRATION PLANTING HOPE-CORP PAY PLANTING  CORP PAY                        M ELTWATER"/>
    <m/>
    <m/>
    <m/>
    <m/>
    <m/>
    <m/>
    <m/>
    <m/>
    <m/>
    <m/>
    <m/>
    <m/>
    <m/>
    <m/>
    <m/>
    <m/>
    <m/>
    <m/>
    <m/>
    <m/>
    <m/>
    <m/>
    <m/>
    <m/>
    <m/>
    <m/>
    <m/>
    <m/>
    <m/>
    <m/>
  </r>
  <r>
    <s v="102 - US"/>
    <d v="2023-02-17T00:00:00"/>
    <s v="FEBRUARY"/>
    <x v="3"/>
    <x v="0"/>
    <s v="Deposited"/>
    <s v="PMT-S151-163634"/>
    <s v=""/>
    <s v="USD"/>
    <n v="-450.74"/>
    <n v="-450.74"/>
    <n v="450.74"/>
    <n v="-2166.46"/>
    <s v="International Rescue Committee"/>
    <s v="Jason Welch"/>
    <s v="ACH CONCENTRATION CREDIT ACH CASH CONCENTRATION INTLRESC-INTLRESC INTLRESC  INTLRESC                             0 0031619"/>
    <m/>
    <m/>
    <m/>
    <m/>
    <m/>
    <m/>
    <m/>
    <m/>
    <m/>
    <m/>
    <m/>
    <m/>
    <m/>
    <m/>
    <m/>
    <m/>
    <m/>
    <m/>
    <m/>
    <m/>
    <m/>
    <m/>
    <m/>
    <m/>
    <m/>
    <m/>
    <m/>
    <m/>
    <m/>
    <m/>
  </r>
  <r>
    <s v="102 - US"/>
    <d v="2023-02-17T00:00:00"/>
    <s v="FEBRUARY"/>
    <x v="3"/>
    <x v="0"/>
    <s v="Deposited"/>
    <s v="PMT-S151-163635"/>
    <s v=""/>
    <s v="USD"/>
    <n v="-450.74"/>
    <n v="-450.74"/>
    <n v="450.74"/>
    <n v="-2166.46"/>
    <s v="International Rescue Committee"/>
    <s v="Jason Welch"/>
    <s v="ACH CONCENTRATION CREDIT ACH CASH CONCENTRATION INTLRESC-INTLRESC INTLRESC  INTLRESC                             0 0031621"/>
    <m/>
    <m/>
    <m/>
    <m/>
    <m/>
    <m/>
    <m/>
    <m/>
    <m/>
    <m/>
    <m/>
    <m/>
    <m/>
    <m/>
    <m/>
    <m/>
    <m/>
    <m/>
    <m/>
    <m/>
    <m/>
    <m/>
    <m/>
    <m/>
    <m/>
    <m/>
    <m/>
    <m/>
    <m/>
    <m/>
  </r>
  <r>
    <s v="102 - US"/>
    <d v="2023-02-17T00:00:00"/>
    <s v="FEBRUARY"/>
    <x v="3"/>
    <x v="0"/>
    <s v="Deposited"/>
    <s v="PMT-S151-163636"/>
    <s v=""/>
    <s v="USD"/>
    <n v="-450.74"/>
    <n v="-450.74"/>
    <n v="450.74"/>
    <n v="-2166.46"/>
    <s v="International Rescue Committee"/>
    <s v="Jason Welch"/>
    <s v="ACH CONCENTRATION CREDIT ACH CASH CONCENTRATION INTLRESC-INTLRESC INTLRESC  INTLRESC                             0 0031620"/>
    <m/>
    <m/>
    <m/>
    <m/>
    <m/>
    <m/>
    <m/>
    <m/>
    <m/>
    <m/>
    <m/>
    <m/>
    <m/>
    <m/>
    <m/>
    <m/>
    <m/>
    <m/>
    <m/>
    <m/>
    <m/>
    <m/>
    <m/>
    <m/>
    <m/>
    <m/>
    <m/>
    <m/>
    <m/>
    <m/>
  </r>
  <r>
    <s v="102 - US"/>
    <d v="2023-09-01T00:00:00"/>
    <s v="SEPTEMBER"/>
    <x v="3"/>
    <x v="0"/>
    <s v="Deposited"/>
    <s v="PMT-S151-174160"/>
    <s v="IN-S151-555332"/>
    <s v="USD"/>
    <n v="-55374.16"/>
    <n v="-55374.16"/>
    <n v="424.16"/>
    <n v="-424.16"/>
    <s v="UT Institution: University of Texas Arlington"/>
    <s v=""/>
    <s v="ACH CONCENTRATION CREDIT ACH CORP TRADE PAYMENT FROM UT ARLINGTON UT ARLING PAYMENTS AP0001610738"/>
    <m/>
    <m/>
    <m/>
    <m/>
    <m/>
    <m/>
    <m/>
    <m/>
    <m/>
    <m/>
    <m/>
    <m/>
    <m/>
    <m/>
    <m/>
    <m/>
    <m/>
    <m/>
    <m/>
    <m/>
    <m/>
    <m/>
    <m/>
    <m/>
    <m/>
    <m/>
    <m/>
    <m/>
    <m/>
    <m/>
  </r>
  <r>
    <s v="102 - US"/>
    <d v="2022-09-02T00:00:00"/>
    <s v="SEPTEMBER"/>
    <x v="2"/>
    <x v="0"/>
    <s v="Deposited"/>
    <s v="PMT-S151-153579"/>
    <s v="IN-S151-538297"/>
    <s v="USD"/>
    <n v="-17166.41"/>
    <n v="-17166.41"/>
    <n v="416.41"/>
    <n v="-416.41"/>
    <s v="Wisconsin Department of Natural Resources"/>
    <s v="Stephanie Thore"/>
    <s v="CHECK"/>
    <m/>
    <m/>
    <m/>
    <m/>
    <m/>
    <m/>
    <m/>
    <m/>
    <m/>
    <m/>
    <m/>
    <m/>
    <m/>
    <m/>
    <m/>
    <m/>
    <m/>
    <m/>
    <m/>
    <m/>
    <m/>
    <m/>
    <m/>
    <m/>
    <m/>
    <m/>
    <m/>
    <m/>
    <m/>
    <m/>
  </r>
  <r>
    <s v="102 - US"/>
    <d v="2026-01-13T00:00:00"/>
    <s v="JANUARY"/>
    <x v="1"/>
    <x v="0"/>
    <s v="Deposited"/>
    <s v="PMT-S151-217189"/>
    <s v="IN-S151-589418"/>
    <s v="USD"/>
    <n v="-5578.13"/>
    <n v="-5578.13"/>
    <n v="412.5"/>
    <n v="9672.75"/>
    <s v="Houston Community College (Winvale)"/>
    <s v="Emily Archer"/>
    <s v="PMT-S151-210889 to be applied to invoice IN-S151-589418"/>
    <m/>
    <m/>
    <m/>
    <m/>
    <m/>
    <m/>
    <m/>
    <m/>
    <m/>
    <m/>
    <m/>
    <m/>
    <m/>
    <m/>
    <m/>
    <m/>
    <m/>
    <m/>
    <m/>
    <m/>
    <m/>
    <m/>
    <m/>
    <m/>
    <m/>
    <m/>
    <m/>
    <m/>
    <m/>
    <m/>
  </r>
  <r>
    <s v="102 - US"/>
    <d v="2025-07-18T00:00:00"/>
    <s v="JULY"/>
    <x v="0"/>
    <x v="0"/>
    <s v="Deposited"/>
    <s v="PMT-S151-207996"/>
    <s v=""/>
    <s v="USD"/>
    <n v="-405.47"/>
    <n v="-405.47"/>
    <n v="405.47"/>
    <n v="-250567.82"/>
    <s v="DUMMY CUSTOMER_CASHAPPS 102 - US"/>
    <s v=""/>
    <s v="ACH CONCENTRATION CREDIT ACH CASH CONCENTRATION ENVIOLOL-PAYMENTS ENVIOLOL  PAYMENTS                             0 000010597"/>
    <m/>
    <m/>
    <m/>
    <m/>
    <m/>
    <m/>
    <m/>
    <m/>
    <m/>
    <m/>
    <m/>
    <m/>
    <m/>
    <m/>
    <m/>
    <m/>
    <m/>
    <m/>
    <m/>
    <m/>
    <m/>
    <m/>
    <m/>
    <m/>
    <m/>
    <m/>
    <m/>
    <m/>
    <m/>
    <m/>
  </r>
  <r>
    <s v="102 - US"/>
    <d v="2022-12-09T00:00:00"/>
    <s v="DECEMBER"/>
    <x v="2"/>
    <x v="0"/>
    <s v="Deposited"/>
    <s v="PMT-S151-159398"/>
    <s v=""/>
    <s v="USD"/>
    <n v="-345"/>
    <n v="-345"/>
    <n v="345"/>
    <n v="-345"/>
    <s v="Spring Hill College"/>
    <s v=""/>
    <s v="ACH CONCENTRATION CREDIT ACH CASH CONCENTRATION SHC A/P-AP DEPOSIT SHC A/P   AP DEPOSIT 405252"/>
    <m/>
    <m/>
    <m/>
    <m/>
    <m/>
    <m/>
    <m/>
    <m/>
    <m/>
    <m/>
    <m/>
    <m/>
    <m/>
    <m/>
    <m/>
    <m/>
    <m/>
    <m/>
    <m/>
    <m/>
    <m/>
    <m/>
    <m/>
    <m/>
    <m/>
    <m/>
    <m/>
    <m/>
    <m/>
    <m/>
  </r>
  <r>
    <s v="102 - US"/>
    <d v="2025-07-18T00:00:00"/>
    <s v="JULY"/>
    <x v="0"/>
    <x v="0"/>
    <s v="Deposited"/>
    <s v="PMT-S151-207995"/>
    <s v=""/>
    <s v="USD"/>
    <n v="-312.81"/>
    <n v="-312.81"/>
    <n v="312.81"/>
    <n v="-250567.82"/>
    <s v="DUMMY CUSTOMER_CASHAPPS 102 - US"/>
    <s v=""/>
    <s v="ACH CONCENTRATION CREDIT ACH CASH CONCENTRATION ENVIOLOL-PAYMENTS ENVIOLOL  PAYMENTS                             0 000027273"/>
    <m/>
    <m/>
    <m/>
    <m/>
    <m/>
    <m/>
    <m/>
    <m/>
    <m/>
    <m/>
    <m/>
    <m/>
    <m/>
    <m/>
    <m/>
    <m/>
    <m/>
    <m/>
    <m/>
    <m/>
    <m/>
    <m/>
    <m/>
    <m/>
    <m/>
    <m/>
    <m/>
    <m/>
    <m/>
    <m/>
  </r>
  <r>
    <s v="102 - US"/>
    <d v="2025-03-21T00:00:00"/>
    <s v="MARCH"/>
    <x v="0"/>
    <x v="0"/>
    <s v="Deposited"/>
    <s v="PMT-S151-203040"/>
    <s v="IN-S151-580304"/>
    <s v="USD"/>
    <n v="-7800"/>
    <n v="-7800"/>
    <n v="281"/>
    <n v="-281"/>
    <s v="MGA Entertainment Inc"/>
    <s v="Jose Castellanos-103"/>
    <s v="ACH CONCENTRATION CREDIT ACH CORP TRADE PAYMENT FROM MGA ENTERTAINMEN MGA ENTER 1001000548 10010005481"/>
    <m/>
    <m/>
    <m/>
    <m/>
    <m/>
    <m/>
    <m/>
    <m/>
    <m/>
    <m/>
    <m/>
    <m/>
    <m/>
    <m/>
    <m/>
    <m/>
    <m/>
    <m/>
    <m/>
    <m/>
    <m/>
    <m/>
    <m/>
    <m/>
    <m/>
    <m/>
    <m/>
    <m/>
    <m/>
    <m/>
  </r>
  <r>
    <s v="102 - US"/>
    <d v="2023-08-16T00:00:00"/>
    <s v="AUGUST"/>
    <x v="3"/>
    <x v="0"/>
    <s v="Deposited"/>
    <s v="PMT-S151-173331"/>
    <s v=""/>
    <s v="USD"/>
    <n v="-280"/>
    <n v="-280"/>
    <n v="280"/>
    <n v="-280"/>
    <s v="Soliant Health"/>
    <s v="Stephanie Thore"/>
    <s v="ACH CREDIT ACH DEPOSIT FROM SOLIANT HEALTH,-PAYMENTJNL                                       S OLIANT H PAYMENTJNL                                             V00001448"/>
    <m/>
    <m/>
    <m/>
    <m/>
    <m/>
    <m/>
    <m/>
    <m/>
    <m/>
    <m/>
    <m/>
    <m/>
    <m/>
    <m/>
    <m/>
    <m/>
    <m/>
    <m/>
    <m/>
    <m/>
    <m/>
    <m/>
    <m/>
    <m/>
    <m/>
    <m/>
    <m/>
    <m/>
    <m/>
    <m/>
  </r>
  <r>
    <s v="102 - US"/>
    <d v="2022-06-13T00:00:00"/>
    <s v="JUNE"/>
    <x v="2"/>
    <x v="0"/>
    <s v="Deposited"/>
    <s v="PMT-S151-149001"/>
    <s v=""/>
    <s v="USD"/>
    <n v="-275.37"/>
    <n v="-275.37"/>
    <n v="275.37"/>
    <n v="-275.37"/>
    <s v="OSI Group"/>
    <s v=""/>
    <s v="ACH CONCENTRATION CREDIT ACH CORP TRADE PAYMENT FROM OSI"/>
    <m/>
    <m/>
    <m/>
    <m/>
    <m/>
    <m/>
    <m/>
    <m/>
    <m/>
    <m/>
    <m/>
    <m/>
    <m/>
    <m/>
    <m/>
    <m/>
    <m/>
    <m/>
    <m/>
    <m/>
    <m/>
    <m/>
    <m/>
    <m/>
    <m/>
    <m/>
    <m/>
    <m/>
    <m/>
    <m/>
  </r>
  <r>
    <s v="102 - US"/>
    <d v="2025-06-13T00:00:00"/>
    <s v="JUNE"/>
    <x v="0"/>
    <x v="0"/>
    <s v="Deposited"/>
    <s v="PMT-S151-206477"/>
    <s v="IN-S151-582892"/>
    <s v="USD"/>
    <n v="-29850"/>
    <n v="-29850"/>
    <n v="270"/>
    <n v="-270"/>
    <s v="GTI Energy"/>
    <s v=""/>
    <s v="ACH CONCENTRATION CREDIT ACH CORP TRADE PAYMENT FROM GTI ENERGY GTI ENERG EFT        23137"/>
    <m/>
    <m/>
    <m/>
    <m/>
    <m/>
    <m/>
    <m/>
    <m/>
    <m/>
    <m/>
    <m/>
    <m/>
    <m/>
    <m/>
    <m/>
    <m/>
    <m/>
    <m/>
    <m/>
    <m/>
    <m/>
    <m/>
    <m/>
    <m/>
    <m/>
    <m/>
    <m/>
    <m/>
    <m/>
    <m/>
  </r>
  <r>
    <s v="102 - US"/>
    <d v="2025-12-23T00:00:00"/>
    <s v="DECEMBER"/>
    <x v="0"/>
    <x v="0"/>
    <s v="Deposited"/>
    <s v="PMT-S151-216085"/>
    <s v="IN-S151-589821"/>
    <s v="USD"/>
    <n v="-16740"/>
    <n v="-16740"/>
    <n v="270"/>
    <n v="-270"/>
    <s v="University of Michigan at Dearborn"/>
    <s v="Jordan Irvine"/>
    <s v=""/>
    <m/>
    <m/>
    <m/>
    <m/>
    <m/>
    <m/>
    <m/>
    <m/>
    <m/>
    <m/>
    <m/>
    <m/>
    <m/>
    <m/>
    <m/>
    <m/>
    <m/>
    <m/>
    <m/>
    <m/>
    <m/>
    <m/>
    <m/>
    <m/>
    <m/>
    <m/>
    <m/>
    <m/>
    <m/>
    <m/>
  </r>
  <r>
    <s v="102 - US"/>
    <d v="2023-11-10T00:00:00"/>
    <s v="NOVEMBER"/>
    <x v="3"/>
    <x v="0"/>
    <s v="Deposited"/>
    <s v="PMT-S151-177825"/>
    <s v="IN-S151-560186"/>
    <s v="USD"/>
    <n v="-2500"/>
    <n v="-2500"/>
    <n v="250"/>
    <n v="-250"/>
    <s v="Jackson Hole Chamber of Commerce"/>
    <s v="Jose Castellanos"/>
    <s v="CHECK"/>
    <m/>
    <m/>
    <m/>
    <m/>
    <m/>
    <m/>
    <m/>
    <m/>
    <m/>
    <m/>
    <m/>
    <m/>
    <m/>
    <m/>
    <m/>
    <m/>
    <m/>
    <m/>
    <m/>
    <m/>
    <m/>
    <m/>
    <m/>
    <m/>
    <m/>
    <m/>
    <m/>
    <m/>
    <m/>
    <m/>
  </r>
  <r>
    <s v="102 - US"/>
    <d v="2025-09-11T00:00:00"/>
    <s v="SEPTEMBER"/>
    <x v="0"/>
    <x v="0"/>
    <s v="Deposited"/>
    <s v="PMT-S151-210673"/>
    <s v="IN-S151-585386"/>
    <s v="USD"/>
    <n v="-7500"/>
    <n v="-7500"/>
    <n v="250"/>
    <n v="-250"/>
    <s v="First Baptist Church Atlanta"/>
    <s v=""/>
    <s v="ACH CREDIT ACH DEPOSIT FROM FIRST BAPTIST CH-AUTOPAYMNT FIRST BAP AUTOPAYMNT 9097"/>
    <m/>
    <m/>
    <m/>
    <m/>
    <m/>
    <m/>
    <m/>
    <m/>
    <m/>
    <m/>
    <m/>
    <m/>
    <m/>
    <m/>
    <m/>
    <m/>
    <m/>
    <m/>
    <m/>
    <m/>
    <m/>
    <m/>
    <m/>
    <m/>
    <m/>
    <m/>
    <m/>
    <m/>
    <m/>
    <m/>
  </r>
  <r>
    <s v="102 - US"/>
    <d v="2023-06-28T00:00:00"/>
    <s v="JUNE"/>
    <x v="3"/>
    <x v="0"/>
    <s v="Deposited"/>
    <s v="PMT-S151-170418"/>
    <s v=""/>
    <s v="USD"/>
    <n v="-235.95"/>
    <n v="-235.95"/>
    <n v="235.95"/>
    <n v="-235.95"/>
    <s v="Edina Public Schools"/>
    <s v=""/>
    <s v="CHECK"/>
    <m/>
    <m/>
    <m/>
    <m/>
    <m/>
    <m/>
    <m/>
    <m/>
    <m/>
    <m/>
    <m/>
    <m/>
    <m/>
    <m/>
    <m/>
    <m/>
    <m/>
    <m/>
    <m/>
    <m/>
    <m/>
    <m/>
    <m/>
    <m/>
    <m/>
    <m/>
    <m/>
    <m/>
    <m/>
    <m/>
  </r>
  <r>
    <s v="102 - US"/>
    <d v="2022-05-27T00:00:00"/>
    <s v="MAY"/>
    <x v="2"/>
    <x v="0"/>
    <s v="Deposited"/>
    <s v="PMT-S151-148226"/>
    <s v="IN-S151-534485"/>
    <s v="USD"/>
    <n v="-3000"/>
    <n v="-3000"/>
    <n v="233"/>
    <n v="-233"/>
    <s v="Oakland County Board of Commissioners"/>
    <s v=""/>
    <s v="ACH CONCENTRATION CREDIT ACH CORP TRADE PAYMENT FROM OAKLAND COUNTY OAKLAND C SUPPLRPMTS 220527MELTWATER"/>
    <m/>
    <m/>
    <m/>
    <m/>
    <m/>
    <m/>
    <m/>
    <m/>
    <m/>
    <m/>
    <m/>
    <m/>
    <m/>
    <m/>
    <m/>
    <m/>
    <m/>
    <m/>
    <m/>
    <m/>
    <m/>
    <m/>
    <m/>
    <m/>
    <m/>
    <m/>
    <m/>
    <m/>
    <m/>
    <m/>
  </r>
  <r>
    <s v="102 - US"/>
    <d v="2022-09-23T00:00:00"/>
    <s v="SEPTEMBER"/>
    <x v="2"/>
    <x v="0"/>
    <s v="Deposited"/>
    <s v="PMT-S151-154746"/>
    <s v="IN-S151-544003"/>
    <s v="USD"/>
    <n v="-3895.5"/>
    <n v="-3895.5"/>
    <n v="220.5"/>
    <n v="-220.5"/>
    <s v="Oil Change International"/>
    <s v=""/>
    <s v="ACH CONCENTRATION CREDIT ACH CASH CONCENTRATION OIL CHANGE INTER-BILL.COM Oil Chang Bill.com                                                   025QWMWVXHB0 T54"/>
    <m/>
    <m/>
    <m/>
    <m/>
    <m/>
    <m/>
    <m/>
    <m/>
    <m/>
    <m/>
    <m/>
    <m/>
    <m/>
    <m/>
    <m/>
    <m/>
    <m/>
    <m/>
    <m/>
    <m/>
    <m/>
    <m/>
    <m/>
    <m/>
    <m/>
    <m/>
    <m/>
    <m/>
    <m/>
    <m/>
  </r>
  <r>
    <s v="102 - US"/>
    <d v="2025-01-22T00:00:00"/>
    <s v="JANUARY"/>
    <x v="0"/>
    <x v="0"/>
    <s v="Deposited"/>
    <s v="PMT-S151-199359"/>
    <s v="IN-S151-577332"/>
    <s v="USD"/>
    <n v="-3309"/>
    <n v="-3309"/>
    <n v="219"/>
    <n v="-219"/>
    <s v="Emerald Communities"/>
    <s v=""/>
    <s v=""/>
    <m/>
    <m/>
    <m/>
    <m/>
    <m/>
    <m/>
    <m/>
    <m/>
    <m/>
    <m/>
    <m/>
    <m/>
    <m/>
    <m/>
    <m/>
    <m/>
    <m/>
    <m/>
    <m/>
    <m/>
    <m/>
    <m/>
    <m/>
    <m/>
    <m/>
    <m/>
    <m/>
    <m/>
    <m/>
    <m/>
  </r>
  <r>
    <s v="102 - US"/>
    <d v="2022-08-12T00:00:00"/>
    <s v="AUGUST"/>
    <x v="2"/>
    <x v="0"/>
    <s v="Deposited"/>
    <s v="PMT-S151-152381"/>
    <s v="IN-S151-545014"/>
    <s v="USD"/>
    <n v="-1000"/>
    <n v="-1000"/>
    <n v="200"/>
    <n v="-200"/>
    <s v="Varallo Public Relations"/>
    <s v=""/>
    <s v="CHECK"/>
    <m/>
    <m/>
    <m/>
    <m/>
    <m/>
    <m/>
    <m/>
    <m/>
    <m/>
    <m/>
    <m/>
    <m/>
    <m/>
    <m/>
    <m/>
    <m/>
    <m/>
    <m/>
    <m/>
    <m/>
    <m/>
    <m/>
    <m/>
    <m/>
    <m/>
    <m/>
    <m/>
    <m/>
    <m/>
    <m/>
  </r>
  <r>
    <s v="102 - US"/>
    <d v="2024-05-31T00:00:00"/>
    <s v="MAY"/>
    <x v="4"/>
    <x v="0"/>
    <s v="Deposited"/>
    <s v="PMT-S151-188652"/>
    <s v="IN-S151-567734"/>
    <s v="USD"/>
    <n v="-2167.5"/>
    <n v="-2167.5"/>
    <n v="200"/>
    <n v="-200"/>
    <s v="GoldsmithPR"/>
    <s v=""/>
    <s v="ACH CREDIT ACH DEPOSIT FROM E GOLDSMITH-SENDER E GOLDSMI SENDER 722173348"/>
    <m/>
    <m/>
    <m/>
    <m/>
    <m/>
    <m/>
    <m/>
    <m/>
    <m/>
    <m/>
    <m/>
    <m/>
    <m/>
    <m/>
    <m/>
    <m/>
    <m/>
    <m/>
    <m/>
    <m/>
    <m/>
    <m/>
    <m/>
    <m/>
    <m/>
    <m/>
    <m/>
    <m/>
    <m/>
    <m/>
  </r>
  <r>
    <s v="102 - US"/>
    <d v="2024-12-24T00:00:00"/>
    <s v="DECEMBER"/>
    <x v="4"/>
    <x v="0"/>
    <s v="Deposited"/>
    <s v="PMT-S151-197803"/>
    <s v=""/>
    <s v="USD"/>
    <n v="-183.34"/>
    <n v="-183.34"/>
    <n v="183.34"/>
    <n v="-183.34"/>
    <s v="Charter One"/>
    <s v=""/>
    <s v=""/>
    <m/>
    <m/>
    <m/>
    <m/>
    <m/>
    <m/>
    <m/>
    <m/>
    <m/>
    <m/>
    <m/>
    <m/>
    <m/>
    <m/>
    <m/>
    <m/>
    <m/>
    <m/>
    <m/>
    <m/>
    <m/>
    <m/>
    <m/>
    <m/>
    <m/>
    <m/>
    <m/>
    <m/>
    <m/>
    <m/>
  </r>
  <r>
    <s v="102 - US"/>
    <d v="2022-06-10T00:00:00"/>
    <s v="JUNE"/>
    <x v="2"/>
    <x v="0"/>
    <s v="Deposited"/>
    <s v="PMT-S151-148831"/>
    <s v="IN-S151-539307"/>
    <s v="USD"/>
    <n v="-3206.5"/>
    <n v="-3206.5"/>
    <n v="181.5"/>
    <n v="3549.5"/>
    <s v="National Network to End Domestic Violence"/>
    <s v="Jose Castellanos-103"/>
    <s v="Stripe"/>
    <m/>
    <m/>
    <m/>
    <m/>
    <m/>
    <m/>
    <m/>
    <m/>
    <m/>
    <m/>
    <m/>
    <m/>
    <m/>
    <m/>
    <m/>
    <m/>
    <m/>
    <m/>
    <m/>
    <m/>
    <m/>
    <m/>
    <m/>
    <m/>
    <m/>
    <m/>
    <m/>
    <m/>
    <m/>
    <m/>
  </r>
  <r>
    <s v="102 - US"/>
    <d v="2022-11-09T00:00:00"/>
    <s v="NOVEMBER"/>
    <x v="2"/>
    <x v="0"/>
    <s v="Deposited"/>
    <s v="PMT-S151-157615"/>
    <s v="IN-S151-542381"/>
    <s v="USD"/>
    <n v="-31293.39"/>
    <n v="-31293.39"/>
    <n v="177.39"/>
    <n v="-177.39"/>
    <s v="University at Buffalo, State University of New York"/>
    <s v=""/>
    <s v="CHECK"/>
    <m/>
    <m/>
    <m/>
    <m/>
    <m/>
    <m/>
    <m/>
    <m/>
    <m/>
    <m/>
    <m/>
    <m/>
    <m/>
    <m/>
    <m/>
    <m/>
    <m/>
    <m/>
    <m/>
    <m/>
    <m/>
    <m/>
    <m/>
    <m/>
    <m/>
    <m/>
    <m/>
    <m/>
    <m/>
    <m/>
  </r>
  <r>
    <s v="102 - US"/>
    <d v="2025-05-28T00:00:00"/>
    <s v="MAY"/>
    <x v="0"/>
    <x v="0"/>
    <s v="Deposited"/>
    <s v="PMT-S151-205860"/>
    <s v=""/>
    <s v="USD"/>
    <n v="-109.77"/>
    <n v="-109.77"/>
    <n v="109.77"/>
    <n v="-250567.82"/>
    <s v="DUMMY CUSTOMER_CASHAPPS 102 - US"/>
    <s v=""/>
    <s v="ACH CONCENTRATION CREDIT ACH CASH CONCENTRATION SMI1 TREAS 310-  MISC PAY SMI1 TREA   MISC                       P AY 208289528330200"/>
    <m/>
    <m/>
    <m/>
    <m/>
    <m/>
    <m/>
    <m/>
    <m/>
    <m/>
    <m/>
    <m/>
    <m/>
    <m/>
    <m/>
    <m/>
    <m/>
    <m/>
    <m/>
    <m/>
    <m/>
    <m/>
    <m/>
    <m/>
    <m/>
    <m/>
    <m/>
    <m/>
    <m/>
    <m/>
    <m/>
  </r>
  <r>
    <s v="102 - US"/>
    <d v="2022-09-01T00:00:00"/>
    <s v="SEPTEMBER"/>
    <x v="2"/>
    <x v="0"/>
    <s v="Deposited"/>
    <s v="PMT-S151-153565"/>
    <s v="IN-S151-541218"/>
    <s v="USD"/>
    <n v="-5543.76"/>
    <n v="-5543.76"/>
    <n v="100"/>
    <n v="-100"/>
    <s v="Richard Attias &amp; Associates"/>
    <s v=""/>
    <s v="INCOMING MONEY TRANSFER 53RECD FED INTERAUDI BANK*ORG:RICHARD ATTIAS + ASSOC IATES LLC,GREENWICH,CT 06830     *BNF:MELTWATER NEWS US INC,SAN FRANCISCO CA/US,STE 100*OBI:INV. IN-S151-541218 / ANNUAL SUBSCR IPTION*BBI:OUR PS0 010435850 MELTWATER INV. IN-S151-541218 / ANNUAL SUBSCR IPTION/ALL FEES PAID BY SENDER*STFEDSEQ:B1Q8981R001698*TIME:0940*YOUR REF:NONREF*OUR REF:244518923"/>
    <m/>
    <m/>
    <m/>
    <m/>
    <m/>
    <m/>
    <m/>
    <m/>
    <m/>
    <m/>
    <m/>
    <m/>
    <m/>
    <m/>
    <m/>
    <m/>
    <m/>
    <m/>
    <m/>
    <m/>
    <m/>
    <m/>
    <m/>
    <m/>
    <m/>
    <m/>
    <m/>
    <m/>
    <m/>
    <m/>
  </r>
  <r>
    <s v="102 - US"/>
    <d v="2023-02-16T00:00:00"/>
    <s v="FEBRUARY"/>
    <x v="3"/>
    <x v="0"/>
    <s v="Deposited"/>
    <s v="PMT-S151-163515"/>
    <s v="IN-S151-540913"/>
    <s v="USD"/>
    <n v="-570.61"/>
    <n v="-570.61"/>
    <n v="67.61"/>
    <n v="-67.61"/>
    <s v="SIGNIFY MEXICO SA DE CV"/>
    <s v=""/>
    <s v="FOREIGN REMITTANCE CREDIT 33RECD CHIP CITIBANK NA*ORG:SIGNIFY ARGENTINA SA,NICO LAS DE VEDIA 3892*OGB:CITIBANK N.A.,SILVER SPRING,12401 PROSPERITY DRIVE*BNF: MELTWATER NEWS US INC,SAN FRANCISCO CA/US,STE 100*STCHIPSEQ:0473929*TI ME:1430*YOUR R (more...)"/>
    <m/>
    <m/>
    <m/>
    <m/>
    <m/>
    <m/>
    <m/>
    <m/>
    <m/>
    <m/>
    <m/>
    <m/>
    <m/>
    <m/>
    <m/>
    <m/>
    <m/>
    <m/>
    <m/>
    <m/>
    <m/>
    <m/>
    <m/>
    <m/>
    <m/>
    <m/>
    <m/>
    <m/>
    <m/>
    <m/>
  </r>
  <r>
    <s v="102 - US"/>
    <d v="2026-04-01T00:00:00"/>
    <s v="APRIL"/>
    <x v="1"/>
    <x v="0"/>
    <s v="Deposited"/>
    <s v="PMT-S151-222271"/>
    <s v="IN-S151-589307"/>
    <s v="USD"/>
    <n v="-18986"/>
    <n v="-18986"/>
    <n v="10"/>
    <n v="-10"/>
    <s v="The Stronach Group"/>
    <s v=""/>
    <s v="ACH CONCENTRATION CREDIT ACH CASH CONCENTRATION 1/ST LLC-PAYMENTJNL 1/ST LLC  PAYMENTJNL MELTW-CORP"/>
    <m/>
    <m/>
    <m/>
    <m/>
    <m/>
    <m/>
    <m/>
    <m/>
    <m/>
    <m/>
    <m/>
    <m/>
    <m/>
    <m/>
    <m/>
    <m/>
    <m/>
    <m/>
    <m/>
    <m/>
    <m/>
    <m/>
    <m/>
    <m/>
    <m/>
    <m/>
    <m/>
    <m/>
    <m/>
    <m/>
  </r>
  <r>
    <s v="102 - US"/>
    <d v="2026-05-01T00:00:00"/>
    <s v="MAY"/>
    <x v="1"/>
    <x v="0"/>
    <s v="Deposited"/>
    <s v="PMT-S151-223723"/>
    <s v=""/>
    <s v="USD"/>
    <n v="-0.01"/>
    <n v="-0.01"/>
    <n v="0.01"/>
    <n v="-250567.82"/>
    <s v="DUMMY CUSTOMER_CASHAPPS 102 - US"/>
    <s v=""/>
    <s v="ACH CONCENTRATION CREDIT ACH CASH CONCENTRATION ATLANTIC COAST C-ACCTVERIFY Atlantic                             ACCTV ERIFY                                                       026UKBYPU1XBJZA"/>
    <m/>
    <m/>
    <m/>
    <m/>
    <m/>
    <m/>
    <m/>
    <m/>
    <m/>
    <m/>
    <m/>
    <m/>
    <m/>
    <m/>
    <m/>
    <m/>
    <m/>
    <m/>
    <m/>
    <m/>
    <m/>
    <m/>
    <m/>
    <m/>
    <m/>
    <m/>
    <m/>
    <m/>
    <m/>
    <m/>
  </r>
  <r>
    <s v="10C (106) - Sysomos US"/>
    <d v="2020-01-27T00:00:00"/>
    <s v="JANUARY"/>
    <x v="5"/>
    <x v="1"/>
    <s v="Deposited"/>
    <s v="PMT-S130B-1757"/>
    <s v=""/>
    <s v="USD"/>
    <n v="-130323.38"/>
    <n v="-130323.38"/>
    <n v="130323.38"/>
    <n v="-164619.01"/>
    <s v="Shiseido Americas Corporation"/>
    <s v="Marta Boytcheva"/>
    <s v="Duplicate payment"/>
    <m/>
    <m/>
    <m/>
    <m/>
    <m/>
    <m/>
    <m/>
    <m/>
    <m/>
    <m/>
    <m/>
    <m/>
    <m/>
    <m/>
    <m/>
    <m/>
    <m/>
    <m/>
    <m/>
    <m/>
    <m/>
    <m/>
    <m/>
    <m/>
    <m/>
    <m/>
    <m/>
    <m/>
    <m/>
    <m/>
  </r>
  <r>
    <s v="10C (106) - Sysomos US"/>
    <d v="2019-08-12T00:00:00"/>
    <s v="AUGUST"/>
    <x v="6"/>
    <x v="1"/>
    <s v="Deposited"/>
    <s v="PMT-S130B-1121"/>
    <s v="IN-S130B-1804"/>
    <s v="USD"/>
    <n v="-164619.01"/>
    <n v="-164619.01"/>
    <n v="34295.629999999997"/>
    <n v="-164619.01"/>
    <s v="Shiseido Americas Corporation"/>
    <s v="Marta Boytcheva"/>
    <s v="WFB LB 08/12/19"/>
    <m/>
    <m/>
    <m/>
    <m/>
    <m/>
    <m/>
    <m/>
    <m/>
    <m/>
    <m/>
    <m/>
    <m/>
    <m/>
    <m/>
    <m/>
    <m/>
    <m/>
    <m/>
    <m/>
    <m/>
    <m/>
    <m/>
    <m/>
    <m/>
    <m/>
    <m/>
    <m/>
    <m/>
    <m/>
    <m/>
  </r>
  <r>
    <s v="10C (106) - Sysomos US"/>
    <d v="2019-11-08T00:00:00"/>
    <s v="NOVEMBER"/>
    <x v="6"/>
    <x v="1"/>
    <s v="Deposited"/>
    <s v="PMT-S130B-1558"/>
    <s v=""/>
    <s v="USD"/>
    <n v="-6666.68"/>
    <n v="-6666.68"/>
    <n v="6666.68"/>
    <n v="-6666.68"/>
    <s v="DWA Media"/>
    <s v="Yangzom Vitali-116"/>
    <s v="WFB Wire 11/8/19"/>
    <m/>
    <m/>
    <m/>
    <m/>
    <m/>
    <m/>
    <m/>
    <m/>
    <m/>
    <m/>
    <m/>
    <m/>
    <m/>
    <m/>
    <m/>
    <m/>
    <m/>
    <m/>
    <m/>
    <m/>
    <m/>
    <m/>
    <m/>
    <m/>
    <m/>
    <m/>
    <m/>
    <m/>
    <m/>
    <m/>
  </r>
  <r>
    <s v="10C (106) - Sysomos US"/>
    <d v="2019-08-16T00:00:00"/>
    <s v="AUGUST"/>
    <x v="6"/>
    <x v="1"/>
    <s v="Deposited"/>
    <s v="PMT-S130B-1237"/>
    <s v=""/>
    <s v="USD"/>
    <n v="-5000"/>
    <n v="-5000"/>
    <n v="5000"/>
    <n v="-13919.5"/>
    <s v="DUMMY CUSTOMER_CASHAPPS 106 - Sysomos US Inc"/>
    <s v=""/>
    <s v="WFB wire 081619 - Unknown customer: LOREL2US PAYMENTS 190816 20017191352019 \NTE*ZZZ*1906130000560\DTM*003*20180531\SE*25*0003036750795 20017191352019 R00000091003832142394"/>
    <m/>
    <m/>
    <m/>
    <m/>
    <m/>
    <m/>
    <m/>
    <m/>
    <m/>
    <m/>
    <m/>
    <m/>
    <m/>
    <m/>
    <m/>
    <m/>
    <m/>
    <m/>
    <m/>
    <m/>
    <m/>
    <m/>
    <m/>
    <m/>
    <m/>
    <m/>
    <m/>
    <m/>
    <m/>
    <m/>
  </r>
  <r>
    <s v="10C (106) - Sysomos US"/>
    <d v="2019-06-13T00:00:00"/>
    <s v="JUNE"/>
    <x v="6"/>
    <x v="1"/>
    <s v="Deposited"/>
    <s v="PMT-S130B-0804"/>
    <s v="IN-S130B-0059"/>
    <s v="USD"/>
    <n v="-42992.57"/>
    <n v="-42992.57"/>
    <n v="4512.04"/>
    <n v="-5594.86"/>
    <s v="Intel Corporation"/>
    <s v="Marta Boytcheva"/>
    <s v="WFB wire 06/13/19 - overpaid their two invoices"/>
    <m/>
    <m/>
    <m/>
    <m/>
    <m/>
    <m/>
    <m/>
    <m/>
    <m/>
    <m/>
    <m/>
    <m/>
    <m/>
    <m/>
    <m/>
    <m/>
    <m/>
    <m/>
    <m/>
    <m/>
    <m/>
    <m/>
    <m/>
    <m/>
    <m/>
    <m/>
    <m/>
    <m/>
    <m/>
    <m/>
  </r>
  <r>
    <s v="10C (106) - Sysomos US"/>
    <d v="2019-07-01T00:00:00"/>
    <s v="JULY"/>
    <x v="6"/>
    <x v="1"/>
    <s v="Deposited"/>
    <s v="PMT-S130B-0894"/>
    <s v="IN-S130B-0298"/>
    <s v="USD"/>
    <n v="-8591.86"/>
    <n v="-8591.86"/>
    <n v="4009.53"/>
    <n v="-4009.53"/>
    <s v="New Avon"/>
    <s v="Marta Boytcheva"/>
    <s v="WFB wire 07/01/19 - customer overpaid by 4009.53 - sent inquiry to collection team."/>
    <m/>
    <m/>
    <m/>
    <m/>
    <m/>
    <m/>
    <m/>
    <m/>
    <m/>
    <m/>
    <m/>
    <m/>
    <m/>
    <m/>
    <m/>
    <m/>
    <m/>
    <m/>
    <m/>
    <m/>
    <m/>
    <m/>
    <m/>
    <m/>
    <m/>
    <m/>
    <m/>
    <m/>
    <m/>
    <m/>
  </r>
  <r>
    <s v="10C (106) - Sysomos US"/>
    <d v="2020-01-31T00:00:00"/>
    <s v="JANUARY"/>
    <x v="5"/>
    <x v="1"/>
    <s v="Deposited"/>
    <s v="PMT-S130B-1773"/>
    <s v=""/>
    <s v="USD"/>
    <n v="-3897.59"/>
    <n v="-3897.59"/>
    <n v="3897.59"/>
    <n v="-13919.5"/>
    <s v="DUMMY CUSTOMER_CASHAPPS 106 - Sysomos US Inc"/>
    <s v=""/>
    <s v="DEPOSIT MADE IN A BRANCH/STORE"/>
    <m/>
    <m/>
    <m/>
    <m/>
    <m/>
    <m/>
    <m/>
    <m/>
    <m/>
    <m/>
    <m/>
    <m/>
    <m/>
    <m/>
    <m/>
    <m/>
    <m/>
    <m/>
    <m/>
    <m/>
    <m/>
    <m/>
    <m/>
    <m/>
    <m/>
    <m/>
    <m/>
    <m/>
    <m/>
    <m/>
  </r>
  <r>
    <s v="10C (106) - Sysomos US"/>
    <d v="2019-02-20T00:00:00"/>
    <s v="FEBRUARY"/>
    <x v="6"/>
    <x v="1"/>
    <s v="Deposited"/>
    <s v="PMT-S130B-0257"/>
    <s v=""/>
    <s v="USD"/>
    <n v="-3140.77"/>
    <n v="-3140.77"/>
    <n v="3140.77"/>
    <n v="-3140.77"/>
    <s v="McGarryBowen"/>
    <s v="Jennifer Bourne"/>
    <s v="This seems to be an duplicate payment for INV00048830. This inv was paid 1/15/19 PMT-S130B-0094"/>
    <m/>
    <m/>
    <m/>
    <m/>
    <m/>
    <m/>
    <m/>
    <m/>
    <m/>
    <m/>
    <m/>
    <m/>
    <m/>
    <m/>
    <m/>
    <m/>
    <m/>
    <m/>
    <m/>
    <m/>
    <m/>
    <m/>
    <m/>
    <m/>
    <m/>
    <m/>
    <m/>
    <m/>
    <m/>
    <m/>
  </r>
  <r>
    <s v="10C (106) - Sysomos US"/>
    <d v="2019-10-22T00:00:00"/>
    <s v="OCTOBER"/>
    <x v="6"/>
    <x v="1"/>
    <s v="Deposited"/>
    <s v="PMT-S130B-1488"/>
    <s v=""/>
    <s v="USD"/>
    <n v="-2600.96"/>
    <n v="-2600.96"/>
    <n v="2600.96"/>
    <n v="-2600.96"/>
    <s v="The Tombras Group"/>
    <s v="Yangzom Vitali-116"/>
    <s v="WFB LB 10/22/19"/>
    <m/>
    <m/>
    <m/>
    <m/>
    <m/>
    <m/>
    <m/>
    <m/>
    <m/>
    <m/>
    <m/>
    <m/>
    <m/>
    <m/>
    <m/>
    <m/>
    <m/>
    <m/>
    <m/>
    <m/>
    <m/>
    <m/>
    <m/>
    <m/>
    <m/>
    <m/>
    <m/>
    <m/>
    <m/>
    <m/>
  </r>
  <r>
    <s v="10C (106) - Sysomos US"/>
    <d v="2019-07-03T00:00:00"/>
    <s v="JULY"/>
    <x v="6"/>
    <x v="1"/>
    <s v="Deposited"/>
    <s v="PMT-S130B-0895"/>
    <s v=""/>
    <s v="USD"/>
    <n v="-2476.91"/>
    <n v="-2476.91"/>
    <n v="2476.91"/>
    <n v="-2476.91"/>
    <s v="Lincoln Technical Institute, inc"/>
    <s v="Marta Boytcheva"/>
    <s v="WFB LB 07/03/19 - This invoice was paid 6/26/19 - there is still one past due invoice due, IN-S130B-0986 $2,562.47 - Marta will inquire with customer how to apply payment"/>
    <m/>
    <m/>
    <m/>
    <m/>
    <m/>
    <m/>
    <m/>
    <m/>
    <m/>
    <m/>
    <m/>
    <m/>
    <m/>
    <m/>
    <m/>
    <m/>
    <m/>
    <m/>
    <m/>
    <m/>
    <m/>
    <m/>
    <m/>
    <m/>
    <m/>
    <m/>
    <m/>
    <m/>
    <m/>
    <m/>
  </r>
  <r>
    <s v="10C (106) - Sysomos US"/>
    <d v="2019-07-29T00:00:00"/>
    <s v="JULY"/>
    <x v="6"/>
    <x v="1"/>
    <s v="Deposited"/>
    <s v="PMT-S130B-1029"/>
    <s v=""/>
    <s v="USD"/>
    <n v="-2375"/>
    <n v="-2375"/>
    <n v="2375"/>
    <n v="-2375"/>
    <s v="Novetta, Inc"/>
    <s v="Yangzom Vitali-116"/>
    <s v="WFB LB 07/29/19"/>
    <m/>
    <m/>
    <m/>
    <m/>
    <m/>
    <m/>
    <m/>
    <m/>
    <m/>
    <m/>
    <m/>
    <m/>
    <m/>
    <m/>
    <m/>
    <m/>
    <m/>
    <m/>
    <m/>
    <m/>
    <m/>
    <m/>
    <m/>
    <m/>
    <m/>
    <m/>
    <m/>
    <m/>
    <m/>
    <m/>
  </r>
  <r>
    <s v="10C (106) - Sysomos US"/>
    <d v="2019-06-26T00:00:00"/>
    <s v="JUNE"/>
    <x v="6"/>
    <x v="1"/>
    <s v="Deposited"/>
    <s v="PMT-S130B-0870"/>
    <s v=""/>
    <s v="USD"/>
    <n v="-2331.25"/>
    <n v="-2331.25"/>
    <n v="2331.25"/>
    <n v="-13919.5"/>
    <s v="DUMMY CUSTOMER_CASHAPPS 106 - Sysomos US Inc"/>
    <s v=""/>
    <s v="W.S. BADCOCK AP AP PAYMENT 190625 XXXXX2882 SYSOMOS US INC 9930786502 121042882 R00000091003850852512 - This customer has a couple cus' accts. waiting for remit info"/>
    <m/>
    <m/>
    <m/>
    <m/>
    <m/>
    <m/>
    <m/>
    <m/>
    <m/>
    <m/>
    <m/>
    <m/>
    <m/>
    <m/>
    <m/>
    <m/>
    <m/>
    <m/>
    <m/>
    <m/>
    <m/>
    <m/>
    <m/>
    <m/>
    <m/>
    <m/>
    <m/>
    <m/>
    <m/>
    <m/>
  </r>
  <r>
    <s v="10C (106) - Sysomos US"/>
    <d v="2019-03-29T00:00:00"/>
    <s v="MARCH"/>
    <x v="6"/>
    <x v="1"/>
    <s v="Deposited"/>
    <s v="PMT-S130B-0487"/>
    <s v="IN-S130B-1447"/>
    <s v="USD"/>
    <n v="-2600.3000000000002"/>
    <n v="-2600.3000000000002"/>
    <n v="2228.81"/>
    <n v="-2228.81"/>
    <s v="Convince &amp; Convert LLC"/>
    <s v="Yangzom Vitali-116"/>
    <s v="WFB wire 3/29/19 - IN-S130B-1447 &amp; 1448 - There's no invoice for 1448 yet - leaving 2,228.81 unapplied"/>
    <m/>
    <m/>
    <m/>
    <m/>
    <m/>
    <m/>
    <m/>
    <m/>
    <m/>
    <m/>
    <m/>
    <m/>
    <m/>
    <m/>
    <m/>
    <m/>
    <m/>
    <m/>
    <m/>
    <m/>
    <m/>
    <m/>
    <m/>
    <m/>
    <m/>
    <m/>
    <m/>
    <m/>
    <m/>
    <m/>
  </r>
  <r>
    <s v="10C (106) - Sysomos US"/>
    <d v="2019-09-11T00:00:00"/>
    <s v="SEPTEMBER"/>
    <x v="6"/>
    <x v="1"/>
    <s v="Deposited"/>
    <s v="PMT-S130B-1382"/>
    <s v=""/>
    <s v="USD"/>
    <n v="-2224.3200000000002"/>
    <n v="-2224.3200000000002"/>
    <n v="2224.3200000000002"/>
    <n v="-13919.5"/>
    <s v="DUMMY CUSTOMER_CASHAPPS 106 - Sysomos US Inc"/>
    <s v=""/>
    <s v="WFB Wire 9/11/19 - Pending remit info from collections team"/>
    <m/>
    <m/>
    <m/>
    <m/>
    <m/>
    <m/>
    <m/>
    <m/>
    <m/>
    <m/>
    <m/>
    <m/>
    <m/>
    <m/>
    <m/>
    <m/>
    <m/>
    <m/>
    <m/>
    <m/>
    <m/>
    <m/>
    <m/>
    <m/>
    <m/>
    <m/>
    <m/>
    <m/>
    <m/>
    <m/>
  </r>
  <r>
    <s v="10C (106) - Sysomos US"/>
    <d v="2019-02-04T00:00:00"/>
    <s v="FEBRUARY"/>
    <x v="6"/>
    <x v="1"/>
    <s v="Deposited"/>
    <s v="PMT-S130B-0212"/>
    <s v="IN-S130B-0358"/>
    <s v="USD"/>
    <n v="-29165"/>
    <n v="-29165"/>
    <n v="1450.3"/>
    <n v="-1450.3"/>
    <s v="Jo Malone Limited"/>
    <s v="Yangzom Vitali-116"/>
    <s v="INV45339 is partially credited (service credit) but paid in full. Leaving balance open on the account."/>
    <m/>
    <m/>
    <m/>
    <m/>
    <m/>
    <m/>
    <m/>
    <m/>
    <m/>
    <m/>
    <m/>
    <m/>
    <m/>
    <m/>
    <m/>
    <m/>
    <m/>
    <m/>
    <m/>
    <m/>
    <m/>
    <m/>
    <m/>
    <m/>
    <m/>
    <m/>
    <m/>
    <m/>
    <m/>
    <m/>
  </r>
  <r>
    <s v="10C (106) - Sysomos US"/>
    <d v="2019-04-05T00:00:00"/>
    <s v="APRIL"/>
    <x v="6"/>
    <x v="1"/>
    <s v="Deposited"/>
    <s v="PMT-S130B-0524"/>
    <s v="IN-S130B-0593"/>
    <s v="USD"/>
    <n v="-4095.71"/>
    <n v="-4095.71"/>
    <n v="1082.82"/>
    <n v="-5594.86"/>
    <s v="Intel Corporation"/>
    <s v="Marta Boytcheva"/>
    <s v="WFB Wire 04/04/19 - For: INV00046466 per remit - the remit shows the invoice to have an original amt of $4125.00.  with bank fee, overpayment of invoice by $1,082.82"/>
    <m/>
    <m/>
    <m/>
    <m/>
    <m/>
    <m/>
    <m/>
    <m/>
    <m/>
    <m/>
    <m/>
    <m/>
    <m/>
    <m/>
    <m/>
    <m/>
    <m/>
    <m/>
    <m/>
    <m/>
    <m/>
    <m/>
    <m/>
    <m/>
    <m/>
    <m/>
    <m/>
    <m/>
    <m/>
    <m/>
  </r>
  <r>
    <s v="10C (106) - Sysomos US"/>
    <d v="2019-03-05T00:00:00"/>
    <s v="MARCH"/>
    <x v="6"/>
    <x v="1"/>
    <s v="Deposited"/>
    <s v="PMT-S130B-0515"/>
    <s v="IN-S130B-0369"/>
    <s v="USD"/>
    <n v="-7772.76"/>
    <n v="-7772.76"/>
    <n v="888.68"/>
    <n v="-888.68"/>
    <s v="La Mer"/>
    <s v="Marta Boytcheva"/>
    <s v=""/>
    <m/>
    <m/>
    <m/>
    <m/>
    <m/>
    <m/>
    <m/>
    <m/>
    <m/>
    <m/>
    <m/>
    <m/>
    <m/>
    <m/>
    <m/>
    <m/>
    <m/>
    <m/>
    <m/>
    <m/>
    <m/>
    <m/>
    <m/>
    <m/>
    <m/>
    <m/>
    <m/>
    <m/>
    <m/>
    <m/>
  </r>
  <r>
    <s v="10C (106) - Sysomos US"/>
    <d v="2019-05-31T00:00:00"/>
    <s v="MAY"/>
    <x v="6"/>
    <x v="1"/>
    <s v="Deposited"/>
    <s v="PMT-S130B-0754"/>
    <s v=""/>
    <s v="USD"/>
    <n v="-466.34"/>
    <n v="-466.34"/>
    <n v="466.34"/>
    <n v="-13919.5"/>
    <s v="DUMMY CUSTOMER_CASHAPPS 106 - Sysomos US Inc"/>
    <s v=""/>
    <s v="SA-S151-EN-1423215 Onesource Virtual is a 102-US customer but wired payment into WFB: OneSource Virtua 0000108452 190530 MNY-0005114478 Meltwater Group 9367888501 MNY-0005114478 R00000091004431085254"/>
    <m/>
    <m/>
    <m/>
    <m/>
    <m/>
    <m/>
    <m/>
    <m/>
    <m/>
    <m/>
    <m/>
    <m/>
    <m/>
    <m/>
    <m/>
    <m/>
    <m/>
    <m/>
    <m/>
    <m/>
    <m/>
    <m/>
    <m/>
    <m/>
    <m/>
    <m/>
    <m/>
    <m/>
    <m/>
    <m/>
  </r>
  <r>
    <s v="10C (106) - Sysomos US"/>
    <d v="2019-12-30T00:00:00"/>
    <s v="DECEMBER"/>
    <x v="6"/>
    <x v="1"/>
    <s v="Deposited"/>
    <s v="PMT-S130B-1683"/>
    <s v="IN-S130B-2644"/>
    <s v="USD"/>
    <n v="-26841.42"/>
    <n v="-26841.42"/>
    <n v="433.06"/>
    <n v="-433.06"/>
    <s v="Mary Kay Inc."/>
    <s v="Marta Boytcheva"/>
    <s v="WFB LB 12/30/19"/>
    <m/>
    <m/>
    <m/>
    <m/>
    <m/>
    <m/>
    <m/>
    <m/>
    <m/>
    <m/>
    <m/>
    <m/>
    <m/>
    <m/>
    <m/>
    <m/>
    <m/>
    <m/>
    <m/>
    <m/>
    <m/>
    <m/>
    <m/>
    <m/>
    <m/>
    <m/>
    <m/>
    <m/>
    <m/>
    <m/>
  </r>
  <r>
    <s v="10C (106) - Sysomos US"/>
    <d v="2019-01-23T00:00:00"/>
    <s v="JANUARY"/>
    <x v="6"/>
    <x v="1"/>
    <s v="Deposited"/>
    <s v="PMT-S130B-0131"/>
    <s v="IN-S130B-0132"/>
    <s v="USD"/>
    <n v="-3120.52"/>
    <n v="-3120.52"/>
    <n v="237.4"/>
    <n v="-237.4"/>
    <s v="Apple, Inc."/>
    <s v="Marta Boytcheva"/>
    <s v="No remit-left open on Account"/>
    <m/>
    <m/>
    <m/>
    <m/>
    <m/>
    <m/>
    <m/>
    <m/>
    <m/>
    <m/>
    <m/>
    <m/>
    <m/>
    <m/>
    <m/>
    <m/>
    <m/>
    <m/>
    <m/>
    <m/>
    <m/>
    <m/>
    <m/>
    <m/>
    <m/>
    <m/>
    <m/>
    <m/>
    <m/>
    <m/>
  </r>
  <r>
    <s v="10C (106) - Sysomos US"/>
    <d v="2019-10-01T00:00:00"/>
    <s v="OCTOBER"/>
    <x v="6"/>
    <x v="1"/>
    <s v="Deposited"/>
    <s v="PMT-S130B-1394"/>
    <s v="IN-S130B-0108"/>
    <s v="USD"/>
    <n v="-7931.25"/>
    <n v="-7931.25"/>
    <n v="88.14"/>
    <n v="-88.14"/>
    <s v="Sterling Jewelers, Inc. (US)"/>
    <s v="Yangzom Vitali-116"/>
    <s v="WFB LB 10/1/19"/>
    <m/>
    <m/>
    <m/>
    <m/>
    <m/>
    <m/>
    <m/>
    <m/>
    <m/>
    <m/>
    <m/>
    <m/>
    <m/>
    <m/>
    <m/>
    <m/>
    <m/>
    <m/>
    <m/>
    <m/>
    <m/>
    <m/>
    <m/>
    <m/>
    <m/>
    <m/>
    <m/>
    <m/>
    <m/>
    <m/>
  </r>
  <r>
    <s v="10C (106) - Sysomos US"/>
    <d v="2020-02-26T00:00:00"/>
    <s v="FEBRUARY"/>
    <x v="5"/>
    <x v="1"/>
    <s v="Deposited"/>
    <s v="PMT-S130B-1835"/>
    <s v="IN-S130B-2635"/>
    <s v="USD"/>
    <n v="-85560"/>
    <n v="-85560"/>
    <n v="20"/>
    <n v="-20"/>
    <s v="Mondelez Deutschland Services"/>
    <s v="Marta Boytcheva"/>
    <s v="WFB Wire 2/26/20"/>
    <m/>
    <m/>
    <m/>
    <m/>
    <m/>
    <m/>
    <m/>
    <m/>
    <m/>
    <m/>
    <m/>
    <m/>
    <m/>
    <m/>
    <m/>
    <m/>
    <m/>
    <m/>
    <m/>
    <m/>
    <m/>
    <m/>
    <m/>
    <m/>
    <m/>
    <m/>
    <m/>
    <m/>
    <m/>
    <m/>
  </r>
  <r>
    <s v="10C (106) - Sysomos US"/>
    <d v="2020-01-21T00:00:00"/>
    <s v="JANUARY"/>
    <x v="5"/>
    <x v="1"/>
    <s v="Deposited"/>
    <s v="PMT-S130B-1741"/>
    <s v="IN-S130B-2726"/>
    <s v="USD"/>
    <n v="-1168.5"/>
    <n v="-1168.5"/>
    <n v="0.16"/>
    <n v="-0.16"/>
    <s v="RevHealth LLC"/>
    <s v="Marta Boytcheva"/>
    <s v="WFB LB 1/21/20"/>
    <m/>
    <m/>
    <m/>
    <m/>
    <m/>
    <m/>
    <m/>
    <m/>
    <m/>
    <m/>
    <m/>
    <m/>
    <m/>
    <m/>
    <m/>
    <m/>
    <m/>
    <m/>
    <m/>
    <m/>
    <m/>
    <m/>
    <m/>
    <m/>
    <m/>
    <m/>
    <m/>
    <m/>
    <m/>
    <m/>
  </r>
  <r>
    <s v="10C (106) - Sysomos US"/>
    <d v="2019-09-23T00:00:00"/>
    <s v="SEPTEMBER"/>
    <x v="6"/>
    <x v="1"/>
    <s v="Deposited"/>
    <s v="PMT-S130B-1349"/>
    <s v="IN-S130B-2341"/>
    <s v="USD"/>
    <n v="-1144.3499999999999"/>
    <n v="-1144.3499999999999"/>
    <n v="0.03"/>
    <n v="-0.03"/>
    <s v="BlaineTurner Advertising"/>
    <s v="Yangzom Vitali-116"/>
    <s v="WFB LB 09/23/19"/>
    <m/>
    <m/>
    <m/>
    <m/>
    <m/>
    <m/>
    <m/>
    <m/>
    <m/>
    <m/>
    <m/>
    <m/>
    <m/>
    <m/>
    <m/>
    <m/>
    <m/>
    <m/>
    <m/>
    <m/>
    <m/>
    <m/>
    <m/>
    <m/>
    <m/>
    <m/>
    <m/>
    <m/>
    <m/>
    <m/>
  </r>
  <r>
    <s v="111 - Canada"/>
    <d v="2026-04-28T00:00:00"/>
    <s v="APRIL"/>
    <x v="1"/>
    <x v="0"/>
    <s v="Deposited"/>
    <s v="PMT-S130-48216"/>
    <s v=""/>
    <s v="CAD"/>
    <n v="-67808.679999999993"/>
    <n v="-49625.781999999999"/>
    <n v="49625.781999999999"/>
    <n v="-91511.6"/>
    <s v="DUMMY CUSTOMER_CASHAPPS 111 - Canada"/>
    <s v=""/>
    <s v="ACH: THE CURRENCY CL  THE CURRENCY CLOUD LIMITED RE:Meltwater News Canada Inc"/>
    <m/>
    <m/>
    <m/>
    <m/>
    <m/>
    <m/>
    <m/>
    <m/>
    <m/>
    <m/>
    <m/>
    <m/>
    <m/>
    <m/>
    <m/>
    <m/>
    <m/>
    <m/>
    <m/>
    <m/>
    <m/>
    <m/>
    <m/>
    <m/>
    <m/>
    <m/>
    <m/>
    <m/>
    <m/>
    <m/>
  </r>
  <r>
    <s v="111 - Canada"/>
    <d v="2022-12-19T00:00:00"/>
    <s v="DECEMBER"/>
    <x v="2"/>
    <x v="0"/>
    <s v="Deposited"/>
    <s v="PMT-S130-38086"/>
    <s v=""/>
    <s v="CAD"/>
    <n v="-29267"/>
    <n v="-21419.054"/>
    <n v="21419.054"/>
    <n v="-91511.6"/>
    <s v="DUMMY CUSTOMER_CASHAPPS 111 - Canada"/>
    <s v=""/>
    <s v="CAMBRIDGE MERC MSP EF0160001001957000000163"/>
    <m/>
    <m/>
    <m/>
    <m/>
    <m/>
    <m/>
    <m/>
    <m/>
    <m/>
    <m/>
    <m/>
    <m/>
    <m/>
    <m/>
    <m/>
    <m/>
    <m/>
    <m/>
    <m/>
    <m/>
    <m/>
    <m/>
    <m/>
    <m/>
    <m/>
    <m/>
    <m/>
    <m/>
    <m/>
    <m/>
  </r>
  <r>
    <s v="111 - Canada"/>
    <d v="2024-10-01T00:00:00"/>
    <s v="OCTOBER"/>
    <x v="4"/>
    <x v="0"/>
    <s v="Deposited"/>
    <s v="PMT-S130-44262"/>
    <s v=""/>
    <s v="CAD"/>
    <n v="-13625.94"/>
    <n v="-9972.1440000000002"/>
    <n v="9972.1440000000002"/>
    <n v="-91511.6"/>
    <s v="DUMMY CUSTOMER_CASHAPPS 111 - Canada"/>
    <s v=""/>
    <s v="RBC payment - FUNDS TRANSFER CR TT CREDIT ALLIA"/>
    <m/>
    <m/>
    <m/>
    <m/>
    <m/>
    <m/>
    <m/>
    <m/>
    <m/>
    <m/>
    <m/>
    <m/>
    <m/>
    <m/>
    <m/>
    <m/>
    <m/>
    <m/>
    <m/>
    <m/>
    <m/>
    <m/>
    <m/>
    <m/>
    <m/>
    <m/>
    <m/>
    <m/>
    <m/>
    <m/>
  </r>
  <r>
    <s v="111 - Canada"/>
    <d v="2023-09-15T00:00:00"/>
    <s v="SEPTEMBER"/>
    <x v="3"/>
    <x v="0"/>
    <s v="Deposited"/>
    <s v="PMT-S130-40790"/>
    <s v=""/>
    <s v="CAD"/>
    <n v="-13581.43"/>
    <n v="-9939.57"/>
    <n v="9939.57"/>
    <n v="-9939.57"/>
    <s v="Réseau de Transport de Longueuil (RTL Longueuil )"/>
    <s v=""/>
    <s v="RTL MSP EF0160006100824168476747"/>
    <m/>
    <m/>
    <m/>
    <m/>
    <m/>
    <m/>
    <m/>
    <m/>
    <m/>
    <m/>
    <m/>
    <m/>
    <m/>
    <m/>
    <m/>
    <m/>
    <m/>
    <m/>
    <m/>
    <m/>
    <m/>
    <m/>
    <m/>
    <m/>
    <m/>
    <m/>
    <m/>
    <m/>
    <m/>
    <m/>
  </r>
  <r>
    <s v="111 - Canada"/>
    <d v="2022-10-20T00:00:00"/>
    <s v="OCTOBER"/>
    <x v="2"/>
    <x v="0"/>
    <s v="Deposited"/>
    <s v="PMT-S130-37439"/>
    <s v=""/>
    <s v="CAD"/>
    <n v="-10774.31"/>
    <n v="-7885.1790000000001"/>
    <n v="7885.1790000000001"/>
    <n v="-7885.1790000000001"/>
    <s v="Telus Health"/>
    <s v=""/>
    <s v="012588888708AQT MSP EF0160001001679000001402-IN-S130-441322 got credited &amp; paid"/>
    <m/>
    <m/>
    <m/>
    <m/>
    <m/>
    <m/>
    <m/>
    <m/>
    <m/>
    <m/>
    <m/>
    <m/>
    <m/>
    <m/>
    <m/>
    <m/>
    <m/>
    <m/>
    <m/>
    <m/>
    <m/>
    <m/>
    <m/>
    <m/>
    <m/>
    <m/>
    <m/>
    <m/>
    <m/>
    <m/>
  </r>
  <r>
    <s v="111 - Canada"/>
    <d v="2022-05-02T00:00:00"/>
    <s v="MAY"/>
    <x v="2"/>
    <x v="0"/>
    <s v="Deposited"/>
    <s v="PMT-S130-35709"/>
    <s v=""/>
    <s v="CAD"/>
    <n v="-10735"/>
    <n v="-7856.41"/>
    <n v="7856.41"/>
    <n v="-7856.41"/>
    <s v="Tilray"/>
    <s v=""/>
    <s v="lockbox"/>
    <m/>
    <m/>
    <m/>
    <m/>
    <m/>
    <m/>
    <m/>
    <m/>
    <m/>
    <m/>
    <m/>
    <m/>
    <m/>
    <m/>
    <m/>
    <m/>
    <m/>
    <m/>
    <m/>
    <m/>
    <m/>
    <m/>
    <m/>
    <m/>
    <m/>
    <m/>
    <m/>
    <m/>
    <m/>
    <m/>
  </r>
  <r>
    <s v="111 - Canada"/>
    <d v="2024-06-03T00:00:00"/>
    <s v="JUNE"/>
    <x v="4"/>
    <x v="0"/>
    <s v="Deposited"/>
    <s v="PMT-S130-43381"/>
    <s v=""/>
    <s v="CAD"/>
    <n v="-10636.09"/>
    <n v="-7784.0219999999999"/>
    <n v="7784.0219999999999"/>
    <n v="-91511.6"/>
    <s v="DUMMY CUSTOMER_CASHAPPS 111 - Canada"/>
    <s v=""/>
    <s v="RBC payment - 4/8/24 FUNDS TRANSFER CR TT BIRD TREASUR"/>
    <m/>
    <m/>
    <m/>
    <m/>
    <m/>
    <m/>
    <m/>
    <m/>
    <m/>
    <m/>
    <m/>
    <m/>
    <m/>
    <m/>
    <m/>
    <m/>
    <m/>
    <m/>
    <m/>
    <m/>
    <m/>
    <m/>
    <m/>
    <m/>
    <m/>
    <m/>
    <m/>
    <m/>
    <m/>
    <m/>
  </r>
  <r>
    <s v="111 - Canada"/>
    <d v="2026-03-05T00:00:00"/>
    <s v="MARCH"/>
    <x v="1"/>
    <x v="0"/>
    <s v="Deposited"/>
    <s v="PMT-S130-47858"/>
    <s v="IN-S130-455520"/>
    <s v="CAD"/>
    <n v="-100341.4"/>
    <n v="-73434.854000000007"/>
    <n v="7456.0659999999998"/>
    <n v="-7456.0659999999998"/>
    <s v="Lululemon Athletica Canada Inc"/>
    <s v="Jordan Irvine"/>
    <s v="LULULEMON ATHLETICA CANADA INC."/>
    <m/>
    <m/>
    <m/>
    <m/>
    <m/>
    <m/>
    <m/>
    <m/>
    <m/>
    <m/>
    <m/>
    <m/>
    <m/>
    <m/>
    <m/>
    <m/>
    <m/>
    <m/>
    <m/>
    <m/>
    <m/>
    <m/>
    <m/>
    <m/>
    <m/>
    <m/>
    <m/>
    <m/>
    <m/>
    <m/>
  </r>
  <r>
    <s v="111 - Canada"/>
    <d v="2022-11-30T00:00:00"/>
    <s v="NOVEMBER"/>
    <x v="2"/>
    <x v="0"/>
    <s v="Deposited"/>
    <s v="PMT-S130-37873"/>
    <s v="IN-S130-444455"/>
    <s v="CAD"/>
    <n v="-9802.75"/>
    <n v="-7174.143"/>
    <n v="6698.6229999999996"/>
    <n v="-6698.6229999999996"/>
    <s v="Astrazeneca Canada Inc"/>
    <s v="Frida Emri"/>
    <s v="ASTRAZENECA CAN MSP EF0160003008615316917328"/>
    <m/>
    <m/>
    <m/>
    <m/>
    <m/>
    <m/>
    <m/>
    <m/>
    <m/>
    <m/>
    <m/>
    <m/>
    <m/>
    <m/>
    <m/>
    <m/>
    <m/>
    <m/>
    <m/>
    <m/>
    <m/>
    <m/>
    <m/>
    <m/>
    <m/>
    <m/>
    <m/>
    <m/>
    <m/>
    <m/>
  </r>
  <r>
    <s v="111 - Canada"/>
    <d v="2023-07-27T00:00:00"/>
    <s v="JULY"/>
    <x v="3"/>
    <x v="0"/>
    <s v="Deposited"/>
    <s v="PMT-S130-40348"/>
    <s v=""/>
    <s v="CAD"/>
    <n v="-8638.56"/>
    <n v="-6322.13"/>
    <n v="6322.13"/>
    <n v="-6322.13"/>
    <s v="DP World"/>
    <s v="Frida Emri"/>
    <s v="DP World (Canad INS EF0160002208761829087989"/>
    <m/>
    <m/>
    <m/>
    <m/>
    <m/>
    <m/>
    <m/>
    <m/>
    <m/>
    <m/>
    <m/>
    <m/>
    <m/>
    <m/>
    <m/>
    <m/>
    <m/>
    <m/>
    <m/>
    <m/>
    <m/>
    <m/>
    <m/>
    <m/>
    <m/>
    <m/>
    <m/>
    <m/>
    <m/>
    <m/>
  </r>
  <r>
    <s v="111 - Canada"/>
    <d v="2025-11-26T00:00:00"/>
    <s v="NOVEMBER"/>
    <x v="0"/>
    <x v="0"/>
    <s v="Not Deposited"/>
    <s v="PMT-S130-47072"/>
    <s v=""/>
    <s v="CAD"/>
    <n v="-5750"/>
    <n v="-4208.1379999999999"/>
    <n v="4208.1379999999999"/>
    <n v="-4208.1379999999999"/>
    <s v="Maple Leafs Sports &amp; Entertainment - MLSE"/>
    <s v="Jordan Irvine"/>
    <s v="Account Payable Pmt MLS LTD"/>
    <m/>
    <m/>
    <m/>
    <m/>
    <m/>
    <m/>
    <m/>
    <m/>
    <m/>
    <m/>
    <m/>
    <m/>
    <m/>
    <m/>
    <m/>
    <m/>
    <m/>
    <m/>
    <m/>
    <m/>
    <m/>
    <m/>
    <m/>
    <m/>
    <m/>
    <m/>
    <m/>
    <m/>
    <m/>
    <m/>
  </r>
  <r>
    <s v="111 - Canada"/>
    <d v="2022-12-05T00:00:00"/>
    <s v="DECEMBER"/>
    <x v="2"/>
    <x v="0"/>
    <s v="Deposited"/>
    <s v="PMT-S130-37935"/>
    <s v="PMT-S130-37935"/>
    <s v="CAD"/>
    <n v="-3955"/>
    <n v="-2894.4670000000001"/>
    <n v="2894.4670000000001"/>
    <n v="-2894.4670000000001"/>
    <s v="Celiac Canada"/>
    <s v=""/>
    <s v="THE CANADIAN CE AP EF0160002208134539496580"/>
    <m/>
    <m/>
    <m/>
    <m/>
    <m/>
    <m/>
    <m/>
    <m/>
    <m/>
    <m/>
    <m/>
    <m/>
    <m/>
    <m/>
    <m/>
    <m/>
    <m/>
    <m/>
    <m/>
    <m/>
    <m/>
    <m/>
    <m/>
    <m/>
    <m/>
    <m/>
    <m/>
    <m/>
    <m/>
    <m/>
  </r>
  <r>
    <s v="111 - Canada"/>
    <d v="2026-04-08T00:00:00"/>
    <s v="APRIL"/>
    <x v="1"/>
    <x v="0"/>
    <s v="Deposited"/>
    <s v="PMT-S130-48077"/>
    <s v="IN-S130-455935"/>
    <s v="CAD"/>
    <n v="-13701.25"/>
    <n v="-10027.26"/>
    <n v="2104.6909999999998"/>
    <n v="-2104.6909999999998"/>
    <s v="Weber Shandwick"/>
    <s v="Frida Emri"/>
    <s v="ACH: Weber Shandwick  WEBER SHANDWICK CAN RE:MELTWATER NEWS CANADA INC"/>
    <m/>
    <m/>
    <m/>
    <m/>
    <m/>
    <m/>
    <m/>
    <m/>
    <m/>
    <m/>
    <m/>
    <m/>
    <m/>
    <m/>
    <m/>
    <m/>
    <m/>
    <m/>
    <m/>
    <m/>
    <m/>
    <m/>
    <m/>
    <m/>
    <m/>
    <m/>
    <m/>
    <m/>
    <m/>
    <m/>
  </r>
  <r>
    <s v="111 - Canada"/>
    <d v="2023-01-06T00:00:00"/>
    <s v="JANUARY"/>
    <x v="3"/>
    <x v="0"/>
    <s v="Deposited"/>
    <s v="PMT-S130-38266"/>
    <s v=""/>
    <s v="CAD"/>
    <n v="-2475.21"/>
    <n v="-1811.482"/>
    <n v="1811.482"/>
    <n v="26877.038"/>
    <s v="City of Richmond"/>
    <s v="Frida Emri"/>
    <s v="CITYOFRICHMOND AP EF0160002208335637701949"/>
    <m/>
    <m/>
    <m/>
    <m/>
    <m/>
    <m/>
    <m/>
    <m/>
    <m/>
    <m/>
    <m/>
    <m/>
    <m/>
    <m/>
    <m/>
    <m/>
    <m/>
    <m/>
    <m/>
    <m/>
    <m/>
    <m/>
    <m/>
    <m/>
    <m/>
    <m/>
    <m/>
    <m/>
    <m/>
    <m/>
  </r>
  <r>
    <s v="111 - Canada"/>
    <d v="2025-12-04T00:00:00"/>
    <s v="DECEMBER"/>
    <x v="0"/>
    <x v="0"/>
    <s v="Deposited"/>
    <s v="PMT-S130-47145"/>
    <s v="IN-S130-454756"/>
    <s v="CAD"/>
    <n v="-8335.69"/>
    <n v="-6100.4750000000004"/>
    <n v="1682.8889999999999"/>
    <n v="-1682.8889999999999"/>
    <s v="ABB Electrification Inc."/>
    <s v=""/>
    <s v="ACH: ABB Inc  ABB INC RE:MELTWATER NEWS CANADA INC"/>
    <m/>
    <m/>
    <m/>
    <m/>
    <m/>
    <m/>
    <m/>
    <m/>
    <m/>
    <m/>
    <m/>
    <m/>
    <m/>
    <m/>
    <m/>
    <m/>
    <m/>
    <m/>
    <m/>
    <m/>
    <m/>
    <m/>
    <m/>
    <m/>
    <m/>
    <m/>
    <m/>
    <m/>
    <m/>
    <m/>
  </r>
  <r>
    <s v="111 - Canada"/>
    <d v="2022-04-08T00:00:00"/>
    <s v="APRIL"/>
    <x v="2"/>
    <x v="0"/>
    <s v="Deposited"/>
    <s v="PMT-S130-35445"/>
    <s v="IN-S130-442685"/>
    <s v="CAD"/>
    <n v="-29893.5"/>
    <n v="-21877.558000000001"/>
    <n v="1472.5260000000001"/>
    <n v="-1472.5260000000001"/>
    <s v="CISSS de la Montérégie Est"/>
    <s v=""/>
    <s v="CISSSME MSP EF0160006108299867361615"/>
    <m/>
    <m/>
    <m/>
    <m/>
    <m/>
    <m/>
    <m/>
    <m/>
    <m/>
    <m/>
    <m/>
    <m/>
    <m/>
    <m/>
    <m/>
    <m/>
    <m/>
    <m/>
    <m/>
    <m/>
    <m/>
    <m/>
    <m/>
    <m/>
    <m/>
    <m/>
    <m/>
    <m/>
    <m/>
    <m/>
  </r>
  <r>
    <s v="111 - Canada"/>
    <d v="2026-03-19T00:00:00"/>
    <s v="MARCH"/>
    <x v="1"/>
    <x v="0"/>
    <s v="Deposited"/>
    <s v="PMT-S130-47941"/>
    <s v=""/>
    <s v="CAD"/>
    <n v="-1582"/>
    <n v="-1157.787"/>
    <n v="1157.787"/>
    <n v="-1157.787"/>
    <s v="Salt Experiential Commerce, Inc"/>
    <s v=""/>
    <s v="Salt Experienti"/>
    <m/>
    <m/>
    <m/>
    <m/>
    <m/>
    <m/>
    <m/>
    <m/>
    <m/>
    <m/>
    <m/>
    <m/>
    <m/>
    <m/>
    <m/>
    <m/>
    <m/>
    <m/>
    <m/>
    <m/>
    <m/>
    <m/>
    <m/>
    <m/>
    <m/>
    <m/>
    <m/>
    <m/>
    <m/>
    <m/>
  </r>
  <r>
    <s v="111 - Canada"/>
    <d v="2022-12-20T00:00:00"/>
    <s v="DECEMBER"/>
    <x v="2"/>
    <x v="0"/>
    <s v="Deposited"/>
    <s v="PMT-S130-38101"/>
    <s v=""/>
    <s v="CAD"/>
    <n v="-1271.25"/>
    <n v="-930.36400000000003"/>
    <n v="930.36400000000003"/>
    <n v="-930.36400000000003"/>
    <s v="Ottawa Jazz Festival"/>
    <s v="Jordan Irvine"/>
    <s v="Ottawa Jazz Fes MSP EF0160003008657314025383"/>
    <m/>
    <m/>
    <m/>
    <m/>
    <m/>
    <m/>
    <m/>
    <m/>
    <m/>
    <m/>
    <m/>
    <m/>
    <m/>
    <m/>
    <m/>
    <m/>
    <m/>
    <m/>
    <m/>
    <m/>
    <m/>
    <m/>
    <m/>
    <m/>
    <m/>
    <m/>
    <m/>
    <m/>
    <m/>
    <m/>
  </r>
  <r>
    <s v="111 - Canada"/>
    <d v="2024-06-03T00:00:00"/>
    <s v="JUNE"/>
    <x v="4"/>
    <x v="0"/>
    <s v="Deposited"/>
    <s v="PMT-S130-43382"/>
    <s v=""/>
    <s v="CAD"/>
    <n v="-1112.08"/>
    <n v="-813.87599999999998"/>
    <n v="813.87599999999998"/>
    <n v="-91511.6"/>
    <s v="DUMMY CUSTOMER_CASHAPPS 111 - Canada"/>
    <s v=""/>
    <s v="RBC payment -4/8/24 FUNDS TRANSFER CR TT FORM ATHLETI"/>
    <m/>
    <m/>
    <m/>
    <m/>
    <m/>
    <m/>
    <m/>
    <m/>
    <m/>
    <m/>
    <m/>
    <m/>
    <m/>
    <m/>
    <m/>
    <m/>
    <m/>
    <m/>
    <m/>
    <m/>
    <m/>
    <m/>
    <m/>
    <m/>
    <m/>
    <m/>
    <m/>
    <m/>
    <m/>
    <m/>
  </r>
  <r>
    <s v="111 - Canada"/>
    <d v="2025-05-28T00:00:00"/>
    <s v="MAY"/>
    <x v="0"/>
    <x v="0"/>
    <s v="Deposited"/>
    <s v="PMT-S130-45900"/>
    <s v=""/>
    <s v="CAD"/>
    <n v="-923"/>
    <n v="-675.49800000000005"/>
    <n v="675.49800000000005"/>
    <n v="-91511.6"/>
    <s v="DUMMY CUSTOMER_CASHAPPS 111 - Canada"/>
    <s v=""/>
    <s v="Funds transfer credit TT PHEENIX USH"/>
    <m/>
    <m/>
    <m/>
    <m/>
    <m/>
    <m/>
    <m/>
    <m/>
    <m/>
    <m/>
    <m/>
    <m/>
    <m/>
    <m/>
    <m/>
    <m/>
    <m/>
    <m/>
    <m/>
    <m/>
    <m/>
    <m/>
    <m/>
    <m/>
    <m/>
    <m/>
    <m/>
    <m/>
    <m/>
    <m/>
  </r>
  <r>
    <s v="111 - Canada"/>
    <d v="2025-11-20T00:00:00"/>
    <s v="NOVEMBER"/>
    <x v="0"/>
    <x v="0"/>
    <s v="Deposited"/>
    <s v="PMT-S130-47032"/>
    <s v=""/>
    <s v="CAD"/>
    <n v="-768.4"/>
    <n v="-562.35400000000004"/>
    <n v="562.35400000000004"/>
    <n v="-562.35400000000004"/>
    <s v="Skyjack"/>
    <s v=""/>
    <s v="Lockbox"/>
    <m/>
    <m/>
    <m/>
    <m/>
    <m/>
    <m/>
    <m/>
    <m/>
    <m/>
    <m/>
    <m/>
    <m/>
    <m/>
    <m/>
    <m/>
    <m/>
    <m/>
    <m/>
    <m/>
    <m/>
    <m/>
    <m/>
    <m/>
    <m/>
    <m/>
    <m/>
    <m/>
    <m/>
    <m/>
    <m/>
  </r>
  <r>
    <s v="111 - Canada"/>
    <d v="2023-10-19T00:00:00"/>
    <s v="OCTOBER"/>
    <x v="3"/>
    <x v="0"/>
    <s v="Deposited"/>
    <s v="PMT-S130-41110"/>
    <s v=""/>
    <s v="CAD"/>
    <n v="-600"/>
    <n v="-439.11"/>
    <n v="439.11"/>
    <n v="-439.11"/>
    <s v="QSL"/>
    <s v=""/>
    <s v="CAQ MSP EF0160006100981189087805"/>
    <m/>
    <m/>
    <m/>
    <m/>
    <m/>
    <m/>
    <m/>
    <m/>
    <m/>
    <m/>
    <m/>
    <m/>
    <m/>
    <m/>
    <m/>
    <m/>
    <m/>
    <m/>
    <m/>
    <m/>
    <m/>
    <m/>
    <m/>
    <m/>
    <m/>
    <m/>
    <m/>
    <m/>
    <m/>
    <m/>
  </r>
  <r>
    <s v="111 - Canada"/>
    <d v="2024-12-04T00:00:00"/>
    <s v="DECEMBER"/>
    <x v="4"/>
    <x v="0"/>
    <s v="Deposited"/>
    <s v="PMT-S130-44580"/>
    <s v="IN-S130-452247"/>
    <s v="CAD"/>
    <n v="-1895.04"/>
    <n v="-1386.885"/>
    <n v="403.279"/>
    <n v="-403.279"/>
    <s v="The Mark Anthony Group of Companies"/>
    <s v=""/>
    <s v="ACH CONCENTRATION CREDIT ACH CASH CONCENTRATION MARK ANTHONY GRO-AP PAYMENT MARK ANTH AP PAYMENT 00078186"/>
    <m/>
    <m/>
    <m/>
    <m/>
    <m/>
    <m/>
    <m/>
    <m/>
    <m/>
    <m/>
    <m/>
    <m/>
    <m/>
    <m/>
    <m/>
    <m/>
    <m/>
    <m/>
    <m/>
    <m/>
    <m/>
    <m/>
    <m/>
    <m/>
    <m/>
    <m/>
    <m/>
    <m/>
    <m/>
    <m/>
  </r>
  <r>
    <s v="111 - Canada"/>
    <d v="2023-03-31T00:00:00"/>
    <s v="MARCH"/>
    <x v="3"/>
    <x v="0"/>
    <s v="Deposited"/>
    <s v="PMT-S130-39183"/>
    <s v="IN-S130-446514"/>
    <s v="CAD"/>
    <n v="-1035.82"/>
    <n v="-758.06500000000005"/>
    <n v="379.03199999999998"/>
    <n v="-379.03199999999998"/>
    <s v="Parachute"/>
    <s v="Frida Emri"/>
    <s v="PARACHUTE LEADE BPY EF0160004208924881147576"/>
    <m/>
    <m/>
    <m/>
    <m/>
    <m/>
    <m/>
    <m/>
    <m/>
    <m/>
    <m/>
    <m/>
    <m/>
    <m/>
    <m/>
    <m/>
    <m/>
    <m/>
    <m/>
    <m/>
    <m/>
    <m/>
    <m/>
    <m/>
    <m/>
    <m/>
    <m/>
    <m/>
    <m/>
    <m/>
    <m/>
  </r>
  <r>
    <s v="111 - Canada"/>
    <d v="2026-04-01T00:00:00"/>
    <s v="APRIL"/>
    <x v="1"/>
    <x v="0"/>
    <s v="Deposited"/>
    <s v="PMT-S130-48041"/>
    <s v="IN-S130-456017"/>
    <s v="CAD"/>
    <n v="-6934.09"/>
    <n v="-5074.7139999999999"/>
    <n v="220.631"/>
    <n v="-220.631"/>
    <s v="Wellington Altus Private Wealth"/>
    <s v=""/>
    <s v="ACH: WELLINGTONALTUS  WELLINGTONALTUSPRIVATEWEALTH RE:MELTWATER NEWS CANADA INC"/>
    <m/>
    <m/>
    <m/>
    <m/>
    <m/>
    <m/>
    <m/>
    <m/>
    <m/>
    <m/>
    <m/>
    <m/>
    <m/>
    <m/>
    <m/>
    <m/>
    <m/>
    <m/>
    <m/>
    <m/>
    <m/>
    <m/>
    <m/>
    <m/>
    <m/>
    <m/>
    <m/>
    <m/>
    <m/>
    <m/>
  </r>
  <r>
    <s v="111 - Canada"/>
    <d v="2023-05-19T00:00:00"/>
    <s v="MAY"/>
    <x v="3"/>
    <x v="0"/>
    <s v="Deposited"/>
    <s v="PMT-S130-39733"/>
    <s v=""/>
    <s v="CAD"/>
    <n v="-297.10000000000002"/>
    <n v="-217.43299999999999"/>
    <n v="217.43299999999999"/>
    <n v="-91511.6"/>
    <s v="DUMMY CUSTOMER_CASHAPPS 111 - Canada"/>
    <s v=""/>
    <s v="CANADA FED EF0160177002542776000011"/>
    <m/>
    <m/>
    <m/>
    <m/>
    <m/>
    <m/>
    <m/>
    <m/>
    <m/>
    <m/>
    <m/>
    <m/>
    <m/>
    <m/>
    <m/>
    <m/>
    <m/>
    <m/>
    <m/>
    <m/>
    <m/>
    <m/>
    <m/>
    <m/>
    <m/>
    <m/>
    <m/>
    <m/>
    <m/>
    <m/>
  </r>
  <r>
    <s v="111 - Canada"/>
    <d v="2023-02-08T00:00:00"/>
    <s v="FEBRUARY"/>
    <x v="3"/>
    <x v="0"/>
    <s v="Deposited"/>
    <s v="PMT-S130-38661"/>
    <s v=""/>
    <s v="CAD"/>
    <n v="-259.38"/>
    <n v="-189.827"/>
    <n v="189.827"/>
    <n v="-91511.6"/>
    <s v="DUMMY CUSTOMER_CASHAPPS 111 - Canada"/>
    <s v=""/>
    <s v="CANADA FED EF0160177002328776000061"/>
    <m/>
    <m/>
    <m/>
    <m/>
    <m/>
    <m/>
    <m/>
    <m/>
    <m/>
    <m/>
    <m/>
    <m/>
    <m/>
    <m/>
    <m/>
    <m/>
    <m/>
    <m/>
    <m/>
    <m/>
    <m/>
    <m/>
    <m/>
    <m/>
    <m/>
    <m/>
    <m/>
    <m/>
    <m/>
    <m/>
  </r>
  <r>
    <s v="111 - Canada"/>
    <d v="2022-04-29T00:00:00"/>
    <s v="APRIL"/>
    <x v="2"/>
    <x v="0"/>
    <s v="Deposited"/>
    <s v="PMT-S130-35659"/>
    <s v=""/>
    <s v="CAD"/>
    <n v="-196.43"/>
    <n v="-143.75700000000001"/>
    <n v="143.75700000000001"/>
    <n v="-91511.6"/>
    <s v="DUMMY CUSTOMER_CASHAPPS 111 - Canada"/>
    <s v=""/>
    <s v="CANADA FED EF0160177001747776000127"/>
    <m/>
    <m/>
    <m/>
    <m/>
    <m/>
    <m/>
    <m/>
    <m/>
    <m/>
    <m/>
    <m/>
    <m/>
    <m/>
    <m/>
    <m/>
    <m/>
    <m/>
    <m/>
    <m/>
    <m/>
    <m/>
    <m/>
    <m/>
    <m/>
    <m/>
    <m/>
    <m/>
    <m/>
    <m/>
    <m/>
  </r>
  <r>
    <s v="111 - Canada"/>
    <d v="2024-07-25T00:00:00"/>
    <s v="JULY"/>
    <x v="4"/>
    <x v="0"/>
    <s v="Deposited"/>
    <s v="PMT-S130-43590"/>
    <s v=""/>
    <s v="CAD"/>
    <n v="-179.21"/>
    <n v="-131.155"/>
    <n v="131.155"/>
    <n v="-91511.6"/>
    <s v="DUMMY CUSTOMER_CASHAPPS 111 - Canada"/>
    <s v=""/>
    <s v="CANADA FED EF0160177003433776000024"/>
    <m/>
    <m/>
    <m/>
    <m/>
    <m/>
    <m/>
    <m/>
    <m/>
    <m/>
    <m/>
    <m/>
    <m/>
    <m/>
    <m/>
    <m/>
    <m/>
    <m/>
    <m/>
    <m/>
    <m/>
    <m/>
    <m/>
    <m/>
    <m/>
    <m/>
    <m/>
    <m/>
    <m/>
    <m/>
    <m/>
  </r>
  <r>
    <s v="111 - Canada"/>
    <d v="2023-01-31T00:00:00"/>
    <s v="JANUARY"/>
    <x v="3"/>
    <x v="0"/>
    <s v="Deposited"/>
    <s v="PMT-S130-38566"/>
    <s v="IN-S130-445527"/>
    <s v="CAD"/>
    <n v="-1300.01"/>
    <n v="-951.41200000000003"/>
    <n v="124.41500000000001"/>
    <n v="-124.41500000000001"/>
    <s v="Jason Plotz"/>
    <s v="Frida Emri"/>
    <s v="lockbox"/>
    <m/>
    <m/>
    <m/>
    <m/>
    <m/>
    <m/>
    <m/>
    <m/>
    <m/>
    <m/>
    <m/>
    <m/>
    <m/>
    <m/>
    <m/>
    <m/>
    <m/>
    <m/>
    <m/>
    <m/>
    <m/>
    <m/>
    <m/>
    <m/>
    <m/>
    <m/>
    <m/>
    <m/>
    <m/>
    <m/>
  </r>
  <r>
    <s v="111 - Canada"/>
    <d v="2024-05-21T00:00:00"/>
    <s v="MAY"/>
    <x v="4"/>
    <x v="0"/>
    <s v="Deposited"/>
    <s v="PMT-S130-43062"/>
    <s v=""/>
    <s v="CAD"/>
    <n v="-157.33000000000001"/>
    <n v="-115.142"/>
    <n v="115.142"/>
    <n v="-91511.6"/>
    <s v="DUMMY CUSTOMER_CASHAPPS 111 - Canada"/>
    <s v=""/>
    <s v="CANADA FED EF0160177003295776000009"/>
    <m/>
    <m/>
    <m/>
    <m/>
    <m/>
    <m/>
    <m/>
    <m/>
    <m/>
    <m/>
    <m/>
    <m/>
    <m/>
    <m/>
    <m/>
    <m/>
    <m/>
    <m/>
    <m/>
    <m/>
    <m/>
    <m/>
    <m/>
    <m/>
    <m/>
    <m/>
    <m/>
    <m/>
    <m/>
    <m/>
  </r>
  <r>
    <s v="111 - Canada"/>
    <d v="2025-12-09T00:00:00"/>
    <s v="DECEMBER"/>
    <x v="0"/>
    <x v="0"/>
    <s v="Deposited"/>
    <s v="PMT-S130-47176"/>
    <s v=""/>
    <s v="CAD"/>
    <n v="-145.09"/>
    <n v="-106.184"/>
    <n v="106.184"/>
    <n v="-91511.6"/>
    <s v="DUMMY CUSTOMER_CASHAPPS 111 - Canada"/>
    <s v=""/>
    <s v="ACH: CANADA  CANADA RE:MELTWATER NEWS CANADA INC"/>
    <m/>
    <m/>
    <m/>
    <m/>
    <m/>
    <m/>
    <m/>
    <m/>
    <m/>
    <m/>
    <m/>
    <m/>
    <m/>
    <m/>
    <m/>
    <m/>
    <m/>
    <m/>
    <m/>
    <m/>
    <m/>
    <m/>
    <m/>
    <m/>
    <m/>
    <m/>
    <m/>
    <m/>
    <m/>
    <m/>
  </r>
  <r>
    <s v="111 - Canada"/>
    <d v="2025-06-20T00:00:00"/>
    <s v="JUNE"/>
    <x v="0"/>
    <x v="0"/>
    <s v="Deposited"/>
    <s v="PMT-S130-46077"/>
    <s v=""/>
    <s v="CAD"/>
    <n v="-133.22999999999999"/>
    <n v="-97.504000000000005"/>
    <n v="97.504000000000005"/>
    <n v="-91511.6"/>
    <s v="DUMMY CUSTOMER_CASHAPPS 111 - Canada"/>
    <s v=""/>
    <s v="ACH: CANADA  CANADA RE:MELTWATER NEWS CANADA INC"/>
    <m/>
    <m/>
    <m/>
    <m/>
    <m/>
    <m/>
    <m/>
    <m/>
    <m/>
    <m/>
    <m/>
    <m/>
    <m/>
    <m/>
    <m/>
    <m/>
    <m/>
    <m/>
    <m/>
    <m/>
    <m/>
    <m/>
    <m/>
    <m/>
    <m/>
    <m/>
    <m/>
    <m/>
    <m/>
    <m/>
  </r>
  <r>
    <s v="111 - Canada"/>
    <d v="2025-05-16T00:00:00"/>
    <s v="MAY"/>
    <x v="0"/>
    <x v="0"/>
    <s v="Deposited"/>
    <s v="PMT-S130-45833"/>
    <s v=""/>
    <s v="CAD"/>
    <n v="-109.91"/>
    <n v="-80.438000000000002"/>
    <n v="80.438000000000002"/>
    <n v="-91511.6"/>
    <s v="DUMMY CUSTOMER_CASHAPPS 111 - Canada"/>
    <s v=""/>
    <s v="Federal Payment Canada"/>
    <m/>
    <m/>
    <m/>
    <m/>
    <m/>
    <m/>
    <m/>
    <m/>
    <m/>
    <m/>
    <m/>
    <m/>
    <m/>
    <m/>
    <m/>
    <m/>
    <m/>
    <m/>
    <m/>
    <m/>
    <m/>
    <m/>
    <m/>
    <m/>
    <m/>
    <m/>
    <m/>
    <m/>
    <m/>
    <m/>
  </r>
  <r>
    <s v="111 - Canada"/>
    <d v="2023-10-30T00:00:00"/>
    <s v="OCTOBER"/>
    <x v="3"/>
    <x v="0"/>
    <s v="Deposited"/>
    <s v="PMT-S130-41190"/>
    <s v=""/>
    <s v="CAD"/>
    <n v="-104.5"/>
    <n v="-76.477999999999994"/>
    <n v="76.477999999999994"/>
    <n v="-91511.6"/>
    <s v="DUMMY CUSTOMER_CASHAPPS 111 - Canada"/>
    <s v=""/>
    <s v="CANADA FED EF0160177002876776000045"/>
    <m/>
    <m/>
    <m/>
    <m/>
    <m/>
    <m/>
    <m/>
    <m/>
    <m/>
    <m/>
    <m/>
    <m/>
    <m/>
    <m/>
    <m/>
    <m/>
    <m/>
    <m/>
    <m/>
    <m/>
    <m/>
    <m/>
    <m/>
    <m/>
    <m/>
    <m/>
    <m/>
    <m/>
    <m/>
    <m/>
  </r>
  <r>
    <s v="111 - Canada"/>
    <d v="2025-07-03T00:00:00"/>
    <s v="JULY"/>
    <x v="0"/>
    <x v="0"/>
    <s v="Deposited"/>
    <s v="PMT-S130-46137"/>
    <s v=""/>
    <s v="CAD"/>
    <n v="-71.8"/>
    <n v="-52.546999999999997"/>
    <n v="52.546999999999997"/>
    <n v="-91511.6"/>
    <s v="DUMMY CUSTOMER_CASHAPPS 111 - Canada"/>
    <s v=""/>
    <s v="ACH: CANADA  CANADA RE:MELTWATER NEWS CANADA INC"/>
    <m/>
    <m/>
    <m/>
    <m/>
    <m/>
    <m/>
    <m/>
    <m/>
    <m/>
    <m/>
    <m/>
    <m/>
    <m/>
    <m/>
    <m/>
    <m/>
    <m/>
    <m/>
    <m/>
    <m/>
    <m/>
    <m/>
    <m/>
    <m/>
    <m/>
    <m/>
    <m/>
    <m/>
    <m/>
    <m/>
  </r>
  <r>
    <s v="111 - Canada"/>
    <d v="2025-12-17T00:00:00"/>
    <s v="DECEMBER"/>
    <x v="0"/>
    <x v="0"/>
    <s v="Deposited"/>
    <s v="PMT-S130-47248"/>
    <s v=""/>
    <s v="CAD"/>
    <n v="-14.7"/>
    <n v="-10.757999999999999"/>
    <n v="10.757999999999999"/>
    <n v="-91511.6"/>
    <s v="DUMMY CUSTOMER_CASHAPPS 111 - Canada"/>
    <s v=""/>
    <s v="ACH: CANADA  CANADA RE:Meltwater News Canada Inc"/>
    <m/>
    <m/>
    <m/>
    <m/>
    <m/>
    <m/>
    <m/>
    <m/>
    <m/>
    <m/>
    <m/>
    <m/>
    <m/>
    <m/>
    <m/>
    <m/>
    <m/>
    <m/>
    <m/>
    <m/>
    <m/>
    <m/>
    <m/>
    <m/>
    <m/>
    <m/>
    <m/>
    <m/>
    <m/>
    <m/>
  </r>
  <r>
    <s v="11C (116) - Meltwater News Canada 2"/>
    <d v="2019-04-01T00:00:00"/>
    <s v="APRIL"/>
    <x v="6"/>
    <x v="1"/>
    <s v="Deposited"/>
    <s v="PMT-S130C-0298"/>
    <s v="5317"/>
    <s v="CAD"/>
    <n v="-6900"/>
    <n v="-5256.9440000000004"/>
    <n v="5256.9440000000004"/>
    <n v="-5256.9440000000004"/>
    <s v="EON REALITY INC"/>
    <s v=""/>
    <s v="HSBC CAD wire 04/01/19 - For: customer references INV00046691 which is an old invoice 9/14/18."/>
    <m/>
    <m/>
    <m/>
    <m/>
    <m/>
    <m/>
    <m/>
    <m/>
    <m/>
    <m/>
    <m/>
    <m/>
    <m/>
    <m/>
    <m/>
    <m/>
    <m/>
    <m/>
    <m/>
    <m/>
    <m/>
    <m/>
    <m/>
    <m/>
    <m/>
    <m/>
    <m/>
    <m/>
    <m/>
    <m/>
  </r>
  <r>
    <s v="11C (116) - Meltwater News Canada 2"/>
    <d v="2019-09-20T00:00:00"/>
    <s v="SEPTEMBER"/>
    <x v="6"/>
    <x v="1"/>
    <s v="Deposited"/>
    <s v="PMT-S130C-0769"/>
    <s v="IN-S130C-0669"/>
    <s v="CAD"/>
    <n v="-40383.4"/>
    <n v="-30767.143"/>
    <n v="5127.8450000000003"/>
    <n v="-5127.8450000000003"/>
    <s v="Maple Leaf Sports &amp; Entertainment Ltd."/>
    <s v="Marta Boytcheva"/>
    <s v="HSBC CAD 9/20/19 - Customer overpaid an adjusted invoice. Marta said to leave over payment unapplied"/>
    <m/>
    <m/>
    <m/>
    <m/>
    <m/>
    <m/>
    <m/>
    <m/>
    <m/>
    <m/>
    <m/>
    <m/>
    <m/>
    <m/>
    <m/>
    <m/>
    <m/>
    <m/>
    <m/>
    <m/>
    <m/>
    <m/>
    <m/>
    <m/>
    <m/>
    <m/>
    <m/>
    <m/>
    <m/>
    <m/>
  </r>
  <r>
    <s v="11C (116) - Meltwater News Canada 2"/>
    <d v="2019-01-28T00:00:00"/>
    <s v="JANUARY"/>
    <x v="6"/>
    <x v="1"/>
    <s v="Deposited"/>
    <s v="PMT-S130C-0069"/>
    <s v="IN-S130C-0059"/>
    <s v="CAD"/>
    <n v="-4348.75"/>
    <n v="-3313.2080000000001"/>
    <n v="2981.8910000000001"/>
    <n v="-2981.8910000000001"/>
    <s v="VIA Rail"/>
    <s v="Marta Boytcheva"/>
    <s v=""/>
    <m/>
    <m/>
    <m/>
    <m/>
    <m/>
    <m/>
    <m/>
    <m/>
    <m/>
    <m/>
    <m/>
    <m/>
    <m/>
    <m/>
    <m/>
    <m/>
    <m/>
    <m/>
    <m/>
    <m/>
    <m/>
    <m/>
    <m/>
    <m/>
    <m/>
    <m/>
    <m/>
    <m/>
    <m/>
    <m/>
  </r>
  <r>
    <s v="11C (116) - Meltwater News Canada 2"/>
    <d v="2019-04-05T00:00:00"/>
    <s v="APRIL"/>
    <x v="6"/>
    <x v="1"/>
    <s v="Deposited"/>
    <s v="PMT-S130C-0315"/>
    <s v=""/>
    <s v="USD"/>
    <n v="-2450.0100000000002"/>
    <n v="-2493.3150000000001"/>
    <n v="2493.3150000000001"/>
    <n v="-2493.3150000000001"/>
    <s v="Blockstrain Technology Corp"/>
    <s v="Marta Boytcheva"/>
    <s v="HSBC USD wire 04/05/19 - no remit found, unapplied until invoice is confirmed."/>
    <m/>
    <m/>
    <m/>
    <m/>
    <m/>
    <m/>
    <m/>
    <m/>
    <m/>
    <m/>
    <m/>
    <m/>
    <m/>
    <m/>
    <m/>
    <m/>
    <m/>
    <m/>
    <m/>
    <m/>
    <m/>
    <m/>
    <m/>
    <m/>
    <m/>
    <m/>
    <m/>
    <m/>
    <m/>
    <m/>
  </r>
  <r>
    <s v="11C (116) - Meltwater News Canada 2"/>
    <d v="2019-04-16T00:00:00"/>
    <s v="APRIL"/>
    <x v="6"/>
    <x v="1"/>
    <s v="Deposited"/>
    <s v="PMT-S130C-0353"/>
    <s v=""/>
    <s v="GBP"/>
    <n v="-1770.83"/>
    <n v="-2363.9870000000001"/>
    <n v="2363.9870000000001"/>
    <n v="-2363.9870000000001"/>
    <s v="Semanticum"/>
    <s v="Yangzom Vitali-116"/>
    <s v="Bill Tech"/>
    <m/>
    <m/>
    <m/>
    <m/>
    <m/>
    <m/>
    <m/>
    <m/>
    <m/>
    <m/>
    <m/>
    <m/>
    <m/>
    <m/>
    <m/>
    <m/>
    <m/>
    <m/>
    <m/>
    <m/>
    <m/>
    <m/>
    <m/>
    <m/>
    <m/>
    <m/>
    <m/>
    <m/>
    <m/>
    <m/>
  </r>
  <r>
    <s v="11C (116) - Meltwater News Canada 2"/>
    <d v="2019-04-30T00:00:00"/>
    <s v="APRIL"/>
    <x v="6"/>
    <x v="1"/>
    <s v="Deposited"/>
    <s v="PMT-S130C-0377"/>
    <s v=""/>
    <s v="USD"/>
    <n v="-1870.84"/>
    <n v="-1917.5809999999999"/>
    <n v="1917.5809999999999"/>
    <n v="-1917.5809999999999"/>
    <s v="Ogilvy Singapore Pte Ltd"/>
    <s v="Yangzom Vitali-116"/>
    <s v="INV0004713 is for Ogilvy Sydney, which is on NS is SA-S130C-EN-1166689 Ogilvy Australia it is Bad Debt recovery"/>
    <m/>
    <m/>
    <m/>
    <m/>
    <m/>
    <m/>
    <m/>
    <m/>
    <m/>
    <m/>
    <m/>
    <m/>
    <m/>
    <m/>
    <m/>
    <m/>
    <m/>
    <m/>
    <m/>
    <m/>
    <m/>
    <m/>
    <m/>
    <m/>
    <m/>
    <m/>
    <m/>
    <m/>
    <m/>
    <m/>
  </r>
  <r>
    <s v="11C (116) - Meltwater News Canada 2"/>
    <d v="2019-01-28T00:00:00"/>
    <s v="JANUARY"/>
    <x v="6"/>
    <x v="1"/>
    <s v="Deposited"/>
    <s v="PMT-S130C-0077"/>
    <s v="IN-S130C-0283"/>
    <s v="USD"/>
    <n v="-2500"/>
    <n v="-2518.8380000000002"/>
    <n v="1259.4190000000001"/>
    <n v="-1259.4190000000001"/>
    <s v="Carma"/>
    <s v="Yangzom Vitali-116"/>
    <s v=""/>
    <m/>
    <m/>
    <m/>
    <m/>
    <m/>
    <m/>
    <m/>
    <m/>
    <m/>
    <m/>
    <m/>
    <m/>
    <m/>
    <m/>
    <m/>
    <m/>
    <m/>
    <m/>
    <m/>
    <m/>
    <m/>
    <m/>
    <m/>
    <m/>
    <m/>
    <m/>
    <m/>
    <m/>
    <m/>
    <m/>
  </r>
  <r>
    <s v="11C (116) - Meltwater News Canada 2"/>
    <d v="2019-02-21T00:00:00"/>
    <s v="FEBRUARY"/>
    <x v="6"/>
    <x v="1"/>
    <s v="Deposited"/>
    <s v="PMT-S130C-0177"/>
    <s v="IN-S130C-0252"/>
    <s v="CAD"/>
    <n v="-8236.7800000000007"/>
    <n v="-6275.4049999999997"/>
    <n v="1215.4970000000001"/>
    <n v="-1215.4970000000001"/>
    <s v="Tentree"/>
    <s v="Yangzom Vitali-116"/>
    <s v=""/>
    <m/>
    <m/>
    <m/>
    <m/>
    <m/>
    <m/>
    <m/>
    <m/>
    <m/>
    <m/>
    <m/>
    <m/>
    <m/>
    <m/>
    <m/>
    <m/>
    <m/>
    <m/>
    <m/>
    <m/>
    <m/>
    <m/>
    <m/>
    <m/>
    <m/>
    <m/>
    <m/>
    <m/>
    <m/>
    <m/>
  </r>
  <r>
    <s v="11C (116) - Meltwater News Canada 2"/>
    <d v="2019-02-08T00:00:00"/>
    <s v="FEBRUARY"/>
    <x v="6"/>
    <x v="1"/>
    <s v="Deposited"/>
    <s v="PMT-S130C-0133"/>
    <s v="IN-S130C-0337"/>
    <s v="USD"/>
    <n v="-3541.25"/>
    <n v="-3593.0529999999999"/>
    <n v="1138.441"/>
    <n v="-1138.441"/>
    <s v="Socialand Media Solutions SMS120220K30"/>
    <s v="Brinda Calori"/>
    <s v="Customer continues to pay all reduced invoices in full"/>
    <m/>
    <m/>
    <m/>
    <m/>
    <m/>
    <m/>
    <m/>
    <m/>
    <m/>
    <m/>
    <m/>
    <m/>
    <m/>
    <m/>
    <m/>
    <m/>
    <m/>
    <m/>
    <m/>
    <m/>
    <m/>
    <m/>
    <m/>
    <m/>
    <m/>
    <m/>
    <m/>
    <m/>
    <m/>
    <m/>
  </r>
  <r>
    <s v="11C (116) - Meltwater News Canada 2"/>
    <d v="2019-03-13T00:00:00"/>
    <s v="MARCH"/>
    <x v="6"/>
    <x v="1"/>
    <s v="Deposited"/>
    <s v="PMT-S130C-0255"/>
    <s v=""/>
    <s v="CAD"/>
    <n v="-1376.12"/>
    <n v="-1048.433"/>
    <n v="1048.433"/>
    <n v="-1048.433"/>
    <s v="Lowe SSP3"/>
    <s v="Maria Papadopoulos"/>
    <s v="INV00049576 paid on Feb 8th INV00048774 was cleared in December with a payment that was made in Nov and again referenced an invoice that the customer paid in Oct. Collections team will contact customer"/>
    <m/>
    <m/>
    <m/>
    <m/>
    <m/>
    <m/>
    <m/>
    <m/>
    <m/>
    <m/>
    <m/>
    <m/>
    <m/>
    <m/>
    <m/>
    <m/>
    <m/>
    <m/>
    <m/>
    <m/>
    <m/>
    <m/>
    <m/>
    <m/>
    <m/>
    <m/>
    <m/>
    <m/>
    <m/>
    <m/>
  </r>
  <r>
    <s v="11C (116) - Meltwater News Canada 2"/>
    <d v="2019-03-14T00:00:00"/>
    <s v="MARCH"/>
    <x v="6"/>
    <x v="1"/>
    <s v="Deposited"/>
    <s v="PMT-S130C-0239"/>
    <s v="IN-S130C-0416"/>
    <s v="USD"/>
    <n v="-4767.25"/>
    <n v="-4832.625"/>
    <n v="520.125"/>
    <n v="-520.125"/>
    <s v="Grey Mexico SA de CV"/>
    <s v="Brinda Calori"/>
    <s v="HSBC USD wire 3/14/19 - left unapplied, no inv ref# provided."/>
    <m/>
    <m/>
    <m/>
    <m/>
    <m/>
    <m/>
    <m/>
    <m/>
    <m/>
    <m/>
    <m/>
    <m/>
    <m/>
    <m/>
    <m/>
    <m/>
    <m/>
    <m/>
    <m/>
    <m/>
    <m/>
    <m/>
    <m/>
    <m/>
    <m/>
    <m/>
    <m/>
    <m/>
    <m/>
    <m/>
  </r>
  <r>
    <s v="11C (116) - Meltwater News Canada 2"/>
    <d v="2019-04-03T00:00:00"/>
    <s v="APRIL"/>
    <x v="6"/>
    <x v="1"/>
    <s v="Deposited"/>
    <s v="PMT-S130C-0295"/>
    <s v=""/>
    <s v="USD"/>
    <n v="-385.45"/>
    <n v="-390.75900000000001"/>
    <n v="390.75900000000001"/>
    <n v="-390.75900000000001"/>
    <s v="PUBLICIS AUSTRALIA PTY LTD."/>
    <s v="Yangzom Vitali-116"/>
    <s v="HSBC USD wire 04/03/19 - unapplied, pending remit to apply"/>
    <m/>
    <m/>
    <m/>
    <m/>
    <m/>
    <m/>
    <m/>
    <m/>
    <m/>
    <m/>
    <m/>
    <m/>
    <m/>
    <m/>
    <m/>
    <m/>
    <m/>
    <m/>
    <m/>
    <m/>
    <m/>
    <m/>
    <m/>
    <m/>
    <m/>
    <m/>
    <m/>
    <m/>
    <m/>
    <m/>
  </r>
  <r>
    <s v="11C (116) - Meltwater News Canada 2"/>
    <d v="2020-02-07T00:00:00"/>
    <s v="FEBRUARY"/>
    <x v="5"/>
    <x v="1"/>
    <s v="Deposited"/>
    <s v="PMT-S130C-1079"/>
    <s v="IN-S130C-2031"/>
    <s v="USD"/>
    <n v="-1350"/>
    <n v="-1369"/>
    <n v="228.167"/>
    <n v="-228.167"/>
    <s v="Young &amp; Rubicam Chile"/>
    <s v="Brinda Calori"/>
    <s v="HSBC USD Wire 2/7/20"/>
    <m/>
    <m/>
    <m/>
    <m/>
    <m/>
    <m/>
    <m/>
    <m/>
    <m/>
    <m/>
    <m/>
    <m/>
    <m/>
    <m/>
    <m/>
    <m/>
    <m/>
    <m/>
    <m/>
    <m/>
    <m/>
    <m/>
    <m/>
    <m/>
    <m/>
    <m/>
    <m/>
    <m/>
    <m/>
    <m/>
  </r>
  <r>
    <s v="11C (116) - Meltwater News Canada 2"/>
    <d v="2019-08-30T00:00:00"/>
    <s v="AUGUST"/>
    <x v="6"/>
    <x v="1"/>
    <s v="Deposited"/>
    <s v="PMT-S130C-0709"/>
    <s v="IN-S130C-1176"/>
    <s v="USD"/>
    <n v="-175"/>
    <n v="-177.37200000000001"/>
    <n v="5.0659999999999998"/>
    <n v="-5.0659999999999998"/>
    <s v="Dazing Studio S.C"/>
    <s v="Brinda Calori"/>
    <s v="WFB wire 083019 - part of the $38,661.44 wire - paid in 106-US acct"/>
    <m/>
    <m/>
    <m/>
    <m/>
    <m/>
    <m/>
    <m/>
    <m/>
    <m/>
    <m/>
    <m/>
    <m/>
    <m/>
    <m/>
    <m/>
    <m/>
    <m/>
    <m/>
    <m/>
    <m/>
    <m/>
    <m/>
    <m/>
    <m/>
    <m/>
    <m/>
    <m/>
    <m/>
    <m/>
    <m/>
  </r>
  <r>
    <s v="11C (116) - Meltwater News Canada 2"/>
    <d v="2019-03-01T00:00:00"/>
    <s v="MARCH"/>
    <x v="6"/>
    <x v="1"/>
    <s v="Deposited"/>
    <s v="PMT-S130C-0195"/>
    <s v=""/>
    <s v="EUR"/>
    <n v="-1"/>
    <n v="-1.135"/>
    <n v="1.135"/>
    <n v="-335.62200000000001"/>
    <s v="Ogilvy Barcelona"/>
    <s v="Yangzom Vitali-116"/>
    <s v=""/>
    <m/>
    <m/>
    <m/>
    <m/>
    <m/>
    <m/>
    <m/>
    <m/>
    <m/>
    <m/>
    <m/>
    <m/>
    <m/>
    <m/>
    <m/>
    <m/>
    <m/>
    <m/>
    <m/>
    <m/>
    <m/>
    <m/>
    <m/>
    <m/>
    <m/>
    <m/>
    <m/>
    <m/>
    <m/>
    <m/>
  </r>
  <r>
    <s v="11C (116) - Meltwater News Canada 2"/>
    <d v="2019-04-16T00:00:00"/>
    <s v="APRIL"/>
    <x v="6"/>
    <x v="1"/>
    <s v="Deposited"/>
    <s v="PMT-S130C-0350"/>
    <s v="IN-S130C-1020"/>
    <s v="USD"/>
    <n v="-15178"/>
    <n v="-15479.468999999999"/>
    <n v="0.876"/>
    <n v="-344.68799999999999"/>
    <s v="Zimat Consultores Comunicación Total, S.A. de C.V. ZCC000823SN7"/>
    <s v="Yangzom Vitali-116"/>
    <s v="HSBC USD wire 04/15/19 - For: IN-S130C-1020 $7589.00 IN-S130C-1093 $7589.00 per remit - Customer rounded up from $15,177.14 to $15,178.00 (unapplied 0.86)"/>
    <m/>
    <m/>
    <m/>
    <m/>
    <m/>
    <m/>
    <m/>
    <m/>
    <m/>
    <m/>
    <m/>
    <m/>
    <m/>
    <m/>
    <m/>
    <m/>
    <m/>
    <m/>
    <m/>
    <m/>
    <m/>
    <m/>
    <m/>
    <m/>
    <m/>
    <m/>
    <m/>
    <m/>
    <m/>
    <m/>
  </r>
  <r>
    <s v="11C (116) - Meltwater News Canada 2"/>
    <d v="2019-10-11T00:00:00"/>
    <s v="OCTOBER"/>
    <x v="6"/>
    <x v="1"/>
    <s v="Deposited"/>
    <s v="PMT-S130C-0810"/>
    <s v="IN-S130C-1771"/>
    <s v="CAD"/>
    <n v="-5486.26"/>
    <n v="-4179.8500000000004"/>
    <n v="1.4999999999999999E-2"/>
    <n v="-1.4999999999999999E-2"/>
    <s v="Sureté du Québec"/>
    <s v="Marta Boytcheva"/>
    <s v="HSBC LB 10/11/19"/>
    <m/>
    <m/>
    <m/>
    <m/>
    <m/>
    <m/>
    <m/>
    <m/>
    <m/>
    <m/>
    <m/>
    <m/>
    <m/>
    <m/>
    <m/>
    <m/>
    <m/>
    <m/>
    <m/>
    <m/>
    <m/>
    <m/>
    <m/>
    <m/>
    <m/>
    <m/>
    <m/>
    <m/>
    <m/>
    <m/>
  </r>
  <r>
    <s v="201 - Australia"/>
    <d v="2024-10-16T00:00:00"/>
    <s v="OCTOBER"/>
    <x v="4"/>
    <x v="2"/>
    <s v="Deposited"/>
    <s v="PMT-S155-37916"/>
    <s v=""/>
    <s v="NZD"/>
    <n v="-31991"/>
    <n v="-20152.823"/>
    <n v="20152.823"/>
    <n v="-20152.823"/>
    <s v="Fonterra Co-Operative Group"/>
    <s v="Windy Go"/>
    <s v="1/FONTERRA CO-OPERATIVE GROUP LIMIT 2000132172 /ROC/2000132172 FX NZD 31991.00 AT 1.1342120 200182719 /TMS/2024-10-15T23:29:15 GMT/MID/1.104251"/>
    <m/>
    <m/>
    <m/>
    <m/>
    <m/>
    <m/>
    <m/>
    <m/>
    <m/>
    <m/>
    <m/>
    <m/>
    <m/>
    <m/>
    <m/>
    <m/>
    <m/>
    <m/>
    <m/>
    <m/>
    <m/>
    <m/>
    <m/>
    <m/>
    <m/>
    <m/>
    <m/>
    <m/>
    <m/>
    <m/>
  </r>
  <r>
    <s v="201 - Australia"/>
    <d v="2026-04-09T00:00:00"/>
    <s v="APRIL"/>
    <x v="1"/>
    <x v="2"/>
    <s v="Deposited"/>
    <s v="PMT-S155-42950"/>
    <s v=""/>
    <s v="AUD"/>
    <n v="-18480"/>
    <n v="-13203.96"/>
    <n v="13203.96"/>
    <n v="-26251.494999999999"/>
    <s v="DUMMY CUSTOMER_CASHAPPS 201 - Australia"/>
    <s v="Windy Go"/>
    <s v="173200023166926 MARS NEDERLAND B 0001975"/>
    <m/>
    <m/>
    <m/>
    <m/>
    <m/>
    <m/>
    <m/>
    <m/>
    <m/>
    <m/>
    <m/>
    <m/>
    <m/>
    <m/>
    <m/>
    <m/>
    <m/>
    <m/>
    <m/>
    <m/>
    <m/>
    <m/>
    <m/>
    <m/>
    <m/>
    <m/>
    <m/>
    <m/>
    <m/>
    <m/>
  </r>
  <r>
    <s v="201 - Australia"/>
    <d v="2026-04-21T00:00:00"/>
    <s v="APRIL"/>
    <x v="1"/>
    <x v="2"/>
    <s v="Deposited"/>
    <s v="PMT-S155-43051"/>
    <s v=""/>
    <s v="AUD"/>
    <n v="-16500"/>
    <n v="-11789.25"/>
    <n v="11789.25"/>
    <n v="-26251.494999999999"/>
    <s v="DUMMY CUSTOMER_CASHAPPS 201 - Australia"/>
    <s v="Windy Go"/>
    <s v="Meltwater Pont3 Pty Limite 0599873"/>
    <m/>
    <m/>
    <m/>
    <m/>
    <m/>
    <m/>
    <m/>
    <m/>
    <m/>
    <m/>
    <m/>
    <m/>
    <m/>
    <m/>
    <m/>
    <m/>
    <m/>
    <m/>
    <m/>
    <m/>
    <m/>
    <m/>
    <m/>
    <m/>
    <m/>
    <m/>
    <m/>
    <m/>
    <m/>
    <m/>
  </r>
  <r>
    <s v="201 - Australia"/>
    <d v="2023-01-24T00:00:00"/>
    <s v="JANUARY"/>
    <x v="3"/>
    <x v="2"/>
    <s v="Deposited"/>
    <s v="PMT-S155-31177"/>
    <s v=""/>
    <s v="AUD"/>
    <n v="-8008"/>
    <n v="-5721.7160000000003"/>
    <n v="5721.7160000000003"/>
    <n v="-5721.7160000000003"/>
    <s v="Leisure-Tec Australia Pty Ltd"/>
    <s v=""/>
    <s v="LEISURE TEC 0241933"/>
    <m/>
    <m/>
    <m/>
    <m/>
    <m/>
    <m/>
    <m/>
    <m/>
    <m/>
    <m/>
    <m/>
    <m/>
    <m/>
    <m/>
    <m/>
    <m/>
    <m/>
    <m/>
    <m/>
    <m/>
    <m/>
    <m/>
    <m/>
    <m/>
    <m/>
    <m/>
    <m/>
    <m/>
    <m/>
    <m/>
  </r>
  <r>
    <s v="201 - Australia"/>
    <d v="2022-12-21T00:00:00"/>
    <s v="DECEMBER"/>
    <x v="2"/>
    <x v="2"/>
    <s v="Deposited"/>
    <s v="PMT-S155-30851"/>
    <s v="IN-S155-424028"/>
    <s v="AUD"/>
    <n v="-15400"/>
    <n v="-11003.3"/>
    <n v="5501.65"/>
    <n v="-5501.65"/>
    <s v="POLICE CITIZENS YOUTH CLUBS NSW LTD"/>
    <s v="Windy Go"/>
    <s v="531785 PCYC NSW 0085562"/>
    <m/>
    <m/>
    <m/>
    <m/>
    <m/>
    <m/>
    <m/>
    <m/>
    <m/>
    <m/>
    <m/>
    <m/>
    <m/>
    <m/>
    <m/>
    <m/>
    <m/>
    <m/>
    <m/>
    <m/>
    <m/>
    <m/>
    <m/>
    <m/>
    <m/>
    <m/>
    <m/>
    <m/>
    <m/>
    <m/>
  </r>
  <r>
    <s v="201 - Australia"/>
    <d v="2025-06-23T00:00:00"/>
    <s v="JUNE"/>
    <x v="0"/>
    <x v="2"/>
    <s v="Deposited"/>
    <s v="PMT-S155-39945"/>
    <s v=""/>
    <s v="AUD"/>
    <n v="-6184.2"/>
    <n v="-4418.6109999999999"/>
    <n v="4418.6109999999999"/>
    <n v="-4418.6109999999999"/>
    <s v="City of Hobart"/>
    <s v="Windy Go"/>
    <s v="CITY OF HOB 05748 CITY OF HOBART - 0448218"/>
    <m/>
    <m/>
    <m/>
    <m/>
    <m/>
    <m/>
    <m/>
    <m/>
    <m/>
    <m/>
    <m/>
    <m/>
    <m/>
    <m/>
    <m/>
    <m/>
    <m/>
    <m/>
    <m/>
    <m/>
    <m/>
    <m/>
    <m/>
    <m/>
    <m/>
    <m/>
    <m/>
    <m/>
    <m/>
    <m/>
  </r>
  <r>
    <s v="201 - Australia"/>
    <d v="2025-12-18T00:00:00"/>
    <s v="DECEMBER"/>
    <x v="0"/>
    <x v="2"/>
    <s v="Deposited"/>
    <s v="PMT-S155-41991"/>
    <s v="IN-S155-431433"/>
    <s v="AUD"/>
    <n v="-4435.2"/>
    <n v="-3168.95"/>
    <n v="1584.4749999999999"/>
    <n v="0"/>
    <s v="Lovehoney Australia"/>
    <s v=""/>
    <s v="Lovehoney AU Lovehoney AU Pty 0916381"/>
    <m/>
    <m/>
    <m/>
    <m/>
    <m/>
    <m/>
    <m/>
    <m/>
    <m/>
    <m/>
    <m/>
    <m/>
    <m/>
    <m/>
    <m/>
    <m/>
    <m/>
    <m/>
    <m/>
    <m/>
    <m/>
    <m/>
    <m/>
    <m/>
    <m/>
    <m/>
    <m/>
    <m/>
    <m/>
    <m/>
  </r>
  <r>
    <s v="201 - Australia"/>
    <d v="2023-06-22T00:00:00"/>
    <s v="JUNE"/>
    <x v="3"/>
    <x v="2"/>
    <s v="Deposited"/>
    <s v="PMT-S155-32846"/>
    <s v="IN-S155-424007"/>
    <s v="AUD"/>
    <n v="-16370.46"/>
    <n v="-11696.694"/>
    <n v="1038.4259999999999"/>
    <n v="-1038.4259999999999"/>
    <s v="The Village Building Company"/>
    <s v="Windy Go"/>
    <s v="INV-S155-424007 Recoveries Natio 0394335"/>
    <m/>
    <m/>
    <m/>
    <m/>
    <m/>
    <m/>
    <m/>
    <m/>
    <m/>
    <m/>
    <m/>
    <m/>
    <m/>
    <m/>
    <m/>
    <m/>
    <m/>
    <m/>
    <m/>
    <m/>
    <m/>
    <m/>
    <m/>
    <m/>
    <m/>
    <m/>
    <m/>
    <m/>
    <m/>
    <m/>
  </r>
  <r>
    <s v="201 - Australia"/>
    <d v="2023-11-20T00:00:00"/>
    <s v="NOVEMBER"/>
    <x v="3"/>
    <x v="2"/>
    <s v="Deposited"/>
    <s v="PMT-S155-34558"/>
    <s v="IN-S155-426490"/>
    <s v="AUD"/>
    <n v="-12743.5"/>
    <n v="-9105.2309999999998"/>
    <n v="971.43399999999997"/>
    <n v="-971.43399999999997"/>
    <s v="SOUTHERN SYDNEY REGIONAL ORGANISATION OF COUNCILS"/>
    <s v="Windy Go"/>
    <s v="IN-S155-426306 SSROC 0813887"/>
    <m/>
    <m/>
    <m/>
    <m/>
    <m/>
    <m/>
    <m/>
    <m/>
    <m/>
    <m/>
    <m/>
    <m/>
    <m/>
    <m/>
    <m/>
    <m/>
    <m/>
    <m/>
    <m/>
    <m/>
    <m/>
    <m/>
    <m/>
    <m/>
    <m/>
    <m/>
    <m/>
    <m/>
    <m/>
    <m/>
  </r>
  <r>
    <s v="201 - Australia"/>
    <d v="2025-01-30T00:00:00"/>
    <s v="JANUARY"/>
    <x v="0"/>
    <x v="2"/>
    <s v="Deposited"/>
    <s v="PMT-S155-38764"/>
    <s v=""/>
    <s v="AUD"/>
    <n v="-1050.5"/>
    <n v="-750.58199999999999"/>
    <n v="750.58199999999999"/>
    <n v="-750.58199999999999"/>
    <s v="The Red Agency pty Ltd trading as Red Havas"/>
    <s v="Windy Go"/>
    <s v="V1-51292223-P-MELN THE RED AGENCY P 0840256"/>
    <m/>
    <m/>
    <m/>
    <m/>
    <m/>
    <m/>
    <m/>
    <m/>
    <m/>
    <m/>
    <m/>
    <m/>
    <m/>
    <m/>
    <m/>
    <m/>
    <m/>
    <m/>
    <m/>
    <m/>
    <m/>
    <m/>
    <m/>
    <m/>
    <m/>
    <m/>
    <m/>
    <m/>
    <m/>
    <m/>
  </r>
  <r>
    <s v="201 - Australia"/>
    <d v="2023-01-17T00:00:00"/>
    <s v="JANUARY"/>
    <x v="3"/>
    <x v="2"/>
    <s v="Deposited"/>
    <s v="PMT-S155-31081"/>
    <s v=""/>
    <s v="AUD"/>
    <n v="-986.9"/>
    <n v="-705.14"/>
    <n v="705.14"/>
    <n v="-705.14"/>
    <s v="Mirvac Procurement Pty Ltd"/>
    <s v=""/>
    <s v="PMT ID:     476819 MIRVAC 0986579"/>
    <m/>
    <m/>
    <m/>
    <m/>
    <m/>
    <m/>
    <m/>
    <m/>
    <m/>
    <m/>
    <m/>
    <m/>
    <m/>
    <m/>
    <m/>
    <m/>
    <m/>
    <m/>
    <m/>
    <m/>
    <m/>
    <m/>
    <m/>
    <m/>
    <m/>
    <m/>
    <m/>
    <m/>
    <m/>
    <m/>
  </r>
  <r>
    <s v="201 - Australia"/>
    <d v="2026-04-24T00:00:00"/>
    <s v="APRIL"/>
    <x v="1"/>
    <x v="2"/>
    <s v="Deposited"/>
    <s v="PMT-S155-43101"/>
    <s v=""/>
    <s v="AUD"/>
    <n v="-741"/>
    <n v="-529.44500000000005"/>
    <n v="529.44500000000005"/>
    <n v="-26251.494999999999"/>
    <s v="DUMMY CUSTOMER_CASHAPPS 201 - Australia"/>
    <s v="Windy Go"/>
    <s v="689647123400424153 VERVESUPER 0780254"/>
    <m/>
    <m/>
    <m/>
    <m/>
    <m/>
    <m/>
    <m/>
    <m/>
    <m/>
    <m/>
    <m/>
    <m/>
    <m/>
    <m/>
    <m/>
    <m/>
    <m/>
    <m/>
    <m/>
    <m/>
    <m/>
    <m/>
    <m/>
    <m/>
    <m/>
    <m/>
    <m/>
    <m/>
    <m/>
    <m/>
  </r>
  <r>
    <s v="201 - Australia"/>
    <d v="2022-09-29T00:00:00"/>
    <s v="SEPTEMBER"/>
    <x v="2"/>
    <x v="2"/>
    <s v="Deposited"/>
    <s v="PMT-S155-29838"/>
    <s v=""/>
    <s v="AUD"/>
    <n v="-550"/>
    <n v="-392.97500000000002"/>
    <n v="392.97500000000002"/>
    <n v="-26251.494999999999"/>
    <s v="DUMMY CUSTOMER_CASHAPPS 201 - Australia"/>
    <s v="Windy Go"/>
    <s v="MN2033605 CBA 0685610"/>
    <m/>
    <m/>
    <m/>
    <m/>
    <m/>
    <m/>
    <m/>
    <m/>
    <m/>
    <m/>
    <m/>
    <m/>
    <m/>
    <m/>
    <m/>
    <m/>
    <m/>
    <m/>
    <m/>
    <m/>
    <m/>
    <m/>
    <m/>
    <m/>
    <m/>
    <m/>
    <m/>
    <m/>
    <m/>
    <m/>
  </r>
  <r>
    <s v="201 - Australia"/>
    <d v="2022-05-18T00:00:00"/>
    <s v="MAY"/>
    <x v="2"/>
    <x v="2"/>
    <s v="Deposited"/>
    <s v="PMT-S155-28115"/>
    <s v="IN-S155-422085"/>
    <s v="AUD"/>
    <n v="-963.9"/>
    <n v="-688.70699999999999"/>
    <n v="327.95600000000002"/>
    <n v="-327.95600000000002"/>
    <s v="ALWAYS HUMAN GROUP PTY LTD"/>
    <s v=""/>
    <s v="Lampoon Group Lampoon Group Pt 0592784"/>
    <m/>
    <m/>
    <m/>
    <m/>
    <m/>
    <m/>
    <m/>
    <m/>
    <m/>
    <m/>
    <m/>
    <m/>
    <m/>
    <m/>
    <m/>
    <m/>
    <m/>
    <m/>
    <m/>
    <m/>
    <m/>
    <m/>
    <m/>
    <m/>
    <m/>
    <m/>
    <m/>
    <m/>
    <m/>
    <m/>
  </r>
  <r>
    <s v="201 - Australia"/>
    <d v="2023-05-29T00:00:00"/>
    <s v="MAY"/>
    <x v="3"/>
    <x v="2"/>
    <s v="Deposited"/>
    <s v="PMT-S155-32532"/>
    <s v="IN-S155-424125"/>
    <s v="AUD"/>
    <n v="-20630.21"/>
    <n v="-14740.285"/>
    <n v="289.02199999999999"/>
    <n v="-289.02199999999999"/>
    <s v="HAVAL Motors Australia Pty Ltd"/>
    <s v=""/>
    <s v="IN-S155-424125 Hav Recoveries Natio 0358677"/>
    <m/>
    <m/>
    <m/>
    <m/>
    <m/>
    <m/>
    <m/>
    <m/>
    <m/>
    <m/>
    <m/>
    <m/>
    <m/>
    <m/>
    <m/>
    <m/>
    <m/>
    <m/>
    <m/>
    <m/>
    <m/>
    <m/>
    <m/>
    <m/>
    <m/>
    <m/>
    <m/>
    <m/>
    <m/>
    <m/>
  </r>
  <r>
    <s v="201 - Australia"/>
    <d v="2026-04-20T00:00:00"/>
    <s v="APRIL"/>
    <x v="1"/>
    <x v="2"/>
    <s v="Deposited"/>
    <s v="PMT-S155-43042"/>
    <s v=""/>
    <s v="AUD"/>
    <n v="-281.35000000000002"/>
    <n v="-201.02500000000001"/>
    <n v="201.02500000000001"/>
    <n v="-26251.494999999999"/>
    <s v="DUMMY CUSTOMER_CASHAPPS 201 - Australia"/>
    <s v="Windy Go"/>
    <s v="CVENTPAYMENTS-DMRH CVENTPAYMENTS 0530766"/>
    <m/>
    <m/>
    <m/>
    <m/>
    <m/>
    <m/>
    <m/>
    <m/>
    <m/>
    <m/>
    <m/>
    <m/>
    <m/>
    <m/>
    <m/>
    <m/>
    <m/>
    <m/>
    <m/>
    <m/>
    <m/>
    <m/>
    <m/>
    <m/>
    <m/>
    <m/>
    <m/>
    <m/>
    <m/>
    <m/>
  </r>
  <r>
    <s v="201 - Australia"/>
    <d v="2026-04-27T00:00:00"/>
    <s v="APRIL"/>
    <x v="1"/>
    <x v="2"/>
    <s v="Deposited"/>
    <s v="PMT-S155-43111"/>
    <s v=""/>
    <s v="AUD"/>
    <n v="-188.72"/>
    <n v="-134.84"/>
    <n v="134.84"/>
    <n v="-26251.494999999999"/>
    <s v="DUMMY CUSTOMER_CASHAPPS 201 - Australia"/>
    <s v="Windy Go"/>
    <s v="CVENTPAYMENTS-HRNO CVENTPAYMENTS 0832990"/>
    <m/>
    <m/>
    <m/>
    <m/>
    <m/>
    <m/>
    <m/>
    <m/>
    <m/>
    <m/>
    <m/>
    <m/>
    <m/>
    <m/>
    <m/>
    <m/>
    <m/>
    <m/>
    <m/>
    <m/>
    <m/>
    <m/>
    <m/>
    <m/>
    <m/>
    <m/>
    <m/>
    <m/>
    <m/>
    <m/>
  </r>
  <r>
    <s v="201 - Australia"/>
    <d v="2022-05-17T00:00:00"/>
    <s v="MAY"/>
    <x v="2"/>
    <x v="2"/>
    <s v="Deposited"/>
    <s v="PMT-S155-28095"/>
    <s v="IN-S155-420524"/>
    <s v="AUD"/>
    <n v="-7412.4"/>
    <n v="-5296.16"/>
    <n v="108.89"/>
    <n v="-108.89"/>
    <s v="Mornington Peninsula RTB Inc"/>
    <s v=""/>
    <s v="IN-S155-420524 Recoveries Natio 0538481"/>
    <m/>
    <m/>
    <m/>
    <m/>
    <m/>
    <m/>
    <m/>
    <m/>
    <m/>
    <m/>
    <m/>
    <m/>
    <m/>
    <m/>
    <m/>
    <m/>
    <m/>
    <m/>
    <m/>
    <m/>
    <m/>
    <m/>
    <m/>
    <m/>
    <m/>
    <m/>
    <m/>
    <m/>
    <m/>
    <m/>
  </r>
  <r>
    <s v="221 - HK"/>
    <d v="2025-07-10T00:00:00"/>
    <s v="JULY"/>
    <x v="0"/>
    <x v="2"/>
    <s v="Deposited"/>
    <s v="PMT-S133-7108"/>
    <s v="IN-S133-408223"/>
    <s v="USD"/>
    <n v="-12937.5"/>
    <n v="-12937.037"/>
    <n v="2587.4070000000002"/>
    <n v="-2587.4070000000002"/>
    <s v="Zyxel Communications Corporation"/>
    <s v=""/>
    <s v="1/ZYXEL COMMUNICATIONS CORPORATION /OCMT/USD12937,50/ , /OGB/MEGA INTERNATIONAL COMMERCIAL BANK ,"/>
    <m/>
    <m/>
    <m/>
    <m/>
    <m/>
    <m/>
    <m/>
    <m/>
    <m/>
    <m/>
    <m/>
    <m/>
    <m/>
    <m/>
    <m/>
    <m/>
    <m/>
    <m/>
    <m/>
    <m/>
    <m/>
    <m/>
    <m/>
    <m/>
    <m/>
    <m/>
    <m/>
    <m/>
    <m/>
    <m/>
  </r>
  <r>
    <s v="221 - HK"/>
    <d v="2023-03-10T00:00:00"/>
    <s v="MARCH"/>
    <x v="3"/>
    <x v="2"/>
    <s v="Deposited"/>
    <s v="PMT-S133-6062"/>
    <s v="IN-S133-407033"/>
    <s v="HKD"/>
    <n v="-66584.600000000006"/>
    <n v="-8498.7250000000004"/>
    <n v="272.96699999999998"/>
    <n v="-272.96699999999998"/>
    <s v="Zenith Integrated Communications Ltd"/>
    <s v=""/>
    <s v="/ORDP/FERRARI (HK) LIMITED /BREF/GHK2700150687002759 /OBK/007 /EREF/AP32100048814840 /REMI/"/>
    <m/>
    <m/>
    <m/>
    <m/>
    <m/>
    <m/>
    <m/>
    <m/>
    <m/>
    <m/>
    <m/>
    <m/>
    <m/>
    <m/>
    <m/>
    <m/>
    <m/>
    <m/>
    <m/>
    <m/>
    <m/>
    <m/>
    <m/>
    <m/>
    <m/>
    <m/>
    <m/>
    <m/>
    <m/>
    <m/>
  </r>
  <r>
    <s v="241 - Singapore"/>
    <d v="2023-06-16T00:00:00"/>
    <s v="JUNE"/>
    <x v="3"/>
    <x v="2"/>
    <s v="Deposited"/>
    <s v="PMT-S158-8026"/>
    <s v=""/>
    <s v="SGD"/>
    <n v="-34003.79"/>
    <n v="-26612.216"/>
    <n v="26612.216"/>
    <n v="-26612.216"/>
    <s v="Temasek Capital Management Pte. Ltd."/>
    <s v=""/>
    <s v="INTERBANK GIRO Temasek Holdings (Private) Limited 024764 SUPPLIER PAYMENT"/>
    <m/>
    <m/>
    <m/>
    <m/>
    <m/>
    <m/>
    <m/>
    <m/>
    <m/>
    <m/>
    <m/>
    <m/>
    <m/>
    <m/>
    <m/>
    <m/>
    <m/>
    <m/>
    <m/>
    <m/>
    <m/>
    <m/>
    <m/>
    <m/>
    <m/>
    <m/>
    <m/>
    <m/>
    <m/>
    <m/>
  </r>
  <r>
    <s v="241 - Singapore"/>
    <d v="2023-06-16T00:00:00"/>
    <s v="JUNE"/>
    <x v="3"/>
    <x v="2"/>
    <s v="Deposited"/>
    <s v="PMT-S158-8027"/>
    <s v=""/>
    <s v="EUR"/>
    <n v="-22932"/>
    <n v="-25232.159"/>
    <n v="25232.159"/>
    <n v="-48223.02"/>
    <s v="Danone Specialized Nutrition (Malaysia)"/>
    <s v=""/>
    <s v="INWARD TELEGRAPHIC TRANSFER ITT 3412060248/1 0016IT4175996 PT NUTRICIA INDONESIA SEJAHTERA EUR 22932 at SGD1.405914"/>
    <m/>
    <m/>
    <m/>
    <m/>
    <m/>
    <m/>
    <m/>
    <m/>
    <m/>
    <m/>
    <m/>
    <m/>
    <m/>
    <m/>
    <m/>
    <m/>
    <m/>
    <m/>
    <m/>
    <m/>
    <m/>
    <m/>
    <m/>
    <m/>
    <m/>
    <m/>
    <m/>
    <m/>
    <m/>
    <m/>
  </r>
  <r>
    <s v="241 - Singapore"/>
    <d v="2023-06-16T00:00:00"/>
    <s v="JUNE"/>
    <x v="3"/>
    <x v="2"/>
    <s v="Deposited"/>
    <s v="PMT-S158-8030"/>
    <s v=""/>
    <s v="SGD"/>
    <n v="-29376.6"/>
    <n v="-22990.862000000001"/>
    <n v="22990.862000000001"/>
    <n v="-48223.02"/>
    <s v="Danone Specialized Nutrition (Malaysia)"/>
    <s v=""/>
    <s v="SG-2021-0081"/>
    <m/>
    <m/>
    <m/>
    <m/>
    <m/>
    <m/>
    <m/>
    <m/>
    <m/>
    <m/>
    <m/>
    <m/>
    <m/>
    <m/>
    <m/>
    <m/>
    <m/>
    <m/>
    <m/>
    <m/>
    <m/>
    <m/>
    <m/>
    <m/>
    <m/>
    <m/>
    <m/>
    <m/>
    <m/>
    <m/>
  </r>
  <r>
    <s v="241 - Singapore"/>
    <d v="2023-06-16T00:00:00"/>
    <s v="JUNE"/>
    <x v="3"/>
    <x v="2"/>
    <s v="Deposited"/>
    <s v="PMT-S158-8029"/>
    <s v=""/>
    <s v="SGD"/>
    <n v="-15334"/>
    <n v="-12000.772000000001"/>
    <n v="12000.772000000001"/>
    <n v="-16462"/>
    <s v="Nutricia Internaonal Pvt. Ltd."/>
    <s v=""/>
    <s v="MEPS RECEIPT MER 1IR209298736C01 0016II4814496 NUTRICIA INTERNATIONAL PRIVATE SGD 15334"/>
    <m/>
    <m/>
    <m/>
    <m/>
    <m/>
    <m/>
    <m/>
    <m/>
    <m/>
    <m/>
    <m/>
    <m/>
    <m/>
    <m/>
    <m/>
    <m/>
    <m/>
    <m/>
    <m/>
    <m/>
    <m/>
    <m/>
    <m/>
    <m/>
    <m/>
    <m/>
    <m/>
    <m/>
    <m/>
    <m/>
  </r>
  <r>
    <s v="241 - Singapore"/>
    <d v="2025-02-24T00:00:00"/>
    <s v="FEBRUARY"/>
    <x v="0"/>
    <x v="2"/>
    <s v="Deposited"/>
    <s v="PMT-S158-10670"/>
    <s v="IN-S158-409318"/>
    <s v="USD"/>
    <n v="-46200"/>
    <n v="-47256.743999999999"/>
    <n v="11814.186"/>
    <n v="1148.6669999999999"/>
    <s v="TBG SHARED SERVICES INC."/>
    <s v=""/>
    <s v="TBG SHARED SERVICES INC /URI/PAYMENT FOR LICENSE(REVIEW SIT ES,AUDIENCE META BRONZE AND SOCIAL ESSENTIALS L2) INV NO.IN- S158-409 318///ROC/6678948052FS FX USD 46185.00 AT 1.3074020 617282642 /TMS/2025-02-24T01:19:27 GMT/MID/1.334258"/>
    <m/>
    <m/>
    <m/>
    <m/>
    <m/>
    <m/>
    <m/>
    <m/>
    <m/>
    <m/>
    <m/>
    <m/>
    <m/>
    <m/>
    <m/>
    <m/>
    <m/>
    <m/>
    <m/>
    <m/>
    <m/>
    <m/>
    <m/>
    <m/>
    <m/>
    <m/>
    <m/>
    <m/>
    <m/>
    <m/>
  </r>
  <r>
    <s v="241 - Singapore"/>
    <d v="2023-06-16T00:00:00"/>
    <s v="JUNE"/>
    <x v="3"/>
    <x v="2"/>
    <s v="Deposited"/>
    <s v="PMT-S158-8028"/>
    <s v=""/>
    <s v="EUR"/>
    <n v="-10479.58"/>
    <n v="-11467.601000000001"/>
    <n v="11467.601000000001"/>
    <n v="-11467.601000000001"/>
    <s v="Moet Hennessy Asia Pacific Pte. Ltd."/>
    <s v=""/>
    <s v="INWARD TELEGRAPHIC TRANSFER ITT XSS90750 0016IT4524256 MOET HENNESSY ASIA PACIFIC PTE LTD EUR 10479.58 at SGD1.398218"/>
    <m/>
    <m/>
    <m/>
    <m/>
    <m/>
    <m/>
    <m/>
    <m/>
    <m/>
    <m/>
    <m/>
    <m/>
    <m/>
    <m/>
    <m/>
    <m/>
    <m/>
    <m/>
    <m/>
    <m/>
    <m/>
    <m/>
    <m/>
    <m/>
    <m/>
    <m/>
    <m/>
    <m/>
    <m/>
    <m/>
  </r>
  <r>
    <s v="241 - Singapore"/>
    <d v="2026-01-02T00:00:00"/>
    <s v="JANUARY"/>
    <x v="1"/>
    <x v="2"/>
    <s v="Deposited"/>
    <s v="PMT-S158-11988"/>
    <s v="IN-S158-410112"/>
    <s v="USD"/>
    <n v="-70186.67"/>
    <n v="-70600.781000000003"/>
    <n v="7564.3680000000004"/>
    <n v="-7564.3680000000004"/>
    <s v="PUBLiCUS Asia, Inc."/>
    <s v=""/>
    <s v=""/>
    <m/>
    <m/>
    <m/>
    <m/>
    <m/>
    <m/>
    <m/>
    <m/>
    <m/>
    <m/>
    <m/>
    <m/>
    <m/>
    <m/>
    <m/>
    <m/>
    <m/>
    <m/>
    <m/>
    <m/>
    <m/>
    <m/>
    <m/>
    <m/>
    <m/>
    <m/>
    <m/>
    <m/>
    <m/>
    <m/>
  </r>
  <r>
    <s v="241 - Singapore"/>
    <d v="2023-06-16T00:00:00"/>
    <s v="JUNE"/>
    <x v="3"/>
    <x v="2"/>
    <s v="Deposited"/>
    <s v="PMT-S158-8025"/>
    <s v=""/>
    <s v="SGD"/>
    <n v="-7074.6"/>
    <n v="-5536.759"/>
    <n v="5536.759"/>
    <n v="-5536.759"/>
    <s v="Sephora Asia Pte Ltd"/>
    <s v=""/>
    <s v="INWARD TELEGRAPHIC TRANSFER ITT 285360429 0016IT2711743 SEPHORA ASIA PTE. LTD. USD 5735 at SGD1.347185"/>
    <m/>
    <m/>
    <m/>
    <m/>
    <m/>
    <m/>
    <m/>
    <m/>
    <m/>
    <m/>
    <m/>
    <m/>
    <m/>
    <m/>
    <m/>
    <m/>
    <m/>
    <m/>
    <m/>
    <m/>
    <m/>
    <m/>
    <m/>
    <m/>
    <m/>
    <m/>
    <m/>
    <m/>
    <m/>
    <m/>
  </r>
  <r>
    <s v="241 - Singapore"/>
    <d v="2026-01-16T00:00:00"/>
    <s v="JANUARY"/>
    <x v="1"/>
    <x v="2"/>
    <s v="Deposited"/>
    <s v="PMT-S158-12058"/>
    <s v="IN-S158-410186"/>
    <s v="USD"/>
    <n v="-10080"/>
    <n v="-9954.8490000000002"/>
    <n v="4977.4250000000002"/>
    <n v="-4977.4250000000002"/>
    <s v="Blink CX Co."/>
    <s v=""/>
    <s v="CONCENTRIX SOLUTIONS CORPORATION /RFB/2026-01-000037///POP INV INS15 8409612,INS158410186INV INS1584096 12 INV INS158410186 FX USD 10080.00 AT 1.2618870 523300787/TMS/2026-01-16T09:22:44 GMT/MID/1.287715"/>
    <m/>
    <m/>
    <m/>
    <m/>
    <m/>
    <m/>
    <m/>
    <m/>
    <m/>
    <m/>
    <m/>
    <m/>
    <m/>
    <m/>
    <m/>
    <m/>
    <m/>
    <m/>
    <m/>
    <m/>
    <m/>
    <m/>
    <m/>
    <m/>
    <m/>
    <m/>
    <m/>
    <m/>
    <m/>
    <m/>
  </r>
  <r>
    <s v="241 - Singapore"/>
    <d v="2025-11-12T00:00:00"/>
    <s v="NOVEMBER"/>
    <x v="0"/>
    <x v="2"/>
    <s v="Not Deposited"/>
    <s v="PMT-S158-11743"/>
    <s v=""/>
    <s v="EUR"/>
    <n v="-4054.05"/>
    <n v="-4461.2290000000003"/>
    <n v="4461.2290000000003"/>
    <n v="-16462"/>
    <s v="Nutricia Internaonal Pvt. Ltd."/>
    <s v=""/>
    <s v="PMT-S158-8031 from dummy to customer account"/>
    <m/>
    <m/>
    <m/>
    <m/>
    <m/>
    <m/>
    <m/>
    <m/>
    <m/>
    <m/>
    <m/>
    <m/>
    <m/>
    <m/>
    <m/>
    <m/>
    <m/>
    <m/>
    <m/>
    <m/>
    <m/>
    <m/>
    <m/>
    <m/>
    <m/>
    <m/>
    <m/>
    <m/>
    <m/>
    <m/>
  </r>
  <r>
    <s v="241 - Singapore"/>
    <d v="2023-06-16T00:00:00"/>
    <s v="JUNE"/>
    <x v="3"/>
    <x v="2"/>
    <s v="Deposited"/>
    <s v="PMT-S158-8024"/>
    <s v=""/>
    <s v="USD"/>
    <n v="-3888"/>
    <n v="-4101.7299999999996"/>
    <n v="4101.7299999999996"/>
    <n v="-4101.7299999999996"/>
    <s v="Danone Specialized Nutrition (Thailand) Co., Ltd."/>
    <s v=""/>
    <s v="Passion Point Media Co. USD 3888 at SGD1.347992"/>
    <m/>
    <m/>
    <m/>
    <m/>
    <m/>
    <m/>
    <m/>
    <m/>
    <m/>
    <m/>
    <m/>
    <m/>
    <m/>
    <m/>
    <m/>
    <m/>
    <m/>
    <m/>
    <m/>
    <m/>
    <m/>
    <m/>
    <m/>
    <m/>
    <m/>
    <m/>
    <m/>
    <m/>
    <m/>
    <m/>
  </r>
  <r>
    <s v="241 - Singapore"/>
    <d v="2026-04-15T00:00:00"/>
    <s v="APRIL"/>
    <x v="1"/>
    <x v="2"/>
    <s v="Not Deposited"/>
    <s v="PMT-S158-12595"/>
    <s v="IN-S158-410328"/>
    <s v="USD"/>
    <n v="-35840"/>
    <n v="-35672.517"/>
    <n v="3822.0590000000002"/>
    <n v="-3822.0590000000002"/>
    <s v="Suyen Corporation"/>
    <s v=""/>
    <s v="Payment for 241-Singapore IN-S158-410328 received in 221-HK"/>
    <m/>
    <m/>
    <m/>
    <m/>
    <m/>
    <m/>
    <m/>
    <m/>
    <m/>
    <m/>
    <m/>
    <m/>
    <m/>
    <m/>
    <m/>
    <m/>
    <m/>
    <m/>
    <m/>
    <m/>
    <m/>
    <m/>
    <m/>
    <m/>
    <m/>
    <m/>
    <m/>
    <m/>
    <m/>
    <m/>
  </r>
  <r>
    <s v="241 - Singapore"/>
    <d v="2026-04-15T00:00:00"/>
    <s v="APRIL"/>
    <x v="1"/>
    <x v="2"/>
    <s v="Deposited"/>
    <s v="PMT-S158-12593"/>
    <s v="IN-S158-410331"/>
    <s v="USD"/>
    <n v="-32076.799999999999"/>
    <n v="-31278.687999999998"/>
    <n v="3351.2860000000001"/>
    <n v="-3351.2860000000001"/>
    <s v="SM PRIME HOLDINGS INC."/>
    <s v=""/>
    <s v="1/SM PRIME HOLDINGS INC IN S158 410331 SOCIAL MEDIA CRISIS MANAGEMENT SUBSCRIPTION FX USD 32076.80 AT 1.2459590 528325969 /TMS/2026-04-15T08:14:19 GMT/MID/1.271462"/>
    <m/>
    <m/>
    <m/>
    <m/>
    <m/>
    <m/>
    <m/>
    <m/>
    <m/>
    <m/>
    <m/>
    <m/>
    <m/>
    <m/>
    <m/>
    <m/>
    <m/>
    <m/>
    <m/>
    <m/>
    <m/>
    <m/>
    <m/>
    <m/>
    <m/>
    <m/>
    <m/>
    <m/>
    <m/>
    <m/>
  </r>
  <r>
    <s v="241 - Singapore"/>
    <d v="2026-05-04T00:00:00"/>
    <s v="MAY"/>
    <x v="1"/>
    <x v="2"/>
    <s v="Deposited"/>
    <s v="PMT-S158-12718"/>
    <s v=""/>
    <s v="SGD"/>
    <n v="-4086"/>
    <n v="-3197.806"/>
    <n v="3197.806"/>
    <n v="-3197.806"/>
    <s v="DUMMY CUSTOMER_CASHAPPS 241 - Singapore"/>
    <s v="Mahek Chugani-242"/>
    <s v="/CREF/7458424-38000-SG-ACH/BREF/J11 700018855 /EREF/SG260424073/PURP/SALA /OCMT/SGD4086,00/"/>
    <m/>
    <m/>
    <m/>
    <m/>
    <m/>
    <m/>
    <m/>
    <m/>
    <m/>
    <m/>
    <m/>
    <m/>
    <m/>
    <m/>
    <m/>
    <m/>
    <m/>
    <m/>
    <m/>
    <m/>
    <m/>
    <m/>
    <m/>
    <m/>
    <m/>
    <m/>
    <m/>
    <m/>
    <m/>
    <m/>
  </r>
  <r>
    <s v="241 - Singapore"/>
    <d v="2026-05-05T00:00:00"/>
    <s v="MAY"/>
    <x v="1"/>
    <x v="2"/>
    <s v="Deposited"/>
    <s v="PMT-S158-12723"/>
    <s v="IN-S158-410178"/>
    <s v="USD"/>
    <n v="-20213.8"/>
    <n v="-19806.392"/>
    <n v="2127.0500000000002"/>
    <n v="-2127.0500000000002"/>
    <s v="Bowman Technologies Inc"/>
    <s v=""/>
    <s v="BOWMAN TECHNOLOGIES INC. /INV/SUPPLIERS PAYMENT PAYMENT FOR SUBSCRIPTION QTY 19 ITEM DESC CA SO CIAL ESSENTIALS L2.. FX USD 20213.80 AT 1.2519980 529478442/TMS/2026-05-05T09:21:01 GMT/MID/1.277626"/>
    <m/>
    <m/>
    <m/>
    <m/>
    <m/>
    <m/>
    <m/>
    <m/>
    <m/>
    <m/>
    <m/>
    <m/>
    <m/>
    <m/>
    <m/>
    <m/>
    <m/>
    <m/>
    <m/>
    <m/>
    <m/>
    <m/>
    <m/>
    <m/>
    <m/>
    <m/>
    <m/>
    <m/>
    <m/>
    <m/>
  </r>
  <r>
    <s v="241 - Singapore"/>
    <d v="2026-02-12T00:00:00"/>
    <s v="FEBRUARY"/>
    <x v="1"/>
    <x v="2"/>
    <s v="Deposited"/>
    <s v="PMT-S158-12205"/>
    <s v="IN-S158-410166"/>
    <s v="USD"/>
    <n v="-5000"/>
    <n v="-4974.2860000000001"/>
    <n v="1909.018"/>
    <n v="-1909.018"/>
    <s v="The Huddle Room"/>
    <s v=""/>
    <s v=""/>
    <m/>
    <m/>
    <m/>
    <m/>
    <m/>
    <m/>
    <m/>
    <m/>
    <m/>
    <m/>
    <m/>
    <m/>
    <m/>
    <m/>
    <m/>
    <m/>
    <m/>
    <m/>
    <m/>
    <m/>
    <m/>
    <m/>
    <m/>
    <m/>
    <m/>
    <m/>
    <m/>
    <m/>
    <m/>
    <m/>
  </r>
  <r>
    <s v="241 - Singapore"/>
    <d v="2026-04-30T00:00:00"/>
    <s v="APRIL"/>
    <x v="1"/>
    <x v="2"/>
    <s v="Deposited"/>
    <s v="PMT-S158-12708"/>
    <s v="IN-S158-410605"/>
    <s v="USD"/>
    <n v="-14235.5"/>
    <n v="-13975.742"/>
    <n v="1498.9770000000001"/>
    <n v="-1498.9770000000001"/>
    <s v="St. Luke's Medical Center"/>
    <s v=""/>
    <s v="ST LUKE S MEDICAL CENTER GLOBAL CIT IN S158 410605 CA ADDITIONAL SEARCH ES USERS AND SITE REVIEWS FX USD 14235.50 AT 1.2544360 529153071 /TMS/2026-04-30T01:17:09 GMT/MID/1.280822"/>
    <m/>
    <m/>
    <m/>
    <m/>
    <m/>
    <m/>
    <m/>
    <m/>
    <m/>
    <m/>
    <m/>
    <m/>
    <m/>
    <m/>
    <m/>
    <m/>
    <m/>
    <m/>
    <m/>
    <m/>
    <m/>
    <m/>
    <m/>
    <m/>
    <m/>
    <m/>
    <m/>
    <m/>
    <m/>
    <m/>
  </r>
  <r>
    <s v="241 - Singapore"/>
    <d v="2026-04-16T00:00:00"/>
    <s v="APRIL"/>
    <x v="1"/>
    <x v="2"/>
    <s v="Deposited"/>
    <s v="PMT-S158-12609"/>
    <s v="IN-S158-410316"/>
    <s v="USD"/>
    <n v="-7433"/>
    <n v="-7244.3059999999996"/>
    <n v="777.74099999999999"/>
    <n v="-777.74099999999999"/>
    <s v="Intelligent Beauty Skin Solutions, Inc. Business Style: Belo Medical Group"/>
    <s v=""/>
    <s v="INTELLIGENT BEAUTY SKIN SOLUTIONS I IN S158 410316 HO FX USD 7433.00 AT 1.2453140 528384503/TMS/2026-04-16T07:40:19 GMT/MID/1.270803"/>
    <m/>
    <m/>
    <m/>
    <m/>
    <m/>
    <m/>
    <m/>
    <m/>
    <m/>
    <m/>
    <m/>
    <m/>
    <m/>
    <m/>
    <m/>
    <m/>
    <m/>
    <m/>
    <m/>
    <m/>
    <m/>
    <m/>
    <m/>
    <m/>
    <m/>
    <m/>
    <m/>
    <m/>
    <m/>
    <m/>
  </r>
  <r>
    <s v="241 - Singapore"/>
    <d v="2023-11-06T00:00:00"/>
    <s v="NOVEMBER"/>
    <x v="3"/>
    <x v="2"/>
    <s v="Deposited"/>
    <s v="PMT-S158-8648"/>
    <s v=""/>
    <s v="SGD"/>
    <n v="-782.25"/>
    <n v="-612.20799999999997"/>
    <n v="612.20799999999997"/>
    <n v="-612.20799999999997"/>
    <s v="PT. Sompo Insurance Indonesia"/>
    <s v=""/>
    <s v="PT. SOMPO INSURANCE INDONESIA IN-S158-407449"/>
    <m/>
    <m/>
    <m/>
    <m/>
    <m/>
    <m/>
    <m/>
    <m/>
    <m/>
    <m/>
    <m/>
    <m/>
    <m/>
    <m/>
    <m/>
    <m/>
    <m/>
    <m/>
    <m/>
    <m/>
    <m/>
    <m/>
    <m/>
    <m/>
    <m/>
    <m/>
    <m/>
    <m/>
    <m/>
    <m/>
  </r>
  <r>
    <s v="241 - Singapore"/>
    <d v="2023-05-17T00:00:00"/>
    <s v="MAY"/>
    <x v="3"/>
    <x v="2"/>
    <s v="Deposited"/>
    <s v="PMT-S158-7784"/>
    <s v=""/>
    <s v="SGD"/>
    <n v="-761.07"/>
    <n v="-595.63199999999995"/>
    <n v="595.63199999999995"/>
    <n v="-595.63199999999995"/>
    <s v="InsightzClub Pte LTD"/>
    <s v=""/>
    <s v="1/CMC WORLDWIDE B.V. /URI/IN-S158-405515,our ref 345568 . Refund double payment///ROC/EC313 0I4CO3S5G00 FX EUR 539.99 AT 1.4094130 234341493/TMS/2023-05-17T01:18:23 GMT/MID/1.456891"/>
    <m/>
    <m/>
    <m/>
    <m/>
    <m/>
    <m/>
    <m/>
    <m/>
    <m/>
    <m/>
    <m/>
    <m/>
    <m/>
    <m/>
    <m/>
    <m/>
    <m/>
    <m/>
    <m/>
    <m/>
    <m/>
    <m/>
    <m/>
    <m/>
    <m/>
    <m/>
    <m/>
    <m/>
    <m/>
    <m/>
  </r>
  <r>
    <s v="241 - Singapore"/>
    <d v="2026-04-28T00:00:00"/>
    <s v="APRIL"/>
    <x v="1"/>
    <x v="2"/>
    <s v="Deposited"/>
    <s v="PMT-S158-12678"/>
    <s v="IN-S158-410595"/>
    <s v="USD"/>
    <n v="-5115.6000000000004"/>
    <n v="-5001.3729999999996"/>
    <n v="535.86300000000006"/>
    <n v="-535.86300000000006"/>
    <s v="LouderPH"/>
    <s v=""/>
    <s v="1/LOUDERPH INC /URI/OTHER-PAYMENT OF MONTHLY SUBSC RIPTI 6562385010///ROC/PHNTR0225355 /1 FX USD 5115.60 AT 1.2492210 529004653/TMS/2026-04-28T01:17:03 GMT/MID/1.274802"/>
    <m/>
    <m/>
    <m/>
    <m/>
    <m/>
    <m/>
    <m/>
    <m/>
    <m/>
    <m/>
    <m/>
    <m/>
    <m/>
    <m/>
    <m/>
    <m/>
    <m/>
    <m/>
    <m/>
    <m/>
    <m/>
    <m/>
    <m/>
    <m/>
    <m/>
    <m/>
    <m/>
    <m/>
    <m/>
    <m/>
  </r>
  <r>
    <s v="241 - Singapore"/>
    <d v="2026-03-09T00:00:00"/>
    <s v="MARCH"/>
    <x v="1"/>
    <x v="2"/>
    <s v="Deposited"/>
    <s v="PMT-S158-12337"/>
    <s v="IN-S158-410484"/>
    <s v="SGD"/>
    <n v="-8595.74"/>
    <n v="-6727.241"/>
    <n v="17.053000000000001"/>
    <n v="6693.134"/>
    <s v="Ministry of Sustainability and the Environment"/>
    <s v=""/>
    <s v="/EREF/5004731176/PURP/OTHR /IREF/20260309OCBCSGSGBBP0030373/OBK/OCBCSGSG /ORDP/THE ACCOUNTANT GENERAL /OCMT/SGD41265,22/"/>
    <m/>
    <m/>
    <m/>
    <m/>
    <m/>
    <m/>
    <m/>
    <m/>
    <m/>
    <m/>
    <m/>
    <m/>
    <m/>
    <m/>
    <m/>
    <m/>
    <m/>
    <m/>
    <m/>
    <m/>
    <m/>
    <m/>
    <m/>
    <m/>
    <m/>
    <m/>
    <m/>
    <m/>
    <m/>
    <m/>
  </r>
  <r>
    <s v="302 - Netherlands"/>
    <d v="2023-06-02T00:00:00"/>
    <s v="JUNE"/>
    <x v="3"/>
    <x v="3"/>
    <s v="Deposited"/>
    <s v="PMT-S147-14165"/>
    <s v=""/>
    <s v="EUR"/>
    <n v="-24200"/>
    <n v="-28300.69"/>
    <n v="28300.69"/>
    <n v="-28300.69"/>
    <s v="IBFD"/>
    <s v="Prabhat Aggarwal"/>
    <s v="/EREF/001VENDPAY001982-5637200 592-04/ORDP//NAME/STG INTERNATIONAA L BELASTING DOCUMENTATIE BUREAU/ID//REMI/IN-S147-413743/ISDT/2023 0602/ULTD//NAME//ID//ULTB//NAME//ID//PURP//PRTRY//OCMT/EUR24200,/ EXCH/1.0000000"/>
    <m/>
    <m/>
    <m/>
    <m/>
    <m/>
    <m/>
    <m/>
    <m/>
    <m/>
    <m/>
    <m/>
    <m/>
    <m/>
    <m/>
    <m/>
    <m/>
    <m/>
    <m/>
    <m/>
    <m/>
    <m/>
    <m/>
    <m/>
    <m/>
    <m/>
    <m/>
    <m/>
    <m/>
    <m/>
    <m/>
  </r>
  <r>
    <s v="302 - Netherlands"/>
    <d v="2026-03-27T00:00:00"/>
    <s v="MARCH"/>
    <x v="1"/>
    <x v="3"/>
    <s v="Deposited"/>
    <s v="PMT-S147-17809"/>
    <s v=""/>
    <s v="EUR"/>
    <n v="-12337.5"/>
    <n v="-14428.089"/>
    <n v="14428.089"/>
    <n v="-17457.993999999999"/>
    <s v="DUFRY INTERNATIONAL AG"/>
    <s v="Prabhat Aggarwal"/>
    <s v="/EREF/2000111053/ORDP//NAME/DUFRY IN TERNATIONAL AG/ID/549300I08UA 8SMJON743 BOID/REMI/20260113/IN-S147-416715/12337.50 1700182739 1 700182739/ISDT/20260327/ULTD//NAME//ID//ULTB//NAME//ID//PURP//PRT RY//OCMT/EUR12337,5/EXCH/1.0000000"/>
    <m/>
    <m/>
    <m/>
    <m/>
    <m/>
    <m/>
    <m/>
    <m/>
    <m/>
    <m/>
    <m/>
    <m/>
    <m/>
    <m/>
    <m/>
    <m/>
    <m/>
    <m/>
    <m/>
    <m/>
    <m/>
    <m/>
    <m/>
    <m/>
    <m/>
    <m/>
    <m/>
    <m/>
    <m/>
    <m/>
  </r>
  <r>
    <s v="302 - Netherlands"/>
    <d v="2022-12-27T00:00:00"/>
    <s v="DECEMBER"/>
    <x v="2"/>
    <x v="3"/>
    <s v="Deposited"/>
    <s v="PMT-S147-13355"/>
    <s v="IN-S147-413006"/>
    <s v="EUR"/>
    <n v="-37510"/>
    <n v="-43866.07"/>
    <n v="12854.173000000001"/>
    <n v="-12854.173000000001"/>
    <s v="KPMG Staffing &amp; Facility Services B.V."/>
    <s v="Prabhat Aggarwal"/>
    <s v="/EREF/2000372831/ORDP//NAME/KPMG N.V ./ID//REMI/ACCOUNT WITNO.IN-S 147-413006/13.12.2022/ISDT/20221227/ULTD//NAME//ID//ULTB//NAME//I D//PURP//PRTRY//OCMT/EUR37510,/EXCH/1.0000000"/>
    <m/>
    <m/>
    <m/>
    <m/>
    <m/>
    <m/>
    <m/>
    <m/>
    <m/>
    <m/>
    <m/>
    <m/>
    <m/>
    <m/>
    <m/>
    <m/>
    <m/>
    <m/>
    <m/>
    <m/>
    <m/>
    <m/>
    <m/>
    <m/>
    <m/>
    <m/>
    <m/>
    <m/>
    <m/>
    <m/>
  </r>
  <r>
    <s v="302 - Netherlands"/>
    <d v="2026-03-04T00:00:00"/>
    <s v="MARCH"/>
    <x v="1"/>
    <x v="3"/>
    <s v="Deposited"/>
    <s v="PMT-S147-17729"/>
    <s v="IN-S147-416756"/>
    <s v="EUR"/>
    <n v="-25676.21"/>
    <n v="-30027.044000000002"/>
    <n v="11407.54"/>
    <n v="-11407.54"/>
    <s v="Scania Nederland B.V."/>
    <s v="Prabhat Aggarwal"/>
    <s v="/EREF/00057562/ORDP//NAME/SCANIA NEDER LAND B.V./ID/27136821 COID/ REMI/INS147416756/ISDT/20260304/ULTD//NAME//ID//ULTB//NAME//ID//P URP//PRTRY//OCMT/EUR25676,21/EXCH/1.0000000"/>
    <m/>
    <m/>
    <m/>
    <m/>
    <m/>
    <m/>
    <m/>
    <m/>
    <m/>
    <m/>
    <m/>
    <m/>
    <m/>
    <m/>
    <m/>
    <m/>
    <m/>
    <m/>
    <m/>
    <m/>
    <m/>
    <m/>
    <m/>
    <m/>
    <m/>
    <m/>
    <m/>
    <m/>
    <m/>
    <m/>
  </r>
  <r>
    <s v="302 - Netherlands"/>
    <d v="2023-11-16T00:00:00"/>
    <s v="NOVEMBER"/>
    <x v="3"/>
    <x v="3"/>
    <s v="Deposited"/>
    <s v="PMT-S147-14799"/>
    <s v=""/>
    <s v="EUR"/>
    <n v="-7865"/>
    <n v="-9197.7240000000002"/>
    <n v="9197.7240000000002"/>
    <n v="-9197.7240000000002"/>
    <s v="Tommy Hilfiger Europe B.V."/>
    <s v="Prabhat Aggarwal"/>
    <s v="/EREF/TH31202311152000046285/OR DP//NAME/PVH EUROPE B.V./ID/693693 0 NS/REMI/IN-S147-412319PVHETOMMY HILFIGER EUROPE BV/ISDT/2023111 6/ULTD//NAME/PVH EUROPE BV/ID//ULTB//NAME//ID//PURP//PRTRY//OCMT/ EUR7865,/EXCH/1.0000000"/>
    <m/>
    <m/>
    <m/>
    <m/>
    <m/>
    <m/>
    <m/>
    <m/>
    <m/>
    <m/>
    <m/>
    <m/>
    <m/>
    <m/>
    <m/>
    <m/>
    <m/>
    <m/>
    <m/>
    <m/>
    <m/>
    <m/>
    <m/>
    <m/>
    <m/>
    <m/>
    <m/>
    <m/>
    <m/>
    <m/>
  </r>
  <r>
    <s v="302 - Netherlands"/>
    <d v="2023-11-16T00:00:00"/>
    <s v="NOVEMBER"/>
    <x v="3"/>
    <x v="3"/>
    <s v="Deposited"/>
    <s v="PMT-S147-14797"/>
    <s v=""/>
    <s v="EUR"/>
    <n v="-5929"/>
    <n v="-6933.6689999999999"/>
    <n v="6933.6689999999999"/>
    <n v="-6933.6689999999999"/>
    <s v="Optiver Services BV"/>
    <s v="Prabhat Aggarwal"/>
    <s v="/EREF/10903-00010903/31/ORDP//NAM E/OPTIVER SERVICES B.V./ID//REMI /IN-S-147-414299/ISDT/20231116/ULTD//NAME//ID//ULTB//NAME//ID//PU RP//PRTRY//OCMT/EUR5929,/EXCH/1.0000000"/>
    <m/>
    <m/>
    <m/>
    <m/>
    <m/>
    <m/>
    <m/>
    <m/>
    <m/>
    <m/>
    <m/>
    <m/>
    <m/>
    <m/>
    <m/>
    <m/>
    <m/>
    <m/>
    <m/>
    <m/>
    <m/>
    <m/>
    <m/>
    <m/>
    <m/>
    <m/>
    <m/>
    <m/>
    <m/>
    <m/>
  </r>
  <r>
    <s v="302 - Netherlands"/>
    <d v="2025-12-19T00:00:00"/>
    <s v="DECEMBER"/>
    <x v="0"/>
    <x v="3"/>
    <s v="Deposited"/>
    <s v="PMT-S147-17435"/>
    <s v="IN-S147-416618"/>
    <s v="EUR"/>
    <n v="-8578.5"/>
    <n v="-10032.127"/>
    <n v="4297.7290000000003"/>
    <n v="-4297.7290000000003"/>
    <s v="NV Mediahuis"/>
    <s v="Prabhat Aggarwal"/>
    <s v="/EREF/31-000251218200603/ORDP// NAME/MEDIAHUIS/ID/0439849666 NS KB O-BCE/REMI/IN-S147-416618/ISDT/20251219/ULTD//NAME//ID//ULTB//NAM E//ID//PURP//PRTRY//OCMT/EUR8578,5/EXCH/1.0000000"/>
    <m/>
    <m/>
    <m/>
    <m/>
    <m/>
    <m/>
    <m/>
    <m/>
    <m/>
    <m/>
    <m/>
    <m/>
    <m/>
    <m/>
    <m/>
    <m/>
    <m/>
    <m/>
    <m/>
    <m/>
    <m/>
    <m/>
    <m/>
    <m/>
    <m/>
    <m/>
    <m/>
    <m/>
    <m/>
    <m/>
  </r>
  <r>
    <s v="302 - Netherlands"/>
    <d v="2022-06-21T00:00:00"/>
    <s v="JUNE"/>
    <x v="2"/>
    <x v="3"/>
    <s v="Deposited"/>
    <s v="PMT-S147-12452"/>
    <s v="IN-S147-411971"/>
    <s v="EUR"/>
    <n v="-29040"/>
    <n v="-33960.828000000001"/>
    <n v="4245.1040000000003"/>
    <n v="-4245.1040000000003"/>
    <s v="CD Communications"/>
    <s v="Prabhat Aggarwal"/>
    <s v="/EREF/NOTPROVIDED/ORDP//NAME/CD COM MUNICATIONS/ID//REMI/INVOICE:I N-S147-411972,411971,411055/ISDT/20220621/ULTD//NAME//ID//ULTB/ /NAME//ID//PURP//PRTRY//OCMT/EUR32670,/EXCH/1.0000000"/>
    <m/>
    <m/>
    <m/>
    <m/>
    <m/>
    <m/>
    <m/>
    <m/>
    <m/>
    <m/>
    <m/>
    <m/>
    <m/>
    <m/>
    <m/>
    <m/>
    <m/>
    <m/>
    <m/>
    <m/>
    <m/>
    <m/>
    <m/>
    <m/>
    <m/>
    <m/>
    <m/>
    <m/>
    <m/>
    <m/>
  </r>
  <r>
    <s v="302 - Netherlands"/>
    <d v="2023-03-15T00:00:00"/>
    <s v="MARCH"/>
    <x v="3"/>
    <x v="3"/>
    <s v="Deposited"/>
    <s v="PMT-S147-13865"/>
    <s v=""/>
    <s v="EUR"/>
    <n v="-3623.95"/>
    <n v="-4238.0280000000002"/>
    <n v="4238.0280000000002"/>
    <n v="-8203.4699999999993"/>
    <s v="DUMMY CUSTOMER_CASHAPPS 302 - Netherlands"/>
    <s v="Prabhat Aggarwal"/>
    <s v="/EREF/NOTPROVIDED/ORDP//NAME/AA KANT OOR TOTAAL B.V./ID//REMI/V100 24931/ISDT/20230315/ULTD//NAME//ID//ULTB//NAME//ID//PURP//PRTRY// OCMT/EUR3623,95/EXCH/1.0000000"/>
    <m/>
    <m/>
    <m/>
    <m/>
    <m/>
    <m/>
    <m/>
    <m/>
    <m/>
    <m/>
    <m/>
    <m/>
    <m/>
    <m/>
    <m/>
    <m/>
    <m/>
    <m/>
    <m/>
    <m/>
    <m/>
    <m/>
    <m/>
    <m/>
    <m/>
    <m/>
    <m/>
    <m/>
    <m/>
    <m/>
  </r>
  <r>
    <s v="302 - Netherlands"/>
    <d v="2024-02-23T00:00:00"/>
    <s v="FEBRUARY"/>
    <x v="4"/>
    <x v="3"/>
    <s v="Deposited"/>
    <s v="PMT-S147-15317"/>
    <s v=""/>
    <s v="EUR"/>
    <n v="-3390.86"/>
    <n v="-3965.4409999999998"/>
    <n v="3965.4409999999998"/>
    <n v="-8203.4699999999993"/>
    <s v="DUMMY CUSTOMER_CASHAPPS 302 - Netherlands"/>
    <s v="Prabhat Aggarwal"/>
    <s v="/EREF/SC20240222092602655609148 2406/ORDP//NAME/GRUNDSTUCKS-FONDSG VW/ID//REMI/SC SETTLEMENT 2022/ISDT/20240223/ULTD//NAME//ID//ULTB //NAME//ID//PURP//PRTRY//OCMT/EUR3390,86/EXCH/1.0000000"/>
    <m/>
    <m/>
    <m/>
    <m/>
    <m/>
    <m/>
    <m/>
    <m/>
    <m/>
    <m/>
    <m/>
    <m/>
    <m/>
    <m/>
    <m/>
    <m/>
    <m/>
    <m/>
    <m/>
    <m/>
    <m/>
    <m/>
    <m/>
    <m/>
    <m/>
    <m/>
    <m/>
    <m/>
    <m/>
    <m/>
  </r>
  <r>
    <s v="302 - Netherlands"/>
    <d v="2025-02-05T00:00:00"/>
    <s v="FEBRUARY"/>
    <x v="0"/>
    <x v="3"/>
    <s v="Deposited"/>
    <s v="PMT-S147-16487"/>
    <s v="IN-S147-415843"/>
    <s v="EUR"/>
    <n v="-12039.5"/>
    <n v="-14079.593000000001"/>
    <n v="2443.5659999999998"/>
    <n v="-2443.5659999999998"/>
    <s v="BouMatic Gascoigne Mélotte"/>
    <s v="Georgia Albutt-392"/>
    <s v="/EREF/202502041558462790ISABEL /ORDP//NAME/BOUMATIC GASCOIGNE MELO TTE/ID//REMI/IN-S147-415594/ISDT/20250205/ULTD//NAME//ID//ULTB//N AME//ID//PURP//PRTRY//OCMT/EUR12039,5/EXCH/1.0000000"/>
    <m/>
    <m/>
    <m/>
    <m/>
    <m/>
    <m/>
    <m/>
    <m/>
    <m/>
    <m/>
    <m/>
    <m/>
    <m/>
    <m/>
    <m/>
    <m/>
    <m/>
    <m/>
    <m/>
    <m/>
    <m/>
    <m/>
    <m/>
    <m/>
    <m/>
    <m/>
    <m/>
    <m/>
    <m/>
    <m/>
  </r>
  <r>
    <s v="302 - Netherlands"/>
    <d v="2022-12-27T00:00:00"/>
    <s v="DECEMBER"/>
    <x v="2"/>
    <x v="3"/>
    <s v="Deposited"/>
    <s v="PMT-S147-13350"/>
    <s v="IN-S147-413332"/>
    <s v="EUR"/>
    <n v="-8984.25"/>
    <n v="-10506.630999999999"/>
    <n v="477.58"/>
    <n v="-477.58"/>
    <s v="Cohedron B.V."/>
    <s v="Prabhat Aggarwal"/>
    <s v="/EREF/0000600050670006363000120 984/ORDP//NAME/COHEDRON B.V./ID//R EMI/FACTUUR:IN-S147-412857/ISDT/20221227/ULTD//NAME//ID//ULTB//NA ME//ID//PURP//PRTRY//OCMT/EUR8984,25/EXCH/1.0000000"/>
    <m/>
    <m/>
    <m/>
    <m/>
    <m/>
    <m/>
    <m/>
    <m/>
    <m/>
    <m/>
    <m/>
    <m/>
    <m/>
    <m/>
    <m/>
    <m/>
    <m/>
    <m/>
    <m/>
    <m/>
    <m/>
    <m/>
    <m/>
    <m/>
    <m/>
    <m/>
    <m/>
    <m/>
    <m/>
    <m/>
  </r>
  <r>
    <s v="311 - Germany"/>
    <d v="2026-03-05T00:00:00"/>
    <s v="MARCH"/>
    <x v="1"/>
    <x v="3"/>
    <s v="Not Deposited"/>
    <s v="PMT-S109-54641"/>
    <s v="IN-S109-448351"/>
    <s v="EUR"/>
    <n v="-169254.39"/>
    <n v="-197934.546"/>
    <n v="77986.527000000002"/>
    <n v="-77986.527000000002"/>
    <s v="Schindler Digital Innovation GmbH"/>
    <s v="Theresa Saal"/>
    <s v="Payment for 109-Germany IN-S109-448351 received in 102-US"/>
    <m/>
    <m/>
    <m/>
    <m/>
    <m/>
    <m/>
    <m/>
    <m/>
    <m/>
    <m/>
    <m/>
    <m/>
    <m/>
    <m/>
    <m/>
    <m/>
    <m/>
    <m/>
    <m/>
    <m/>
    <m/>
    <m/>
    <m/>
    <m/>
    <m/>
    <m/>
    <m/>
    <m/>
    <m/>
    <m/>
  </r>
  <r>
    <s v="311 - Germany"/>
    <d v="2026-03-04T00:00:00"/>
    <s v="MARCH"/>
    <x v="1"/>
    <x v="3"/>
    <s v="Not Deposited"/>
    <s v="PMT-S109-54633"/>
    <s v=""/>
    <s v="EUR"/>
    <n v="-32188.71"/>
    <n v="-37643.087"/>
    <n v="37643.087"/>
    <n v="-37643.087"/>
    <s v="German Naval Yards Kiel GmbH"/>
    <s v="Theresa Saal"/>
    <s v="PMT-S109-44300 to be moved to customer SA-S109-DE-1720583 German Naval Yards Kiel GmbH"/>
    <m/>
    <m/>
    <m/>
    <m/>
    <m/>
    <m/>
    <m/>
    <m/>
    <m/>
    <m/>
    <m/>
    <m/>
    <m/>
    <m/>
    <m/>
    <m/>
    <m/>
    <m/>
    <m/>
    <m/>
    <m/>
    <m/>
    <m/>
    <m/>
    <m/>
    <m/>
    <m/>
    <m/>
    <m/>
    <m/>
  </r>
  <r>
    <s v="311 - Germany"/>
    <d v="2025-01-23T00:00:00"/>
    <s v="JANUARY"/>
    <x v="0"/>
    <x v="3"/>
    <s v="Deposited"/>
    <s v="PMT-S109-49863"/>
    <s v="IN-S109-444970"/>
    <s v="EUR"/>
    <n v="-25280.06"/>
    <n v="-29563.766"/>
    <n v="23310.062000000002"/>
    <n v="44115.116000000002"/>
    <s v="Freudenberg &amp; Co. Kommanditgesellschaft"/>
    <s v="Theresa Saal"/>
    <s v="2000025892       1490612675250123 /ORD.CUST/FREUDENBERG + CO. KOMMANDITGESELLSC HAFT/EREF/200002589 2/PAY.DET./IN-S109-444970/23.12.2024/"/>
    <m/>
    <m/>
    <m/>
    <m/>
    <m/>
    <m/>
    <m/>
    <m/>
    <m/>
    <m/>
    <m/>
    <m/>
    <m/>
    <m/>
    <m/>
    <m/>
    <m/>
    <m/>
    <m/>
    <m/>
    <m/>
    <m/>
    <m/>
    <m/>
    <m/>
    <m/>
    <m/>
    <m/>
    <m/>
    <m/>
  </r>
  <r>
    <s v="311 - Germany"/>
    <d v="2025-01-21T00:00:00"/>
    <s v="JANUARY"/>
    <x v="0"/>
    <x v="3"/>
    <s v="Deposited"/>
    <s v="PMT-S109-49823"/>
    <s v=""/>
    <s v="EUR"/>
    <n v="-14994"/>
    <n v="-17534.733"/>
    <n v="17534.733"/>
    <n v="-17534.733"/>
    <s v="PETA Deutschland e.V."/>
    <s v="Theresa Saal"/>
    <s v="4552005695-00000 1490534006250 120 /ORD.CUST/PETA DEUTSCHLAND E.V./EREF/4552005695-0000001/PAY.DET./ RNR. IN-S109-445242 RDAT. 07.01.202 5"/>
    <m/>
    <m/>
    <m/>
    <m/>
    <m/>
    <m/>
    <m/>
    <m/>
    <m/>
    <m/>
    <m/>
    <m/>
    <m/>
    <m/>
    <m/>
    <m/>
    <m/>
    <m/>
    <m/>
    <m/>
    <m/>
    <m/>
    <m/>
    <m/>
    <m/>
    <m/>
    <m/>
    <m/>
    <m/>
    <m/>
  </r>
  <r>
    <s v="311 - Germany"/>
    <d v="2026-05-04T00:00:00"/>
    <s v="MAY"/>
    <x v="1"/>
    <x v="3"/>
    <s v="Deposited"/>
    <s v="PMT-S109-55381"/>
    <s v=""/>
    <s v="EUR"/>
    <n v="-14700"/>
    <n v="-17190.915000000001"/>
    <n v="17190.915000000001"/>
    <n v="-34031.697"/>
    <s v="Watches and Wonders Geneva Foundation"/>
    <s v="Nathalie Darmois"/>
    <s v="FRSC TENEO PARIS 1480730582260 504 /ORD.CUST/TENEO PARIS/EREF/FRSC TENEO PARIS"/>
    <m/>
    <m/>
    <m/>
    <m/>
    <m/>
    <m/>
    <m/>
    <m/>
    <m/>
    <m/>
    <m/>
    <m/>
    <m/>
    <m/>
    <m/>
    <m/>
    <m/>
    <m/>
    <m/>
    <m/>
    <m/>
    <m/>
    <m/>
    <m/>
    <m/>
    <m/>
    <m/>
    <m/>
    <m/>
    <m/>
  </r>
  <r>
    <s v="311 - Germany"/>
    <d v="2026-05-04T00:00:00"/>
    <s v="MAY"/>
    <x v="1"/>
    <x v="3"/>
    <s v="Deposited"/>
    <s v="PMT-S109-55380"/>
    <s v=""/>
    <s v="EUR"/>
    <n v="-14400.6"/>
    <n v="-16840.781999999999"/>
    <n v="16840.781999999999"/>
    <n v="-34031.697"/>
    <s v="Watches and Wonders Geneva Foundation"/>
    <s v="Nathalie Darmois"/>
    <s v="NONREF           1480730727260504 /ORD.CUST/CIRCULO DE COMUNICACION SL/PAY.DET./B87255071 CIRCULO C OMUNICACION"/>
    <m/>
    <m/>
    <m/>
    <m/>
    <m/>
    <m/>
    <m/>
    <m/>
    <m/>
    <m/>
    <m/>
    <m/>
    <m/>
    <m/>
    <m/>
    <m/>
    <m/>
    <m/>
    <m/>
    <m/>
    <m/>
    <m/>
    <m/>
    <m/>
    <m/>
    <m/>
    <m/>
    <m/>
    <m/>
    <m/>
  </r>
  <r>
    <s v="311 - Germany"/>
    <d v="2024-12-09T00:00:00"/>
    <s v="DECEMBER"/>
    <x v="4"/>
    <x v="3"/>
    <s v="Deposited"/>
    <s v="PMT-S109-49300"/>
    <s v=""/>
    <s v="EUR"/>
    <n v="-13860"/>
    <n v="-16208.576999999999"/>
    <n v="16208.576999999999"/>
    <n v="-16208.576999999999"/>
    <s v="TCC Global N.V."/>
    <s v=""/>
    <s v="TCC GLOBAL NV SEE ACCOUNT INFO 1489387824241209 /ORD.CUST/TCC GLOBAL NV/EREF/SEE ACCOUNT INFO/PAY.DET./SEE ACCOUN T INFO"/>
    <m/>
    <m/>
    <m/>
    <m/>
    <m/>
    <m/>
    <m/>
    <m/>
    <m/>
    <m/>
    <m/>
    <m/>
    <m/>
    <m/>
    <m/>
    <m/>
    <m/>
    <m/>
    <m/>
    <m/>
    <m/>
    <m/>
    <m/>
    <m/>
    <m/>
    <m/>
    <m/>
    <m/>
    <m/>
    <m/>
  </r>
  <r>
    <s v="311 - Germany"/>
    <d v="2023-09-28T00:00:00"/>
    <s v="SEPTEMBER"/>
    <x v="3"/>
    <x v="3"/>
    <s v="Deposited"/>
    <s v="PMT-S109-43981"/>
    <s v=""/>
    <s v="EUR"/>
    <n v="-13000"/>
    <n v="-15202.85"/>
    <n v="15202.85"/>
    <n v="-15202.85"/>
    <s v="World Heart Federation"/>
    <s v="Theresa Saal"/>
    <s v="NONREF           1700772713230928 /OCMT/EUR13000,//ORD.CUST/1/HSBC CONT. EUROPE SA,GERMANY 2/HANSA ALLEE 3/PAY.DET./RETURN REG.PAYMENT DD.27.09.2023REF.2872179 FOR EUR 13.000,00 YOURREF.PMT-S109-34526 RSN.INSUFFICIENTOR WRONG BEN EFICIARY DETAILS"/>
    <m/>
    <m/>
    <m/>
    <m/>
    <m/>
    <m/>
    <m/>
    <m/>
    <m/>
    <m/>
    <m/>
    <m/>
    <m/>
    <m/>
    <m/>
    <m/>
    <m/>
    <m/>
    <m/>
    <m/>
    <m/>
    <m/>
    <m/>
    <m/>
    <m/>
    <m/>
    <m/>
    <m/>
    <m/>
    <m/>
  </r>
  <r>
    <s v="311 - Germany"/>
    <d v="2022-11-14T00:00:00"/>
    <s v="NOVEMBER"/>
    <x v="2"/>
    <x v="3"/>
    <s v="Deposited"/>
    <s v="PMT-S109-39745"/>
    <s v=""/>
    <s v="EUR"/>
    <n v="-9000"/>
    <n v="-10525.05"/>
    <n v="10525.05"/>
    <n v="-32386.678"/>
    <s v="DUMMY CUSTOMER_CASHAPPS 311 - Germany"/>
    <s v="Theresa Saal"/>
    <s v="62211091638      1485571916221114 /ORD.CUST/CMN/EREF/62211091638/PAY.DET./CMN 92008388"/>
    <m/>
    <m/>
    <m/>
    <m/>
    <m/>
    <m/>
    <m/>
    <m/>
    <m/>
    <m/>
    <m/>
    <m/>
    <m/>
    <m/>
    <m/>
    <m/>
    <m/>
    <m/>
    <m/>
    <m/>
    <m/>
    <m/>
    <m/>
    <m/>
    <m/>
    <m/>
    <m/>
    <m/>
    <m/>
    <m/>
  </r>
  <r>
    <s v="311 - Germany"/>
    <d v="2025-01-13T00:00:00"/>
    <s v="JANUARY"/>
    <x v="0"/>
    <x v="3"/>
    <s v="Deposited"/>
    <s v="PMT-S109-49689"/>
    <s v=""/>
    <s v="EUR"/>
    <n v="-8627.5"/>
    <n v="-10089.43"/>
    <n v="10089.43"/>
    <n v="-10089.43"/>
    <s v="Malt Community GmbH"/>
    <s v=""/>
    <s v="2501101050-00000 14903249532501 13 /ORD.CUST/MALT COMMUNITY GMBH/EREF/2501101050-0000008/PAY.DET./RN R 0 DATUM 08.01.2025 BETRAG 8.627,50 KTO. 84029"/>
    <m/>
    <m/>
    <m/>
    <m/>
    <m/>
    <m/>
    <m/>
    <m/>
    <m/>
    <m/>
    <m/>
    <m/>
    <m/>
    <m/>
    <m/>
    <m/>
    <m/>
    <m/>
    <m/>
    <m/>
    <m/>
    <m/>
    <m/>
    <m/>
    <m/>
    <m/>
    <m/>
    <m/>
    <m/>
    <m/>
  </r>
  <r>
    <s v="311 - Germany"/>
    <d v="2025-01-17T00:00:00"/>
    <s v="JANUARY"/>
    <x v="0"/>
    <x v="3"/>
    <s v="Deposited"/>
    <s v="PMT-S109-49777"/>
    <s v=""/>
    <s v="EUR"/>
    <n v="-7973"/>
    <n v="-9324.0249999999996"/>
    <n v="9324.0249999999996"/>
    <n v="-9324.0249999999996"/>
    <s v="Conductix-Wampfler AG"/>
    <s v="Theresa Saal"/>
    <s v="2100333696       1490471688250117 /ORD.CUST/CONDUCTIX-WAMPFLER GMBH D/EREF/2100333696/PAY.DET.//INV /IN-S109-444935 3.1.2025"/>
    <m/>
    <m/>
    <m/>
    <m/>
    <m/>
    <m/>
    <m/>
    <m/>
    <m/>
    <m/>
    <m/>
    <m/>
    <m/>
    <m/>
    <m/>
    <m/>
    <m/>
    <m/>
    <m/>
    <m/>
    <m/>
    <m/>
    <m/>
    <m/>
    <m/>
    <m/>
    <m/>
    <m/>
    <m/>
    <m/>
  </r>
  <r>
    <s v="311 - Germany"/>
    <d v="2024-02-08T00:00:00"/>
    <s v="FEBRUARY"/>
    <x v="4"/>
    <x v="3"/>
    <s v="Deposited"/>
    <s v="PMT-S109-45927"/>
    <s v=""/>
    <s v="EUR"/>
    <n v="-7905"/>
    <n v="-9244.5020000000004"/>
    <n v="9244.5020000000004"/>
    <n v="-9244.5020000000004"/>
    <s v="IMPERIAL YACHTS"/>
    <s v="Jan Sutherland"/>
    <s v="VIR SEPA 06022   1480731066240208 /ORD.CUST/TRESORERIE GENERALE DES FINANCES/EREF/VIR SEPA 06/02/20 24 11 45 30-00003/PAY.DET./INVOICE . IN-S109-438194 DATE 20 01 2 023"/>
    <m/>
    <m/>
    <m/>
    <m/>
    <m/>
    <m/>
    <m/>
    <m/>
    <m/>
    <m/>
    <m/>
    <m/>
    <m/>
    <m/>
    <m/>
    <m/>
    <m/>
    <m/>
    <m/>
    <m/>
    <m/>
    <m/>
    <m/>
    <m/>
    <m/>
    <m/>
    <m/>
    <m/>
    <m/>
    <m/>
  </r>
  <r>
    <s v="311 - Germany"/>
    <d v="2024-06-12T00:00:00"/>
    <s v="JUNE"/>
    <x v="4"/>
    <x v="3"/>
    <s v="Deposited"/>
    <s v="PMT-S109-47567"/>
    <s v="864"/>
    <s v="EUR"/>
    <n v="-47600"/>
    <n v="-55665.82"/>
    <n v="8887.82"/>
    <n v="-8887.82"/>
    <s v="CSL Behring GmbH"/>
    <s v=""/>
    <s v="2000147351       1484318938240612 /ORD.CUST/CSL BEHRING GMBH/EREF/2000147351/PAY.DET.//REF/IN-S109- 442932 14.5.2024 20001 47351"/>
    <m/>
    <m/>
    <m/>
    <m/>
    <m/>
    <m/>
    <m/>
    <m/>
    <m/>
    <m/>
    <m/>
    <m/>
    <m/>
    <m/>
    <m/>
    <m/>
    <m/>
    <m/>
    <m/>
    <m/>
    <m/>
    <m/>
    <m/>
    <m/>
    <m/>
    <m/>
    <m/>
    <m/>
    <m/>
    <m/>
  </r>
  <r>
    <s v="311 - Germany"/>
    <d v="2025-10-23T00:00:00"/>
    <s v="OCTOBER"/>
    <x v="0"/>
    <x v="3"/>
    <s v="Deposited"/>
    <s v="PMT-S109-52879"/>
    <s v="IN-S109-447156"/>
    <s v="EUR"/>
    <n v="-34319.599999999999"/>
    <n v="-40135.055999999997"/>
    <n v="8489.0380000000005"/>
    <n v="-8489.0380000000005"/>
    <s v="COHAUSZ &amp; FLORACK Patent- und Rechtsanwälte"/>
    <s v="Theresa Saal"/>
    <s v="36704            1496836965251023 /ORD.CUST/COHAUSZ + FLORACK PATENT- UND RECHT SANWALTE/EREF/36704 /PAY.DET./RG-NR. IN-S109-447156,IN-S109-4473 73"/>
    <m/>
    <m/>
    <m/>
    <m/>
    <m/>
    <m/>
    <m/>
    <m/>
    <m/>
    <m/>
    <m/>
    <m/>
    <m/>
    <m/>
    <m/>
    <m/>
    <m/>
    <m/>
    <m/>
    <m/>
    <m/>
    <m/>
    <m/>
    <m/>
    <m/>
    <m/>
    <m/>
    <m/>
    <m/>
    <m/>
  </r>
  <r>
    <s v="311 - Germany"/>
    <d v="2022-08-31T00:00:00"/>
    <s v="AUGUST"/>
    <x v="2"/>
    <x v="3"/>
    <s v="Deposited"/>
    <s v="PMT-S109-38755"/>
    <s v=""/>
    <s v="EUR"/>
    <n v="-7200"/>
    <n v="-8420.0400000000009"/>
    <n v="8420.0400000000009"/>
    <n v="-8420.0400000000009"/>
    <s v="FMR GLOBAL HEALTH"/>
    <s v="Sophie Sadoune-MW"/>
    <s v="67482            1482839834220831 /ORD.CUST/VERISURE/EREF/67482/PAY.DET./IN-S109-435642"/>
    <m/>
    <m/>
    <m/>
    <m/>
    <m/>
    <m/>
    <m/>
    <m/>
    <m/>
    <m/>
    <m/>
    <m/>
    <m/>
    <m/>
    <m/>
    <m/>
    <m/>
    <m/>
    <m/>
    <m/>
    <m/>
    <m/>
    <m/>
    <m/>
    <m/>
    <m/>
    <m/>
    <m/>
    <m/>
    <m/>
  </r>
  <r>
    <s v="311 - Germany"/>
    <d v="2023-05-19T00:00:00"/>
    <s v="MAY"/>
    <x v="3"/>
    <x v="3"/>
    <s v="Deposited"/>
    <s v="PMT-S109-42725"/>
    <s v=""/>
    <s v="EUR"/>
    <n v="-7114.81"/>
    <n v="-8320.4150000000009"/>
    <n v="8320.4150000000009"/>
    <n v="-32386.678"/>
    <s v="DUMMY CUSTOMER_CASHAPPS 311 - Germany"/>
    <s v="Theresa Saal"/>
    <s v="230518-18KOG0010 14923488802305 19 /ORD.CUST/CANADA LIFE ASSURANC/EREF/230518-18KOG0010000018/PAY.DE T./L97451-CLE6774607E R113L97451"/>
    <m/>
    <m/>
    <m/>
    <m/>
    <m/>
    <m/>
    <m/>
    <m/>
    <m/>
    <m/>
    <m/>
    <m/>
    <m/>
    <m/>
    <m/>
    <m/>
    <m/>
    <m/>
    <m/>
    <m/>
    <m/>
    <m/>
    <m/>
    <m/>
    <m/>
    <m/>
    <m/>
    <m/>
    <m/>
    <m/>
  </r>
  <r>
    <s v="311 - Germany"/>
    <d v="2023-05-11T00:00:00"/>
    <s v="MAY"/>
    <x v="3"/>
    <x v="3"/>
    <s v="Deposited"/>
    <s v="PMT-S109-42615"/>
    <s v=""/>
    <s v="EUR"/>
    <n v="-6500"/>
    <n v="-7601.4250000000002"/>
    <n v="7601.4250000000002"/>
    <n v="-7601.4250000000002"/>
    <s v="Emile Henry"/>
    <s v="Sophie Sadoune-MW"/>
    <s v="0000703600189431 14920756342305 11 /ORD.CUST/EMILE HENRY/EREF/0000703600189431"/>
    <m/>
    <m/>
    <m/>
    <m/>
    <m/>
    <m/>
    <m/>
    <m/>
    <m/>
    <m/>
    <m/>
    <m/>
    <m/>
    <m/>
    <m/>
    <m/>
    <m/>
    <m/>
    <m/>
    <m/>
    <m/>
    <m/>
    <m/>
    <m/>
    <m/>
    <m/>
    <m/>
    <m/>
    <m/>
    <m/>
  </r>
  <r>
    <s v="311 - Germany"/>
    <d v="2024-01-16T00:00:00"/>
    <s v="JANUARY"/>
    <x v="4"/>
    <x v="3"/>
    <s v="Deposited"/>
    <s v="PMT-S109-45438"/>
    <s v=""/>
    <s v="EUR"/>
    <n v="-6500"/>
    <n v="-7601.4250000000002"/>
    <n v="7601.4250000000002"/>
    <n v="-7601.4250000000002"/>
    <s v="Eleven Factory SL"/>
    <s v=""/>
    <s v="NONREF           1480048019240116 /ORD.CUST/ELEVEN FACTORY SL/PAY.DET./FRA 441663"/>
    <m/>
    <m/>
    <m/>
    <m/>
    <m/>
    <m/>
    <m/>
    <m/>
    <m/>
    <m/>
    <m/>
    <m/>
    <m/>
    <m/>
    <m/>
    <m/>
    <m/>
    <m/>
    <m/>
    <m/>
    <m/>
    <m/>
    <m/>
    <m/>
    <m/>
    <m/>
    <m/>
    <m/>
    <m/>
    <m/>
  </r>
  <r>
    <s v="311 - Germany"/>
    <d v="2023-04-03T00:00:00"/>
    <s v="APRIL"/>
    <x v="3"/>
    <x v="3"/>
    <s v="Deposited"/>
    <s v="PMT-S109-42113"/>
    <s v=""/>
    <s v="EUR"/>
    <n v="-5500"/>
    <n v="-6431.9750000000004"/>
    <n v="6431.9750000000004"/>
    <n v="-6431.9750000000004"/>
    <s v="Algeco"/>
    <s v="Nathalie Darmois-MW1"/>
    <s v="4700244165       1490693858230403 /ORD.CUST/ALGECO/EREF/4700244165/PAY.DET.//INV/INS109437305 30.11 .2022"/>
    <m/>
    <m/>
    <m/>
    <m/>
    <m/>
    <m/>
    <m/>
    <m/>
    <m/>
    <m/>
    <m/>
    <m/>
    <m/>
    <m/>
    <m/>
    <m/>
    <m/>
    <m/>
    <m/>
    <m/>
    <m/>
    <m/>
    <m/>
    <m/>
    <m/>
    <m/>
    <m/>
    <m/>
    <m/>
    <m/>
  </r>
  <r>
    <s v="311 - Germany"/>
    <d v="2023-05-12T00:00:00"/>
    <s v="MAY"/>
    <x v="3"/>
    <x v="3"/>
    <s v="Deposited"/>
    <s v="PMT-S109-42628"/>
    <s v="IN-S109-439093"/>
    <s v="EUR"/>
    <n v="-7327"/>
    <n v="-8568.56"/>
    <n v="6431.9750000000004"/>
    <n v="-6431.9750000000004"/>
    <s v="Syndicat d’énergie d’Indre-et-Loire"/>
    <s v="Sophie Sadoune-MW"/>
    <s v="1603709006640020 14921070642305 12 /ORD.CUST/PAIERIE DEPARTEMENTALE INDRE-ET-LOI RE/EREF/16037090066 4002023-05-101586/PAY.DET./FAC. IN-S109-439093 DU 17/04/23 BRE VU E DE PRESSE ETNEWSLETTER PERIODE 29/04/23 AU 28/04/2023SY INTERC ENE RGIE INDRE LOIRE"/>
    <m/>
    <m/>
    <m/>
    <m/>
    <m/>
    <m/>
    <m/>
    <m/>
    <m/>
    <m/>
    <m/>
    <m/>
    <m/>
    <m/>
    <m/>
    <m/>
    <m/>
    <m/>
    <m/>
    <m/>
    <m/>
    <m/>
    <m/>
    <m/>
    <m/>
    <m/>
    <m/>
    <m/>
    <m/>
    <m/>
  </r>
  <r>
    <s v="311 - Germany"/>
    <d v="2025-09-12T00:00:00"/>
    <s v="SEPTEMBER"/>
    <x v="0"/>
    <x v="3"/>
    <s v="Deposited"/>
    <s v="PMT-S109-52470"/>
    <s v="PMT-S109-52470"/>
    <s v="USD"/>
    <n v="-17950"/>
    <n v="-17750.427"/>
    <n v="5883.8419999999996"/>
    <n v="-5883.8419999999996"/>
    <s v="International Rescue Committee"/>
    <s v="Theresa Saal"/>
    <s v="NONREF           1803018587250912 /OCMT/USD17950,//CHGS/USD29,21//PAY.BANK/JPMORGAN CHASE BANK,/ORD .CUST/INTERNATIONAL RESCUE COMMITTEE,INC. RESCUE/PAY.DET./IN-S10 4-439521,IN-S109-446861/ROC/9824700254JO"/>
    <m/>
    <m/>
    <m/>
    <m/>
    <m/>
    <m/>
    <m/>
    <m/>
    <m/>
    <m/>
    <m/>
    <m/>
    <m/>
    <m/>
    <m/>
    <m/>
    <m/>
    <m/>
    <m/>
    <m/>
    <m/>
    <m/>
    <m/>
    <m/>
    <m/>
    <m/>
    <m/>
    <m/>
    <m/>
    <m/>
  </r>
  <r>
    <s v="311 - Germany"/>
    <d v="2026-04-16T00:00:00"/>
    <s v="APRIL"/>
    <x v="1"/>
    <x v="3"/>
    <s v="Deposited"/>
    <s v="PMT-S109-55181"/>
    <s v=""/>
    <s v="EUR"/>
    <n v="-4557.7"/>
    <n v="-5330.0020000000004"/>
    <n v="5330.0020000000004"/>
    <n v="-5330.0020000000004"/>
    <s v="VDI Technologiezentrum GmbH"/>
    <s v="Theresa Saal"/>
    <s v="0402641043       1480429017260416 /ORD.CUST/VDI TECHNOLOGIEZENTRUM GMBH/EREF/0402641043/PAY.DET./IN S109-449170+"/>
    <m/>
    <m/>
    <m/>
    <m/>
    <m/>
    <m/>
    <m/>
    <m/>
    <m/>
    <m/>
    <m/>
    <m/>
    <m/>
    <m/>
    <m/>
    <m/>
    <m/>
    <m/>
    <m/>
    <m/>
    <m/>
    <m/>
    <m/>
    <m/>
    <m/>
    <m/>
    <m/>
    <m/>
    <m/>
    <m/>
  </r>
  <r>
    <s v="311 - Germany"/>
    <d v="2025-02-11T00:00:00"/>
    <s v="FEBRUARY"/>
    <x v="0"/>
    <x v="3"/>
    <s v="Deposited"/>
    <s v="PMT-S109-50167"/>
    <s v=""/>
    <s v="EUR"/>
    <n v="-3866"/>
    <n v="-4521.0940000000001"/>
    <n v="4521.0940000000001"/>
    <n v="-4521.0940000000001"/>
    <s v="Marionnaud Parfumeries Autriche GmbH"/>
    <s v=""/>
    <s v="1934672          1491133006250211 /ORD.CUST/MARIONNAUD LAFAYETTE/EREF/1934672"/>
    <m/>
    <m/>
    <m/>
    <m/>
    <m/>
    <m/>
    <m/>
    <m/>
    <m/>
    <m/>
    <m/>
    <m/>
    <m/>
    <m/>
    <m/>
    <m/>
    <m/>
    <m/>
    <m/>
    <m/>
    <m/>
    <m/>
    <m/>
    <m/>
    <m/>
    <m/>
    <m/>
    <m/>
    <m/>
    <m/>
  </r>
  <r>
    <s v="311 - Germany"/>
    <d v="2023-01-06T00:00:00"/>
    <s v="JANUARY"/>
    <x v="3"/>
    <x v="3"/>
    <s v="Deposited"/>
    <s v="PMT-S109-40609"/>
    <s v=""/>
    <s v="EUR"/>
    <n v="-3831"/>
    <n v="-4480.1629999999996"/>
    <n v="4480.1629999999996"/>
    <n v="-32386.678"/>
    <s v="DUMMY CUSTOMER_CASHAPPS 311 - Germany"/>
    <s v="Theresa Saal"/>
    <s v="NONREF           1803680232230106 /OCMT/EUR3866,//CHGS/EUR35,//PAY.BANK/TURKIYE GARANTI BANKASI A.S ./ORD.CUST/1/A.S.WATSON GUZELLIK VE BAKIM URUN 2/A.S. WATSON GUZE LLIK VE BAKIM URU"/>
    <m/>
    <m/>
    <m/>
    <m/>
    <m/>
    <m/>
    <m/>
    <m/>
    <m/>
    <m/>
    <m/>
    <m/>
    <m/>
    <m/>
    <m/>
    <m/>
    <m/>
    <m/>
    <m/>
    <m/>
    <m/>
    <m/>
    <m/>
    <m/>
    <m/>
    <m/>
    <m/>
    <m/>
    <m/>
    <m/>
  </r>
  <r>
    <s v="311 - Germany"/>
    <d v="2026-04-22T00:00:00"/>
    <s v="APRIL"/>
    <x v="1"/>
    <x v="3"/>
    <s v="Deposited"/>
    <s v="PMT-S109-55252"/>
    <s v="IN-S109-449013"/>
    <s v="EUR"/>
    <n v="-20570"/>
    <n v="-24055.587"/>
    <n v="4174.9369999999999"/>
    <n v="-4174.9369999999999"/>
    <s v="Newspress Spain SL"/>
    <s v="Nathalie Darmois"/>
    <s v="NONREF           1480524653260422 /ORD.CUST/NEWSPRESS SPAIN,S.L./PAY.DET./IN-S109-449013"/>
    <m/>
    <m/>
    <m/>
    <m/>
    <m/>
    <m/>
    <m/>
    <m/>
    <m/>
    <m/>
    <m/>
    <m/>
    <m/>
    <m/>
    <m/>
    <m/>
    <m/>
    <m/>
    <m/>
    <m/>
    <m/>
    <m/>
    <m/>
    <m/>
    <m/>
    <m/>
    <m/>
    <m/>
    <m/>
    <m/>
  </r>
  <r>
    <s v="311 - Germany"/>
    <d v="2025-10-15T00:00:00"/>
    <s v="OCTOBER"/>
    <x v="0"/>
    <x v="3"/>
    <s v="Deposited"/>
    <s v="PMT-S109-52804"/>
    <s v=""/>
    <s v="EUR"/>
    <n v="-3188"/>
    <n v="-3728.2069999999999"/>
    <n v="3728.2069999999999"/>
    <n v="-32386.678"/>
    <s v="DUMMY CUSTOMER_CASHAPPS 311 - Germany"/>
    <s v="Theresa Saal"/>
    <s v="NONREF           1803084060251015 /OCMT/EUR3188,//PAY.BANK/HSBC BANK A.S./ORD.CUST/1/SIRMAGRUP ICEC EK SANAYI VE TICARE 1/T A.S."/>
    <m/>
    <m/>
    <m/>
    <m/>
    <m/>
    <m/>
    <m/>
    <m/>
    <m/>
    <m/>
    <m/>
    <m/>
    <m/>
    <m/>
    <m/>
    <m/>
    <m/>
    <m/>
    <m/>
    <m/>
    <m/>
    <m/>
    <m/>
    <m/>
    <m/>
    <m/>
    <m/>
    <m/>
    <m/>
    <m/>
  </r>
  <r>
    <s v="311 - Germany"/>
    <d v="2024-08-13T00:00:00"/>
    <s v="AUGUST"/>
    <x v="4"/>
    <x v="3"/>
    <s v="Deposited"/>
    <s v="PMT-S109-48165"/>
    <s v=""/>
    <s v="EUR"/>
    <n v="-3123.75"/>
    <n v="-3653.069"/>
    <n v="3653.069"/>
    <n v="-3979.346"/>
    <s v="Syntegon Technology GmbH"/>
    <s v="Theresa Saal"/>
    <s v="NONREF           1486072816240813 /ORD.CUST/VALICARE GMBH/PAY.DET./WERBUNGSKOSTEN / MESSEKOSTEN MEL TWA TER RE. IN-S109-443440 70294"/>
    <m/>
    <m/>
    <m/>
    <m/>
    <m/>
    <m/>
    <m/>
    <m/>
    <m/>
    <m/>
    <m/>
    <m/>
    <m/>
    <m/>
    <m/>
    <m/>
    <m/>
    <m/>
    <m/>
    <m/>
    <m/>
    <m/>
    <m/>
    <m/>
    <m/>
    <m/>
    <m/>
    <m/>
    <m/>
    <m/>
  </r>
  <r>
    <s v="311 - Germany"/>
    <d v="2026-04-23T00:00:00"/>
    <s v="APRIL"/>
    <x v="1"/>
    <x v="3"/>
    <s v="Deposited"/>
    <s v="PMT-S109-55263"/>
    <s v="IN-S109-448037"/>
    <s v="EUR"/>
    <n v="-16128.07"/>
    <n v="-18860.971000000001"/>
    <n v="3526.8510000000001"/>
    <n v="-3526.8510000000001"/>
    <s v="Stadtkrankenhaus Delmenhorst GmbH"/>
    <s v="Theresa Saal"/>
    <s v="NONREF           DE26042392928652 /ORD.CUST/DERDENGELDEN CMC WORLDWI/PAY.DET./IN-S109-448037/352110"/>
    <m/>
    <m/>
    <m/>
    <m/>
    <m/>
    <m/>
    <m/>
    <m/>
    <m/>
    <m/>
    <m/>
    <m/>
    <m/>
    <m/>
    <m/>
    <m/>
    <m/>
    <m/>
    <m/>
    <m/>
    <m/>
    <m/>
    <m/>
    <m/>
    <m/>
    <m/>
    <m/>
    <m/>
    <m/>
    <m/>
  </r>
  <r>
    <s v="311 - Germany"/>
    <d v="2023-06-14T00:00:00"/>
    <s v="JUNE"/>
    <x v="3"/>
    <x v="3"/>
    <s v="Deposited"/>
    <s v="PMT-S109-42996"/>
    <s v=""/>
    <s v="EUR"/>
    <n v="-2826.24"/>
    <n v="-3305.1460000000002"/>
    <n v="3305.1460000000002"/>
    <n v="-3305.1460000000002"/>
    <s v="Internetstores GmbH"/>
    <s v="Theresa Saal"/>
    <s v="2000283118       1493223640230614 /ORD.CUST/INTERNETSTORES GMBH/EREF/2000283118/PAY.DET./KONTO BEI IHNR.IN-S109-435375/1.3.2 023NR.IN-S109-435375/1.4.2023NR.IN- S10 9-435375/1.5.2023"/>
    <m/>
    <m/>
    <m/>
    <m/>
    <m/>
    <m/>
    <m/>
    <m/>
    <m/>
    <m/>
    <m/>
    <m/>
    <m/>
    <m/>
    <m/>
    <m/>
    <m/>
    <m/>
    <m/>
    <m/>
    <m/>
    <m/>
    <m/>
    <m/>
    <m/>
    <m/>
    <m/>
    <m/>
    <m/>
    <m/>
  </r>
  <r>
    <s v="311 - Germany"/>
    <d v="2026-04-22T00:00:00"/>
    <s v="APRIL"/>
    <x v="1"/>
    <x v="3"/>
    <s v="Deposited"/>
    <s v="PMT-S109-55250"/>
    <s v="IN-S109-449006"/>
    <s v="EUR"/>
    <n v="-16200"/>
    <n v="-18945.09"/>
    <n v="3157.5149999999999"/>
    <n v="-3157.5149999999999"/>
    <s v="QUOBLY"/>
    <s v="Nathalie Darmois"/>
    <s v="MELTWATER.IN-S10 1480524438260 422 /ORD.CUST/QUOBLY/EREF/MELTWATER.IN-S109-449006.0/PAY.DET./IN-S109 449006"/>
    <m/>
    <m/>
    <m/>
    <m/>
    <m/>
    <m/>
    <m/>
    <m/>
    <m/>
    <m/>
    <m/>
    <m/>
    <m/>
    <m/>
    <m/>
    <m/>
    <m/>
    <m/>
    <m/>
    <m/>
    <m/>
    <m/>
    <m/>
    <m/>
    <m/>
    <m/>
    <m/>
    <m/>
    <m/>
    <m/>
  </r>
  <r>
    <s v="311 - Germany"/>
    <d v="2023-03-23T00:00:00"/>
    <s v="MARCH"/>
    <x v="3"/>
    <x v="3"/>
    <s v="Deposited"/>
    <s v="PMT-S109-41942"/>
    <s v="IN-S109-437735"/>
    <s v="EUR"/>
    <n v="-30631"/>
    <n v="-35821.423000000003"/>
    <n v="2655.8209999999999"/>
    <n v="-2655.8209999999999"/>
    <s v="Banco Santander S.A"/>
    <s v="Theresa Saal"/>
    <s v="NOT PROVIDED     1490332695230323 /ORD.CUST/BANCO SANTANDER S.A./EREF/NOT PROVIDED/PAY.DET./REF. IN S109437735 2023-03-22 243303 197"/>
    <m/>
    <m/>
    <m/>
    <m/>
    <m/>
    <m/>
    <m/>
    <m/>
    <m/>
    <m/>
    <m/>
    <m/>
    <m/>
    <m/>
    <m/>
    <m/>
    <m/>
    <m/>
    <m/>
    <m/>
    <m/>
    <m/>
    <m/>
    <m/>
    <m/>
    <m/>
    <m/>
    <m/>
    <m/>
    <m/>
  </r>
  <r>
    <s v="311 - Germany"/>
    <d v="2025-09-23T00:00:00"/>
    <s v="SEPTEMBER"/>
    <x v="0"/>
    <x v="3"/>
    <s v="Deposited"/>
    <s v="PMT-S109-52564"/>
    <s v=""/>
    <s v="EUR"/>
    <n v="-2180"/>
    <n v="-2549.4009999999998"/>
    <n v="2549.4009999999998"/>
    <n v="-2549.4009999999998"/>
    <s v="GLOBAL BIOENERGIES"/>
    <s v="Nathalie Darmois"/>
    <s v="IN-S109-445980   1496216486250923 /ORD.CUST/GLOBAL BIOENERGIES/EREF/IN-S109-445980/PAY.DET./METLWAT ER - PRESTATION 13-04-25 AU 12-04-26"/>
    <m/>
    <m/>
    <m/>
    <m/>
    <m/>
    <m/>
    <m/>
    <m/>
    <m/>
    <m/>
    <m/>
    <m/>
    <m/>
    <m/>
    <m/>
    <m/>
    <m/>
    <m/>
    <m/>
    <m/>
    <m/>
    <m/>
    <m/>
    <m/>
    <m/>
    <m/>
    <m/>
    <m/>
    <m/>
    <m/>
  </r>
  <r>
    <s v="311 - Germany"/>
    <d v="2025-09-17T00:00:00"/>
    <s v="SEPTEMBER"/>
    <x v="0"/>
    <x v="3"/>
    <s v="Deposited"/>
    <s v="PMT-S109-52505"/>
    <s v="IN-S109-446982"/>
    <s v="EUR"/>
    <n v="-5976"/>
    <n v="-6988.6329999999998"/>
    <n v="2352.933"/>
    <n v="-2352.933"/>
    <s v="Knowledge Business Solutions"/>
    <s v="Nathalie Darmois"/>
    <s v="SOLDE IN-S109-44 14961186642509 17 /ORD.CUST/KNOWLEDGE BUSINE/EREF/SOLDE IN-S109-446768/PAY.DET./SOL DE IN-S109-446768"/>
    <m/>
    <m/>
    <m/>
    <m/>
    <m/>
    <m/>
    <m/>
    <m/>
    <m/>
    <m/>
    <m/>
    <m/>
    <m/>
    <m/>
    <m/>
    <m/>
    <m/>
    <m/>
    <m/>
    <m/>
    <m/>
    <m/>
    <m/>
    <m/>
    <m/>
    <m/>
    <m/>
    <m/>
    <m/>
    <m/>
  </r>
  <r>
    <s v="311 - Germany"/>
    <d v="2023-01-27T00:00:00"/>
    <s v="JANUARY"/>
    <x v="3"/>
    <x v="3"/>
    <s v="Deposited"/>
    <s v="PMT-S109-41039"/>
    <s v=""/>
    <s v="EUR"/>
    <n v="-2000"/>
    <n v="-2338.9"/>
    <n v="2338.9"/>
    <n v="-2338.9"/>
    <s v="SAS 77 FOODS"/>
    <s v="Nathalie Darmois"/>
    <s v="SCTOUTF5KZ9FUY7R 14884363272301 27 /ORD.CUST/77 FOODS/EREF/SCTOUTF5KZ9FUY7RRXLQXY5NOVDB/PAY.DET./IN- S109-437866"/>
    <m/>
    <m/>
    <m/>
    <m/>
    <m/>
    <m/>
    <m/>
    <m/>
    <m/>
    <m/>
    <m/>
    <m/>
    <m/>
    <m/>
    <m/>
    <m/>
    <m/>
    <m/>
    <m/>
    <m/>
    <m/>
    <m/>
    <m/>
    <m/>
    <m/>
    <m/>
    <m/>
    <m/>
    <m/>
    <m/>
  </r>
  <r>
    <s v="311 - Germany"/>
    <d v="2024-05-30T00:00:00"/>
    <s v="MAY"/>
    <x v="4"/>
    <x v="3"/>
    <s v="Deposited"/>
    <s v="PMT-S109-47425"/>
    <s v="849"/>
    <s v="EUR"/>
    <n v="-15500"/>
    <n v="-18126.474999999999"/>
    <n v="2338.9"/>
    <n v="-32386.678"/>
    <s v="DUMMY CUSTOMER_CASHAPPS 311 - Germany"/>
    <s v="Theresa Saal"/>
    <s v="NONREF           1803362998240530 /OCMT/EUR15500,//PAY.BANK/BANQUE ATLANTIQUE COTE D'IVOIRE/ORD.CUS T/CABINET DU 1ER MINISTRE BOULEVARD ANGLOULVANT PLATEAU/PAY.DET./ DEPLOIEMENT D'UN OUTIL DE VEILLE ET D'INTELLIGENCE INFORMATIONNEL LE SPECIFIQUE A LA PRIMATURE"/>
    <m/>
    <m/>
    <m/>
    <m/>
    <m/>
    <m/>
    <m/>
    <m/>
    <m/>
    <m/>
    <m/>
    <m/>
    <m/>
    <m/>
    <m/>
    <m/>
    <m/>
    <m/>
    <m/>
    <m/>
    <m/>
    <m/>
    <m/>
    <m/>
    <m/>
    <m/>
    <m/>
    <m/>
    <m/>
    <m/>
  </r>
  <r>
    <s v="311 - Germany"/>
    <d v="2023-07-12T00:00:00"/>
    <s v="JULY"/>
    <x v="3"/>
    <x v="3"/>
    <s v="Deposited"/>
    <s v="PMT-S109-43302"/>
    <s v=""/>
    <s v="EUR"/>
    <n v="-1785"/>
    <n v="-2087.4679999999998"/>
    <n v="2087.4679999999998"/>
    <n v="-2087.4679999999998"/>
    <s v="Special Olympics Deutschland e.V."/>
    <s v="Theresa Saal"/>
    <s v="2307121430-00000 14942923652307 12 /ORD.CUST/SPECIAL OLYMPICS DEUTSCHLAND E. V./EREF/2307121430-0000 001/PAY.DET./IN-S109-439535"/>
    <m/>
    <m/>
    <m/>
    <m/>
    <m/>
    <m/>
    <m/>
    <m/>
    <m/>
    <m/>
    <m/>
    <m/>
    <m/>
    <m/>
    <m/>
    <m/>
    <m/>
    <m/>
    <m/>
    <m/>
    <m/>
    <m/>
    <m/>
    <m/>
    <m/>
    <m/>
    <m/>
    <m/>
    <m/>
    <m/>
  </r>
  <r>
    <s v="311 - Germany"/>
    <d v="2022-10-26T00:00:00"/>
    <s v="OCTOBER"/>
    <x v="2"/>
    <x v="3"/>
    <s v="Deposited"/>
    <s v="PMT-S109-39591"/>
    <s v=""/>
    <s v="EUR"/>
    <n v="-1111.3"/>
    <n v="-1299.6099999999999"/>
    <n v="1299.6099999999999"/>
    <n v="-32386.678"/>
    <s v="DUMMY CUSTOMER_CASHAPPS 311 - Germany"/>
    <s v="Theresa Saal"/>
    <s v="(from 19 Sep 22 - moving from Celigo) CANADA LIFE ASSURANC 220916-16R2G0010 1483550279220919 /ORD.CUST/CANADA LIFE ASSURANC/EREF/220916-16R2G0010000055/PAY.DE T./L23331-CLE6774660M R113L23331"/>
    <m/>
    <m/>
    <m/>
    <m/>
    <m/>
    <m/>
    <m/>
    <m/>
    <m/>
    <m/>
    <m/>
    <m/>
    <m/>
    <m/>
    <m/>
    <m/>
    <m/>
    <m/>
    <m/>
    <m/>
    <m/>
    <m/>
    <m/>
    <m/>
    <m/>
    <m/>
    <m/>
    <m/>
    <m/>
    <m/>
  </r>
  <r>
    <s v="311 - Germany"/>
    <d v="2023-03-17T00:00:00"/>
    <s v="MARCH"/>
    <x v="3"/>
    <x v="3"/>
    <s v="Deposited"/>
    <s v="PMT-S109-41876"/>
    <s v="IN-S109-438675"/>
    <s v="EUR"/>
    <n v="-27965"/>
    <n v="-32703.669000000002"/>
    <n v="1283.097"/>
    <n v="-1283.097"/>
    <s v="WOOLWORTH GmbH"/>
    <s v="Theresa Saal"/>
    <s v="ZAHLG 0042024633 1490179830230 316 /ORD.CUST/WOOLWORTH GMBH/EREF/ZAHLG 0042024633/PAY.DET./IN-S109-4 38675 02.03.2023IN-S109-43 8675 2.3.2023"/>
    <m/>
    <m/>
    <m/>
    <m/>
    <m/>
    <m/>
    <m/>
    <m/>
    <m/>
    <m/>
    <m/>
    <m/>
    <m/>
    <m/>
    <m/>
    <m/>
    <m/>
    <m/>
    <m/>
    <m/>
    <m/>
    <m/>
    <m/>
    <m/>
    <m/>
    <m/>
    <m/>
    <m/>
    <m/>
    <m/>
  </r>
  <r>
    <s v="311 - Germany"/>
    <d v="2026-04-08T00:00:00"/>
    <s v="APRIL"/>
    <x v="1"/>
    <x v="3"/>
    <s v="Deposited"/>
    <s v="PMT-S109-55090"/>
    <s v="IN-S109-449138"/>
    <s v="EUR"/>
    <n v="-6573.6"/>
    <n v="-7687.4970000000003"/>
    <n v="1281.249"/>
    <n v="-1281.249"/>
    <s v="CONSEIL SUPERIEUR DU NOTARIAT"/>
    <s v="Nathalie Darmois"/>
    <s v="20260403.D55.253 14802425242604 08 /ORD.CUST/CONSEIL SUPERIEUR DU NOTARIAT/EREF/20260403.D55.253.8/P AY.DET./A"/>
    <m/>
    <m/>
    <m/>
    <m/>
    <m/>
    <m/>
    <m/>
    <m/>
    <m/>
    <m/>
    <m/>
    <m/>
    <m/>
    <m/>
    <m/>
    <m/>
    <m/>
    <m/>
    <m/>
    <m/>
    <m/>
    <m/>
    <m/>
    <m/>
    <m/>
    <m/>
    <m/>
    <m/>
    <m/>
    <m/>
  </r>
  <r>
    <s v="311 - Germany"/>
    <d v="2023-08-17T00:00:00"/>
    <s v="AUGUST"/>
    <x v="3"/>
    <x v="3"/>
    <s v="Deposited"/>
    <s v="PMT-S109-43617"/>
    <s v=""/>
    <s v="EUR"/>
    <n v="-1038.58"/>
    <n v="-1214.567"/>
    <n v="1214.567"/>
    <n v="-32386.678"/>
    <s v="DUMMY CUSTOMER_CASHAPPS 311 - Germany"/>
    <s v="Theresa Saal"/>
    <s v="NONREF           1802795693230817 /OCMT/USD1162,12//CHGS/USD15,//EXCH/1,09265//OUR CHGS/EUR25,/PAY. BANK/ABN AMRO BANK N.V./ORD.CUST/1/STICHTING DERDENGELDEN CMC 1/W ORLDWIDE/PAY.DET./IN-S104-432622,OUR REFERENCE346338 BNY CUST RR N - F1S2308179015300/ROC/EC3228L5QT8G5B00"/>
    <m/>
    <m/>
    <m/>
    <m/>
    <m/>
    <m/>
    <m/>
    <m/>
    <m/>
    <m/>
    <m/>
    <m/>
    <m/>
    <m/>
    <m/>
    <m/>
    <m/>
    <m/>
    <m/>
    <m/>
    <m/>
    <m/>
    <m/>
    <m/>
    <m/>
    <m/>
    <m/>
    <m/>
    <m/>
    <m/>
  </r>
  <r>
    <s v="311 - Germany"/>
    <d v="2025-06-03T00:00:00"/>
    <s v="JUNE"/>
    <x v="0"/>
    <x v="3"/>
    <s v="Deposited"/>
    <s v="PMT-S109-51531"/>
    <s v="IN-S109-446477"/>
    <s v="EUR"/>
    <n v="-5950"/>
    <n v="-6958.2280000000001"/>
    <n v="1110.9780000000001"/>
    <n v="-1110.9780000000001"/>
    <s v="Plastic Odyssey"/>
    <s v="Amy Tyler"/>
    <s v="RAWSCTOUT5JDTX78 14937202902506 03 /ORD.CUST/PLASTIC ODYSSEY/EREF/RAWSCTOUT5JDTX78USRAXIECG2DFIDG/PA Y.DET./IN-S109-446381"/>
    <m/>
    <m/>
    <m/>
    <m/>
    <m/>
    <m/>
    <m/>
    <m/>
    <m/>
    <m/>
    <m/>
    <m/>
    <m/>
    <m/>
    <m/>
    <m/>
    <m/>
    <m/>
    <m/>
    <m/>
    <m/>
    <m/>
    <m/>
    <m/>
    <m/>
    <m/>
    <m/>
    <m/>
    <m/>
    <m/>
  </r>
  <r>
    <s v="311 - Germany"/>
    <d v="2023-11-17T00:00:00"/>
    <s v="NOVEMBER"/>
    <x v="3"/>
    <x v="3"/>
    <s v="Deposited"/>
    <s v="PMT-S109-44589"/>
    <s v=""/>
    <s v="EUR"/>
    <n v="-942.93"/>
    <n v="-1102.7090000000001"/>
    <n v="1102.7090000000001"/>
    <n v="-1102.7090000000001"/>
    <s v="Paulaner Brauerei Gruppe GmbH &amp; Co. KGaA"/>
    <s v="Theresa Saal"/>
    <s v="2001950539       1498185268231117 /ORD.CUST/PAULANER BRAUEREI GRUPPE GMBH + CO. KGAA/EREF/20019505 39/PAY.DET./NR.79547475,1.10.2023"/>
    <m/>
    <m/>
    <m/>
    <m/>
    <m/>
    <m/>
    <m/>
    <m/>
    <m/>
    <m/>
    <m/>
    <m/>
    <m/>
    <m/>
    <m/>
    <m/>
    <m/>
    <m/>
    <m/>
    <m/>
    <m/>
    <m/>
    <m/>
    <m/>
    <m/>
    <m/>
    <m/>
    <m/>
    <m/>
    <m/>
  </r>
  <r>
    <s v="311 - Germany"/>
    <d v="2025-12-17T00:00:00"/>
    <s v="DECEMBER"/>
    <x v="0"/>
    <x v="3"/>
    <s v="Deposited"/>
    <s v="PMT-S109-53537"/>
    <s v="IN-S109-447993"/>
    <s v="EUR"/>
    <n v="-14237.53"/>
    <n v="-16650.079000000002"/>
    <n v="988.80499999999995"/>
    <n v="-988.80499999999995"/>
    <s v="Liechtenstein Marketing"/>
    <s v="Theresa Saal"/>
    <s v="NONREF           1803214948251217 /OCMT/CHF13367,//CHGS/CHF25,//EXCH/0,937211//OUR CHGS/EUR25,/PAY. BANK/LIECHTENSTEINISCHE LANDESBANK AKTIE/ORD.CUST/1/LIECHTENSTEIN MARKETING 2/AEULESTRASSE,30/PAY.DET./IN-S109-447993/ROC/IN-S109- 447993"/>
    <m/>
    <m/>
    <m/>
    <m/>
    <m/>
    <m/>
    <m/>
    <m/>
    <m/>
    <m/>
    <m/>
    <m/>
    <m/>
    <m/>
    <m/>
    <m/>
    <m/>
    <m/>
    <m/>
    <m/>
    <m/>
    <m/>
    <m/>
    <m/>
    <m/>
    <m/>
    <m/>
    <m/>
    <m/>
    <m/>
  </r>
  <r>
    <s v="311 - Germany"/>
    <d v="2025-01-03T00:00:00"/>
    <s v="JANUARY"/>
    <x v="0"/>
    <x v="3"/>
    <s v="Deposited"/>
    <s v="PMT-S109-49559"/>
    <s v="IN-S109-444756"/>
    <s v="EUR"/>
    <n v="-8330"/>
    <n v="-9741.5190000000002"/>
    <n v="974.15200000000004"/>
    <n v="-974.15200000000004"/>
    <s v="INTERSPORT Digital GmbH"/>
    <s v="Theresa Saal"/>
    <s v="0080313608       1490081122250102 /ORD.CUST/INTERSPORT DEUTSCHLAND EG/EREF/0080313608/PAY.DET./2102 41/INV IN-S109-444756 5.12.2024"/>
    <m/>
    <m/>
    <m/>
    <m/>
    <m/>
    <m/>
    <m/>
    <m/>
    <m/>
    <m/>
    <m/>
    <m/>
    <m/>
    <m/>
    <m/>
    <m/>
    <m/>
    <m/>
    <m/>
    <m/>
    <m/>
    <m/>
    <m/>
    <m/>
    <m/>
    <m/>
    <m/>
    <m/>
    <m/>
    <m/>
  </r>
  <r>
    <s v="311 - Germany"/>
    <d v="2022-04-29T00:00:00"/>
    <s v="APRIL"/>
    <x v="2"/>
    <x v="3"/>
    <s v="Deposited"/>
    <s v="PMT-S109-37201"/>
    <s v="IN-S109-435025"/>
    <s v="EUR"/>
    <n v="-9392.67"/>
    <n v="-10984.258"/>
    <n v="964.41"/>
    <n v="-964.41"/>
    <s v="Pfeifer Holding GmbH &amp; Co KG"/>
    <s v="Theresa Saal"/>
    <s v="NONREF           1498518446220428 /ORD.CUST/PFEIFER HOLDING GMBH + CO. KG/PAY.DET./FACT IN-S109-435 025 8568,00 0,00 FA CT RG116947 824,67 0,00"/>
    <m/>
    <m/>
    <m/>
    <m/>
    <m/>
    <m/>
    <m/>
    <m/>
    <m/>
    <m/>
    <m/>
    <m/>
    <m/>
    <m/>
    <m/>
    <m/>
    <m/>
    <m/>
    <m/>
    <m/>
    <m/>
    <m/>
    <m/>
    <m/>
    <m/>
    <m/>
    <m/>
    <m/>
    <m/>
    <m/>
  </r>
  <r>
    <s v="311 - Germany"/>
    <d v="2026-04-27T00:00:00"/>
    <s v="APRIL"/>
    <x v="1"/>
    <x v="3"/>
    <s v="Deposited"/>
    <s v="PMT-S109-55285"/>
    <s v=""/>
    <s v="EUR"/>
    <n v="-692.25"/>
    <n v="-809.55200000000002"/>
    <n v="809.55200000000002"/>
    <n v="0"/>
    <s v="Landesdirektion Sachsen"/>
    <s v="Theresa Saal"/>
    <s v="8300397767       1480612737260427 /ORD.CUST/HAUPTKASSE DES FREISTAATES SACHSEN/EREF/8300397767/PAY. DET./RNR.IN-S109-449247 RD.01.04.2026 SO CIAL MEDIA M .. TORING 04/2026 MEHRJAHRESVERTRAG HTTP.//"/>
    <m/>
    <m/>
    <m/>
    <m/>
    <m/>
    <m/>
    <m/>
    <m/>
    <m/>
    <m/>
    <m/>
    <m/>
    <m/>
    <m/>
    <m/>
    <m/>
    <m/>
    <m/>
    <m/>
    <m/>
    <m/>
    <m/>
    <m/>
    <m/>
    <m/>
    <m/>
    <m/>
    <m/>
    <m/>
    <m/>
  </r>
  <r>
    <s v="311 - Germany"/>
    <d v="2025-07-04T00:00:00"/>
    <s v="JULY"/>
    <x v="0"/>
    <x v="3"/>
    <s v="Deposited"/>
    <s v="PMT-S109-51821"/>
    <s v="IN-S109-446881"/>
    <s v="EUR"/>
    <n v="-11858"/>
    <n v="-13867.338"/>
    <n v="769.49800000000005"/>
    <n v="-769.49800000000005"/>
    <s v="Olympia Sport- und Veranstaltungszentrum Innsbruck GmbH"/>
    <s v="Theresa Saal"/>
    <s v="NONREF           1494437834250704 /ORD.CUST/OLYMPIA SPORT- UND VERANSTALTUNG SZ ENTRUM INNSBRUCK GM BH/PAY.DET./SCOR C IN-S109-446570 24.06.2025 11 .858,00"/>
    <m/>
    <m/>
    <m/>
    <m/>
    <m/>
    <m/>
    <m/>
    <m/>
    <m/>
    <m/>
    <m/>
    <m/>
    <m/>
    <m/>
    <m/>
    <m/>
    <m/>
    <m/>
    <m/>
    <m/>
    <m/>
    <m/>
    <m/>
    <m/>
    <m/>
    <m/>
    <m/>
    <m/>
    <m/>
    <m/>
  </r>
  <r>
    <s v="311 - Germany"/>
    <d v="2023-03-09T00:00:00"/>
    <s v="MARCH"/>
    <x v="3"/>
    <x v="3"/>
    <s v="Deposited"/>
    <s v="PMT-S109-41784"/>
    <s v=""/>
    <s v="EUR"/>
    <n v="-561.5"/>
    <n v="-656.64599999999996"/>
    <n v="656.64599999999996"/>
    <n v="-656.64599999999996"/>
    <s v="TOULON VAR TECHNOLOGIES"/>
    <s v="Sophie Sadoune-MW"/>
    <s v="NONREF           1803793843230309 /OCMT/EUR586,5//OUR CHGS/EUR25,/PAY.BANK/CREDIT COOPERATIF/ORD.CU ST/1/TOULON VAR TECHNOLOGIES 2/QUART MAYOL/PAY.DET./TVT/POLE MER MEDITERRANEE"/>
    <m/>
    <m/>
    <m/>
    <m/>
    <m/>
    <m/>
    <m/>
    <m/>
    <m/>
    <m/>
    <m/>
    <m/>
    <m/>
    <m/>
    <m/>
    <m/>
    <m/>
    <m/>
    <m/>
    <m/>
    <m/>
    <m/>
    <m/>
    <m/>
    <m/>
    <m/>
    <m/>
    <m/>
    <m/>
    <m/>
  </r>
  <r>
    <s v="311 - Germany"/>
    <d v="2025-05-13T00:00:00"/>
    <s v="MAY"/>
    <x v="0"/>
    <x v="3"/>
    <s v="Deposited"/>
    <s v="PMT-S109-51330"/>
    <s v="IN-S109-446330"/>
    <s v="EUR"/>
    <n v="-9996"/>
    <n v="-11689.822"/>
    <n v="556.65800000000002"/>
    <n v="-556.65800000000002"/>
    <s v="Skandinaviska Enskilda Banken AB (publ) Frankfurt Branch"/>
    <s v="Theresa Saal"/>
    <s v="765849           1493216147250513 /ORD.CUST/SEB AB FRANKFURT FINANCE/EREF/765849/PAY.DET./IN-S109-4 46152"/>
    <m/>
    <m/>
    <m/>
    <m/>
    <m/>
    <m/>
    <m/>
    <m/>
    <m/>
    <m/>
    <m/>
    <m/>
    <m/>
    <m/>
    <m/>
    <m/>
    <m/>
    <m/>
    <m/>
    <m/>
    <m/>
    <m/>
    <m/>
    <m/>
    <m/>
    <m/>
    <m/>
    <m/>
    <m/>
    <m/>
  </r>
  <r>
    <s v="311 - Germany"/>
    <d v="2024-01-26T00:00:00"/>
    <s v="JANUARY"/>
    <x v="4"/>
    <x v="3"/>
    <s v="Deposited"/>
    <s v="PMT-S109-45687"/>
    <s v="IN-S109-441344"/>
    <s v="EUR"/>
    <n v="-5503.75"/>
    <n v="-6436.36"/>
    <n v="491.16899999999998"/>
    <n v="-491.16899999999998"/>
    <s v="Fette Compacting GmbH"/>
    <s v="Theresa Saal"/>
    <s v="0006200819       1480332552240126 /ORD.CUST/FETTE COMPACTING GMBH/EREF/0006200819/PAY.DET./-NR 1N-S 109-441344 VOM 20.12.202"/>
    <m/>
    <m/>
    <m/>
    <m/>
    <m/>
    <m/>
    <m/>
    <m/>
    <m/>
    <m/>
    <m/>
    <m/>
    <m/>
    <m/>
    <m/>
    <m/>
    <m/>
    <m/>
    <m/>
    <m/>
    <m/>
    <m/>
    <m/>
    <m/>
    <m/>
    <m/>
    <m/>
    <m/>
    <m/>
    <m/>
  </r>
  <r>
    <s v="311 - Germany"/>
    <d v="2024-12-03T00:00:00"/>
    <s v="DECEMBER"/>
    <x v="4"/>
    <x v="3"/>
    <s v="Deposited"/>
    <s v="PMT-S109-49239"/>
    <s v=""/>
    <s v="EUR"/>
    <n v="-415.36"/>
    <n v="-485.74299999999999"/>
    <n v="485.74299999999999"/>
    <n v="-485.74299999999999"/>
    <s v="Industrie- und Handelskammer zu Düsseldorf"/>
    <s v="Theresa Saal"/>
    <s v="INDUSTRIE- UND HANDELSKAMMER ZU DUS SELDORF KD10000261623 29 1489258495241203 /ORD.CUST/INDUSTRIE- UND HANDELSKAMMER ZU DUS SELDORF/EREF/KD1000 0261623 29/PAY.DET./20.11.2023 415.36 60784709"/>
    <m/>
    <m/>
    <m/>
    <m/>
    <m/>
    <m/>
    <m/>
    <m/>
    <m/>
    <m/>
    <m/>
    <m/>
    <m/>
    <m/>
    <m/>
    <m/>
    <m/>
    <m/>
    <m/>
    <m/>
    <m/>
    <m/>
    <m/>
    <m/>
    <m/>
    <m/>
    <m/>
    <m/>
    <m/>
    <m/>
  </r>
  <r>
    <s v="311 - Germany"/>
    <d v="2025-03-31T00:00:00"/>
    <s v="MARCH"/>
    <x v="0"/>
    <x v="3"/>
    <s v="Deposited"/>
    <s v="PMT-S109-50857"/>
    <s v=""/>
    <s v="EUR"/>
    <n v="-378"/>
    <n v="-442.05200000000002"/>
    <n v="442.05200000000002"/>
    <n v="-442.05200000000002"/>
    <s v="SA PERIAL"/>
    <s v="Sophie Sadoune-MW"/>
    <s v="2000000819       1492234530250331 /ORD.CUST/PERIAL ASSET MANAGEMENT/EREF/2000000819/PAY.DET.//INV/F 2502141 28.2.2025"/>
    <m/>
    <m/>
    <m/>
    <m/>
    <m/>
    <m/>
    <m/>
    <m/>
    <m/>
    <m/>
    <m/>
    <m/>
    <m/>
    <m/>
    <m/>
    <m/>
    <m/>
    <m/>
    <m/>
    <m/>
    <m/>
    <m/>
    <m/>
    <m/>
    <m/>
    <m/>
    <m/>
    <m/>
    <m/>
    <m/>
  </r>
  <r>
    <s v="311 - Germany"/>
    <d v="2023-07-04T00:00:00"/>
    <s v="JULY"/>
    <x v="3"/>
    <x v="3"/>
    <s v="Deposited"/>
    <s v="PMT-S109-43226"/>
    <s v=""/>
    <s v="EUR"/>
    <n v="-372.47"/>
    <n v="-435.58499999999998"/>
    <n v="435.58499999999998"/>
    <n v="-435.58499999999998"/>
    <s v="HRG Hotels GmbH"/>
    <s v="Theresa Saal"/>
    <s v="474-230630T1220- 149401460923070 4 /ORD.CUST/SUCCESS HOTEL MANAGEMENT GMBH/EREF/474-230630T1220-232- 16962--5/PAY.DET./IN-S109-439096"/>
    <m/>
    <m/>
    <m/>
    <m/>
    <m/>
    <m/>
    <m/>
    <m/>
    <m/>
    <m/>
    <m/>
    <m/>
    <m/>
    <m/>
    <m/>
    <m/>
    <m/>
    <m/>
    <m/>
    <m/>
    <m/>
    <m/>
    <m/>
    <m/>
    <m/>
    <m/>
    <m/>
    <m/>
    <m/>
    <m/>
  </r>
  <r>
    <s v="311 - Germany"/>
    <d v="2023-03-30T00:00:00"/>
    <s v="MARCH"/>
    <x v="3"/>
    <x v="3"/>
    <s v="Deposited"/>
    <s v="PMT-S109-42040"/>
    <s v=""/>
    <s v="EUR"/>
    <n v="-330"/>
    <n v="-385.91899999999998"/>
    <n v="385.91899999999998"/>
    <n v="-32386.678"/>
    <s v="DUMMY CUSTOMER_CASHAPPS 311 - Germany"/>
    <s v="Theresa Saal"/>
    <s v="0107026758       1490551788230330 /ORD.CUST/DIEHL METALL STIFTUNG + CO. KG/EREF/0107026758/PAY.DET. //INV/100 100 2304320.3.2023"/>
    <m/>
    <m/>
    <m/>
    <m/>
    <m/>
    <m/>
    <m/>
    <m/>
    <m/>
    <m/>
    <m/>
    <m/>
    <m/>
    <m/>
    <m/>
    <m/>
    <m/>
    <m/>
    <m/>
    <m/>
    <m/>
    <m/>
    <m/>
    <m/>
    <m/>
    <m/>
    <m/>
    <m/>
    <m/>
    <m/>
  </r>
  <r>
    <s v="311 - Germany"/>
    <d v="2024-08-23T00:00:00"/>
    <s v="AUGUST"/>
    <x v="4"/>
    <x v="3"/>
    <s v="Deposited"/>
    <s v="PMT-S109-48281"/>
    <s v="IN-S109-443293"/>
    <s v="EUR"/>
    <n v="-2320.5"/>
    <n v="-2713.7089999999998"/>
    <n v="358.29599999999999"/>
    <n v="-358.29599999999999"/>
    <s v="Hiscox SA"/>
    <s v="Theresa Saal"/>
    <s v="1010659          1486323359240823 /ORD.CUST/HISCOX SA HISCOX SA/EREF/1010659"/>
    <m/>
    <m/>
    <m/>
    <m/>
    <m/>
    <m/>
    <m/>
    <m/>
    <m/>
    <m/>
    <m/>
    <m/>
    <m/>
    <m/>
    <m/>
    <m/>
    <m/>
    <m/>
    <m/>
    <m/>
    <m/>
    <m/>
    <m/>
    <m/>
    <m/>
    <m/>
    <m/>
    <m/>
    <m/>
    <m/>
  </r>
  <r>
    <s v="311 - Germany"/>
    <d v="2024-01-23T00:00:00"/>
    <s v="JANUARY"/>
    <x v="4"/>
    <x v="3"/>
    <s v="Deposited"/>
    <s v="PMT-S109-45581"/>
    <s v="IN-S109-441185"/>
    <s v="EUR"/>
    <n v="-7047.78"/>
    <n v="-8242.0259999999998"/>
    <n v="350.83499999999998"/>
    <n v="-350.83499999999998"/>
    <s v="Sedus Stoll Aktiengesellschaft / Sedus Systems GmbH"/>
    <s v="Theresa Saal"/>
    <s v="2000418044       1480226980240123 /ORD.CUST/SEDUS STOLL AG/EREF/2000418044/PAY.DET.//INV/25.12.2023 IN-S109-441185"/>
    <m/>
    <m/>
    <m/>
    <m/>
    <m/>
    <m/>
    <m/>
    <m/>
    <m/>
    <m/>
    <m/>
    <m/>
    <m/>
    <m/>
    <m/>
    <m/>
    <m/>
    <m/>
    <m/>
    <m/>
    <m/>
    <m/>
    <m/>
    <m/>
    <m/>
    <m/>
    <m/>
    <m/>
    <m/>
    <m/>
  </r>
  <r>
    <s v="311 - Germany"/>
    <d v="2026-03-03T00:00:00"/>
    <s v="MARCH"/>
    <x v="1"/>
    <x v="3"/>
    <s v="Deposited"/>
    <s v="PMT-S109-54604"/>
    <s v="IN-S109-448894"/>
    <s v="EUR"/>
    <n v="-1800"/>
    <n v="-2105.0100000000002"/>
    <n v="350.83499999999998"/>
    <n v="3332.933"/>
    <s v="Sylvie Passat"/>
    <s v="Nathalie Darmois"/>
    <s v="FACTURE IN-S109- 14995596072603 03 /ORD.CUST/MADAME PASSAT SYLVIE/EREF/FACTURE IN-S109-448819"/>
    <m/>
    <m/>
    <m/>
    <m/>
    <m/>
    <m/>
    <m/>
    <m/>
    <m/>
    <m/>
    <m/>
    <m/>
    <m/>
    <m/>
    <m/>
    <m/>
    <m/>
    <m/>
    <m/>
    <m/>
    <m/>
    <m/>
    <m/>
    <m/>
    <m/>
    <m/>
    <m/>
    <m/>
    <m/>
    <m/>
  </r>
  <r>
    <s v="311 - Germany"/>
    <d v="2024-01-18T00:00:00"/>
    <s v="JANUARY"/>
    <x v="4"/>
    <x v="3"/>
    <s v="Deposited"/>
    <s v="PMT-S109-45500"/>
    <s v="IN-S109-441259"/>
    <s v="EUR"/>
    <n v="-15827"/>
    <n v="-18508.884999999998"/>
    <n v="326.27699999999999"/>
    <n v="-3979.346"/>
    <s v="Syntegon Technology GmbH"/>
    <s v="Theresa Saal"/>
    <s v="0015001657       1480130146240118 /ORD.CUST/SYNTEGON TECHNOLOGY GMBH/EREF/0015001657/PAY.DET.//RE/I N-S109-441259 15.12.2023"/>
    <m/>
    <m/>
    <m/>
    <m/>
    <m/>
    <m/>
    <m/>
    <m/>
    <m/>
    <m/>
    <m/>
    <m/>
    <m/>
    <m/>
    <m/>
    <m/>
    <m/>
    <m/>
    <m/>
    <m/>
    <m/>
    <m/>
    <m/>
    <m/>
    <m/>
    <m/>
    <m/>
    <m/>
    <m/>
    <m/>
  </r>
  <r>
    <s v="311 - Germany"/>
    <d v="2024-01-30T00:00:00"/>
    <s v="JANUARY"/>
    <x v="4"/>
    <x v="3"/>
    <s v="Deposited"/>
    <s v="PMT-S109-45749"/>
    <s v="IN-S109-440918"/>
    <s v="EUR"/>
    <n v="-3010.7"/>
    <n v="-3520.8629999999998"/>
    <n v="326.27699999999999"/>
    <n v="-326.27699999999999"/>
    <s v="Rhenus Group Sales Services GmbH"/>
    <s v="Theresa Saal"/>
    <s v="0100000435       1480416318240130 /ORD.CUST/RH ASSETS SERV GMBHCOKG/EREF/0100000435/PAY.DET.//NR.IN S109-440918/3010,70/28.11.20 23"/>
    <m/>
    <m/>
    <m/>
    <m/>
    <m/>
    <m/>
    <m/>
    <m/>
    <m/>
    <m/>
    <m/>
    <m/>
    <m/>
    <m/>
    <m/>
    <m/>
    <m/>
    <m/>
    <m/>
    <m/>
    <m/>
    <m/>
    <m/>
    <m/>
    <m/>
    <m/>
    <m/>
    <m/>
    <m/>
    <m/>
  </r>
  <r>
    <s v="311 - Germany"/>
    <d v="2026-04-29T00:00:00"/>
    <s v="APRIL"/>
    <x v="1"/>
    <x v="3"/>
    <s v="Deposited"/>
    <s v="PMT-S109-55316"/>
    <s v="IN-S109-445849"/>
    <s v="EUR"/>
    <n v="-5936.77"/>
    <n v="-6942.7560000000003"/>
    <n v="262.85700000000003"/>
    <n v="-262.85700000000003"/>
    <s v="Urban Technology GmbH"/>
    <s v="Theresa Saal"/>
    <s v="NONREF           DE26042993041090 /ORD.CUST/URBAN TECHNOLOGY GMBH/PAY.DET./IN-S109-445806 PAYMENT P LAN"/>
    <m/>
    <m/>
    <m/>
    <m/>
    <m/>
    <m/>
    <m/>
    <m/>
    <m/>
    <m/>
    <m/>
    <m/>
    <m/>
    <m/>
    <m/>
    <m/>
    <m/>
    <m/>
    <m/>
    <m/>
    <m/>
    <m/>
    <m/>
    <m/>
    <m/>
    <m/>
    <m/>
    <m/>
    <m/>
    <m/>
  </r>
  <r>
    <s v="311 - Germany"/>
    <d v="2024-01-22T00:00:00"/>
    <s v="JANUARY"/>
    <x v="4"/>
    <x v="3"/>
    <s v="Deposited"/>
    <s v="PMT-S109-45558"/>
    <s v="IN-S109-441316"/>
    <s v="EUR"/>
    <n v="-8925"/>
    <n v="-10437.341"/>
    <n v="259.61799999999999"/>
    <n v="-259.61799999999999"/>
    <s v="Landgard Service GmbH"/>
    <s v="Theresa Saal"/>
    <s v="NONREF           1803104231240122 /OCMT/EUR8925,//PAY.BANK/DZ BANK AG/ORD.CUST/LANDGARD SERVICE GMB H/PAY.DET.//INV/IN-S109-441316 19.12.2023/ROC/0001002345"/>
    <m/>
    <m/>
    <m/>
    <m/>
    <m/>
    <m/>
    <m/>
    <m/>
    <m/>
    <m/>
    <m/>
    <m/>
    <m/>
    <m/>
    <m/>
    <m/>
    <m/>
    <m/>
    <m/>
    <m/>
    <m/>
    <m/>
    <m/>
    <m/>
    <m/>
    <m/>
    <m/>
    <m/>
    <m/>
    <m/>
  </r>
  <r>
    <s v="311 - Germany"/>
    <d v="2023-09-05T00:00:00"/>
    <s v="SEPTEMBER"/>
    <x v="3"/>
    <x v="3"/>
    <s v="Deposited"/>
    <s v="PMT-S109-43770"/>
    <s v="IN-S109-440031"/>
    <s v="EUR"/>
    <n v="-9163"/>
    <n v="-10715.67"/>
    <n v="245.58500000000001"/>
    <n v="-245.58500000000001"/>
    <s v="GEMÜ Gebr. Müller Apparatebau GmbH &amp; Co. KG"/>
    <s v="Theresa Saal"/>
    <s v="4400017412       1496034604230905 /ORD.CUST/GEMUE GEBR. MUELLER APP./EREF/4400017412/PAY.DET.//INV/ IN-S109-440031 23.8.2023"/>
    <m/>
    <m/>
    <m/>
    <m/>
    <m/>
    <m/>
    <m/>
    <m/>
    <m/>
    <m/>
    <m/>
    <m/>
    <m/>
    <m/>
    <m/>
    <m/>
    <m/>
    <m/>
    <m/>
    <m/>
    <m/>
    <m/>
    <m/>
    <m/>
    <m/>
    <m/>
    <m/>
    <m/>
    <m/>
    <m/>
  </r>
  <r>
    <s v="311 - Germany"/>
    <d v="2024-11-07T00:00:00"/>
    <s v="NOVEMBER"/>
    <x v="4"/>
    <x v="3"/>
    <s v="Deposited"/>
    <s v="PMT-S109-48996"/>
    <s v="IN-S109-444095"/>
    <s v="EUR"/>
    <n v="-7425"/>
    <n v="-8683.1659999999993"/>
    <n v="210.501"/>
    <n v="-210.501"/>
    <s v="Nitidis"/>
    <s v=""/>
    <s v="ZZ1H2VLPWD7J9W06 14884436082411 07 /ORD.CUST/NITIDIS/EREF/ZZ1H2VLPWD7J9W06P/PAY.DET./FACTURE IN-S109 444095 ABONNEMENT A NNUEL VEILLE MELTWATER"/>
    <m/>
    <m/>
    <m/>
    <m/>
    <m/>
    <m/>
    <m/>
    <m/>
    <m/>
    <m/>
    <m/>
    <m/>
    <m/>
    <m/>
    <m/>
    <m/>
    <m/>
    <m/>
    <m/>
    <m/>
    <m/>
    <m/>
    <m/>
    <m/>
    <m/>
    <m/>
    <m/>
    <m/>
    <m/>
    <m/>
  </r>
  <r>
    <s v="311 - Germany"/>
    <d v="2025-05-14T00:00:00"/>
    <s v="MAY"/>
    <x v="0"/>
    <x v="3"/>
    <s v="Deposited"/>
    <s v="PMT-S109-51339"/>
    <s v=""/>
    <s v="EUR"/>
    <n v="-160.55000000000001"/>
    <n v="-187.755"/>
    <n v="187.755"/>
    <n v="-187.755"/>
    <s v="Alpine Bau GmbH (AUT)"/>
    <s v="Theresa Saal"/>
    <s v="3586228          1493246099250514 /ORD.CUST/AKV EUROPA/EREF/3586228/PAY.DET./37030/205080879,160,5 5 EUR Q /. RATE 2.5 O/O,ALPINE BAU GMBH,5 S 80/13V"/>
    <m/>
    <m/>
    <m/>
    <m/>
    <m/>
    <m/>
    <m/>
    <m/>
    <m/>
    <m/>
    <m/>
    <m/>
    <m/>
    <m/>
    <m/>
    <m/>
    <m/>
    <m/>
    <m/>
    <m/>
    <m/>
    <m/>
    <m/>
    <m/>
    <m/>
    <m/>
    <m/>
    <m/>
    <m/>
    <m/>
  </r>
  <r>
    <s v="311 - Germany"/>
    <d v="2023-10-18T00:00:00"/>
    <s v="OCTOBER"/>
    <x v="3"/>
    <x v="3"/>
    <s v="Deposited"/>
    <s v="PMT-S109-44191"/>
    <s v="IN-S109-439800"/>
    <s v="EUR"/>
    <n v="-9048.76"/>
    <n v="-10582.072"/>
    <n v="175.41800000000001"/>
    <n v="-175.41800000000001"/>
    <s v="Vodafone Institut für Gesellschaft und Kommunikation GmbH"/>
    <s v="Theresa Saal"/>
    <s v="IN-S109-439800 1 14972846572310 18 /ORD.CUST/VODAFONE INSTITUT FUR GESELLSCHAFT UND KOMMUNIKATION GM BH/EREF/IN-S109-439800 17.7.2023 IN-S109-43/PAY.DET./IN-S109-4398 00-IN-S109-439800"/>
    <m/>
    <m/>
    <m/>
    <m/>
    <m/>
    <m/>
    <m/>
    <m/>
    <m/>
    <m/>
    <m/>
    <m/>
    <m/>
    <m/>
    <m/>
    <m/>
    <m/>
    <m/>
    <m/>
    <m/>
    <m/>
    <m/>
    <m/>
    <m/>
    <m/>
    <m/>
    <m/>
    <m/>
    <m/>
    <m/>
  </r>
  <r>
    <s v="311 - Germany"/>
    <d v="2024-01-04T00:00:00"/>
    <s v="JANUARY"/>
    <x v="4"/>
    <x v="3"/>
    <s v="Deposited"/>
    <s v="PMT-S109-45218"/>
    <s v="IN-S109-441405"/>
    <s v="EUR"/>
    <n v="-6188"/>
    <n v="-7236.5569999999998"/>
    <n v="175.41800000000001"/>
    <n v="-175.41800000000001"/>
    <s v="medac GmbH"/>
    <s v="Theresa Saal"/>
    <s v="ZAHL.BELEG. 0000 14997362412401 04 /ORD.CUST/MEDAC GESELLSCHAFT FUER KLINISCHE/EREF/ZAHL.BELEG. 0000 022321/PAY.DET./RE. IN-S109-441405 6.188,00"/>
    <m/>
    <m/>
    <m/>
    <m/>
    <m/>
    <m/>
    <m/>
    <m/>
    <m/>
    <m/>
    <m/>
    <m/>
    <m/>
    <m/>
    <m/>
    <m/>
    <m/>
    <m/>
    <m/>
    <m/>
    <m/>
    <m/>
    <m/>
    <m/>
    <m/>
    <m/>
    <m/>
    <m/>
    <m/>
    <m/>
  </r>
  <r>
    <s v="311 - Germany"/>
    <d v="2023-09-07T00:00:00"/>
    <s v="SEPTEMBER"/>
    <x v="3"/>
    <x v="3"/>
    <s v="Deposited"/>
    <s v="PMT-S109-43785"/>
    <s v="IN-S109-439953"/>
    <s v="EUR"/>
    <n v="-4879"/>
    <n v="-5705.7470000000003"/>
    <n v="134.19399999999999"/>
    <n v="-134.19399999999999"/>
    <s v="united communications GmbH"/>
    <s v="Theresa Saal"/>
    <s v="NONREF           1496081826230907 /ORD.CUST/UNITED/PAY.DET./IN-S109-439953"/>
    <m/>
    <m/>
    <m/>
    <m/>
    <m/>
    <m/>
    <m/>
    <m/>
    <m/>
    <m/>
    <m/>
    <m/>
    <m/>
    <m/>
    <m/>
    <m/>
    <m/>
    <m/>
    <m/>
    <m/>
    <m/>
    <m/>
    <m/>
    <m/>
    <m/>
    <m/>
    <m/>
    <m/>
    <m/>
    <m/>
  </r>
  <r>
    <s v="311 - Germany"/>
    <d v="2026-05-04T00:00:00"/>
    <s v="MAY"/>
    <x v="1"/>
    <x v="3"/>
    <s v="Deposited"/>
    <s v="PMT-S109-55375"/>
    <s v=""/>
    <s v="EUR"/>
    <n v="-80.25"/>
    <n v="-93.847999999999999"/>
    <n v="93.847999999999999"/>
    <n v="-32386.678"/>
    <s v="DUMMY CUSTOMER_CASHAPPS 311 - Germany"/>
    <s v="Theresa Saal"/>
    <s v="IC/961045,NONREF,NONREF           IC/961045 ABSCHLUSSPERIODE/CLOSING PERIOD 31.03.26 - 30.04.26 KONTO/ACCOUNT 1/4530/029 DETAILS SIEHE KONTOABSCHLUSSMITTEILUNG. FOR DETAILS SEE STATEMENT OF INTEREST AND CHARGES."/>
    <m/>
    <m/>
    <m/>
    <m/>
    <m/>
    <m/>
    <m/>
    <m/>
    <m/>
    <m/>
    <m/>
    <m/>
    <m/>
    <m/>
    <m/>
    <m/>
    <m/>
    <m/>
    <m/>
    <m/>
    <m/>
    <m/>
    <m/>
    <m/>
    <m/>
    <m/>
    <m/>
    <m/>
    <m/>
    <m/>
  </r>
  <r>
    <s v="311 - Germany"/>
    <d v="2024-11-05T00:00:00"/>
    <s v="NOVEMBER"/>
    <x v="4"/>
    <x v="3"/>
    <s v="Deposited"/>
    <s v="PMT-S109-48958"/>
    <s v="IN-S109-443975"/>
    <s v="EUR"/>
    <n v="-57200"/>
    <n v="-66892.539999999994"/>
    <n v="93.555999999999997"/>
    <n v="-93.555999999999997"/>
    <s v="Two Circles GmbH"/>
    <s v="Amy Tyler"/>
    <s v="NONREF           1488401149241105 /ORD.CUST/TWO CIRCLES LIMITED/PAY.DET./TWO CIRCLES"/>
    <m/>
    <m/>
    <m/>
    <m/>
    <m/>
    <m/>
    <m/>
    <m/>
    <m/>
    <m/>
    <m/>
    <m/>
    <m/>
    <m/>
    <m/>
    <m/>
    <m/>
    <m/>
    <m/>
    <m/>
    <m/>
    <m/>
    <m/>
    <m/>
    <m/>
    <m/>
    <m/>
    <m/>
    <m/>
    <m/>
  </r>
  <r>
    <s v="311 - Germany"/>
    <d v="2024-01-05T00:00:00"/>
    <s v="JANUARY"/>
    <x v="4"/>
    <x v="3"/>
    <s v="Deposited"/>
    <s v="PMT-S109-45243"/>
    <s v="IN-S109-441110"/>
    <s v="EUR"/>
    <n v="-4105.5"/>
    <n v="-4801.1769999999997"/>
    <n v="87.709000000000003"/>
    <n v="-87.709000000000003"/>
    <s v="Deutsches Jugendherbergswerk Landesverband Mecklenburg-Vorpommern e.V."/>
    <s v="Theresa Saal"/>
    <s v="21320000         1499740458240104 /ORD.CUST/DEUTSCHES JUGENDHERBERGSWERK LANDES VERBAND MECKLENBURG VORPOMMERN E.V./EREF/21320000/PAY.DET./IN-S109-441110"/>
    <m/>
    <m/>
    <m/>
    <m/>
    <m/>
    <m/>
    <m/>
    <m/>
    <m/>
    <m/>
    <m/>
    <m/>
    <m/>
    <m/>
    <m/>
    <m/>
    <m/>
    <m/>
    <m/>
    <m/>
    <m/>
    <m/>
    <m/>
    <m/>
    <m/>
    <m/>
    <m/>
    <m/>
    <m/>
    <m/>
  </r>
  <r>
    <s v="311 - Germany"/>
    <d v="2024-01-25T00:00:00"/>
    <s v="JANUARY"/>
    <x v="4"/>
    <x v="3"/>
    <s v="Deposited"/>
    <s v="PMT-S109-45627"/>
    <s v="IN-S109-441107"/>
    <s v="EUR"/>
    <n v="-4373.25"/>
    <n v="-5114.2969999999996"/>
    <n v="84.411000000000001"/>
    <n v="-84.411000000000001"/>
    <s v="B. Braun Familienholding SE &amp; Co. KG"/>
    <s v="Theresa Saal"/>
    <s v="0098126974       1480298072240125 /ORD.CUST/B. BRAUN SE/EREF/0098126974/PAY.DET./ON BEHALF BIBLIOME D MEDIZINISCHENR. IN-S109-441107/05.12.2023/"/>
    <m/>
    <m/>
    <m/>
    <m/>
    <m/>
    <m/>
    <m/>
    <m/>
    <m/>
    <m/>
    <m/>
    <m/>
    <m/>
    <m/>
    <m/>
    <m/>
    <m/>
    <m/>
    <m/>
    <m/>
    <m/>
    <m/>
    <m/>
    <m/>
    <m/>
    <m/>
    <m/>
    <m/>
    <m/>
    <m/>
  </r>
  <r>
    <s v="311 - Germany"/>
    <d v="2024-01-22T00:00:00"/>
    <s v="JANUARY"/>
    <x v="4"/>
    <x v="3"/>
    <s v="Deposited"/>
    <s v="PMT-S109-45548"/>
    <s v="IN-S109-441205"/>
    <s v="EUR"/>
    <n v="-2018.54"/>
    <n v="-2360.5819999999999"/>
    <n v="84.2"/>
    <n v="-84.2"/>
    <s v="TECHART Automobildesign GmbH"/>
    <s v="Theresa Saal"/>
    <s v="2401220838-00000 14802025582401 22 /ORD.CUST/TECHART AUTOMOBILDESIGN GMBH/EREF/2401220838-0000005/PA Y.DET./RNR IN-S109-441205 BETRAG 2.018,54 KTO. 79604 6929"/>
    <m/>
    <m/>
    <m/>
    <m/>
    <m/>
    <m/>
    <m/>
    <m/>
    <m/>
    <m/>
    <m/>
    <m/>
    <m/>
    <m/>
    <m/>
    <m/>
    <m/>
    <m/>
    <m/>
    <m/>
    <m/>
    <m/>
    <m/>
    <m/>
    <m/>
    <m/>
    <m/>
    <m/>
    <m/>
    <m/>
  </r>
  <r>
    <s v="311 - Germany"/>
    <d v="2023-10-13T00:00:00"/>
    <s v="OCTOBER"/>
    <x v="3"/>
    <x v="3"/>
    <s v="Deposited"/>
    <s v="PMT-S109-44152"/>
    <s v=""/>
    <s v="EUR"/>
    <n v="-68.41"/>
    <n v="-80.001999999999995"/>
    <n v="80.001999999999995"/>
    <n v="-80.001999999999995"/>
    <s v="INSTITUT NATIONAL DES SCIENCES ET INDUSTRIES DU VIVANT ET DE L'ENVIRONNEMENT (AGROP"/>
    <s v=""/>
    <s v="1D0750000-2023AG 1497127268231013 /ORD.CUST/DRFIP ILE DE FRANCE ET DE PARIS/EREF/1D0750000-2023AGPO RP-MDT0013442-000/PAY.DET./I MORATOIRES F. IN-S109-439818DU 19 /0 7/2023 DP 2023/AGP/ORP/0012039 PJ . 1 CERTIFICAT ADMINISTRATIF."/>
    <m/>
    <m/>
    <m/>
    <m/>
    <m/>
    <m/>
    <m/>
    <m/>
    <m/>
    <m/>
    <m/>
    <m/>
    <m/>
    <m/>
    <m/>
    <m/>
    <m/>
    <m/>
    <m/>
    <m/>
    <m/>
    <m/>
    <m/>
    <m/>
    <m/>
    <m/>
    <m/>
    <m/>
    <m/>
    <m/>
  </r>
  <r>
    <s v="321 - UK"/>
    <d v="2024-02-14T00:00:00"/>
    <s v="FEBRUARY"/>
    <x v="4"/>
    <x v="3"/>
    <s v="Deposited"/>
    <s v="PMT-S104-42510"/>
    <s v=""/>
    <s v="GBP"/>
    <n v="-20447.810000000001"/>
    <n v="-27610.269"/>
    <n v="27610.269"/>
    <n v="-58417.703999999998"/>
    <s v="DUMMY CUSTOMER_CASHAPPS 321 - UK"/>
    <s v="Amy Tyler"/>
    <s v="I W G     S /SREF/226620"/>
    <m/>
    <m/>
    <m/>
    <m/>
    <m/>
    <m/>
    <m/>
    <m/>
    <m/>
    <m/>
    <m/>
    <m/>
    <m/>
    <m/>
    <m/>
    <m/>
    <m/>
    <m/>
    <m/>
    <m/>
    <m/>
    <m/>
    <m/>
    <m/>
    <m/>
    <m/>
    <m/>
    <m/>
    <m/>
    <m/>
  </r>
  <r>
    <s v="321 - UK"/>
    <d v="2023-09-15T00:00:00"/>
    <s v="SEPTEMBER"/>
    <x v="3"/>
    <x v="3"/>
    <s v="Deposited"/>
    <s v="PMT-S104-40759"/>
    <s v=""/>
    <s v="GBP"/>
    <n v="-10618.95"/>
    <n v="-14338.556"/>
    <n v="14338.556"/>
    <n v="-58417.703999999998"/>
    <s v="DUMMY CUSTOMER_CASHAPPS 321 - UK"/>
    <s v="Amy Tyler"/>
    <s v="ACH CONCENTRATION CREDIT ACH CASH CONCENTRATION PRIORITY PASS IN-PAYMENTS Priority PAYMENTS PM20"/>
    <m/>
    <m/>
    <m/>
    <m/>
    <m/>
    <m/>
    <m/>
    <m/>
    <m/>
    <m/>
    <m/>
    <m/>
    <m/>
    <m/>
    <m/>
    <m/>
    <m/>
    <m/>
    <m/>
    <m/>
    <m/>
    <m/>
    <m/>
    <m/>
    <m/>
    <m/>
    <m/>
    <m/>
    <m/>
    <m/>
  </r>
  <r>
    <s v="321 - UK"/>
    <d v="2022-10-12T00:00:00"/>
    <s v="OCTOBER"/>
    <x v="2"/>
    <x v="3"/>
    <s v="Deposited"/>
    <s v="PMT-S104-36577"/>
    <s v="IN-S104-430746"/>
    <s v="USD"/>
    <n v="-55212.34"/>
    <n v="-65286.038"/>
    <n v="8114.4"/>
    <n v="-8114.4"/>
    <s v="BLJ Worldwide"/>
    <s v="Manar Sultan"/>
    <s v=""/>
    <m/>
    <m/>
    <m/>
    <m/>
    <m/>
    <m/>
    <m/>
    <m/>
    <m/>
    <m/>
    <m/>
    <m/>
    <m/>
    <m/>
    <m/>
    <m/>
    <m/>
    <m/>
    <m/>
    <m/>
    <m/>
    <m/>
    <m/>
    <m/>
    <m/>
    <m/>
    <m/>
    <m/>
    <m/>
    <m/>
  </r>
  <r>
    <s v="321 - UK"/>
    <d v="2025-09-04T00:00:00"/>
    <s v="SEPTEMBER"/>
    <x v="0"/>
    <x v="3"/>
    <s v="Deposited"/>
    <s v="PMT-S104-48463"/>
    <s v="IN-S104-439730"/>
    <s v="EUR"/>
    <n v="-60079.32"/>
    <n v="-68872.097999999998"/>
    <n v="8047.25"/>
    <n v="-8047.25"/>
    <s v="Heineken UK Limited"/>
    <s v="Georgia Albutt-392"/>
    <s v="/REMI//URI/NO.IN-S104-439730/16 .6.2025/////ROC/2000027305 FRE0409 5G6MMEVGJ /INS/BNPAFRPPXXX/OCMT/EUR60079,32//BENM/GB84HBUK4011603 1212125 Meltwater (UK) Limited/EXCH/1.1778920//ORDP/1/HEINEKEN UK LIMITED NL84BNPA0227992385 2/3-4 BROADWAY PARK 2/SOUTH G/OBK/BNP ANL2AXXX BNP PARIBAS S.A. - THE NETHERLANDS HERENGRACHT 595 AMSTE RDAM/TMS/2025-09-04T09:04:32 GMT/MID/1.15470908"/>
    <m/>
    <m/>
    <m/>
    <m/>
    <m/>
    <m/>
    <m/>
    <m/>
    <m/>
    <m/>
    <m/>
    <m/>
    <m/>
    <m/>
    <m/>
    <m/>
    <m/>
    <m/>
    <m/>
    <m/>
    <m/>
    <m/>
    <m/>
    <m/>
    <m/>
    <m/>
    <m/>
    <m/>
    <m/>
    <m/>
  </r>
  <r>
    <s v="321 - UK"/>
    <d v="2022-12-19T00:00:00"/>
    <s v="DECEMBER"/>
    <x v="2"/>
    <x v="3"/>
    <s v="Deposited"/>
    <s v="PMT-S104-37407"/>
    <s v="IN-S104-429650"/>
    <s v="GBP"/>
    <n v="-6711.25"/>
    <n v="-9062.0669999999991"/>
    <n v="7431.6850000000004"/>
    <n v="-9062.0669999999991"/>
    <s v="Theo Fennell Limited"/>
    <s v="Amy Tyler"/>
    <s v=""/>
    <m/>
    <m/>
    <m/>
    <m/>
    <m/>
    <m/>
    <m/>
    <m/>
    <m/>
    <m/>
    <m/>
    <m/>
    <m/>
    <m/>
    <m/>
    <m/>
    <m/>
    <m/>
    <m/>
    <m/>
    <m/>
    <m/>
    <m/>
    <m/>
    <m/>
    <m/>
    <m/>
    <m/>
    <m/>
    <m/>
  </r>
  <r>
    <s v="321 - UK"/>
    <d v="2024-09-06T00:00:00"/>
    <s v="SEPTEMBER"/>
    <x v="4"/>
    <x v="3"/>
    <s v="Deposited"/>
    <s v="PMT-S104-44863"/>
    <s v=""/>
    <s v="GBP"/>
    <n v="-5384.29"/>
    <n v="-7270.299"/>
    <n v="7270.299"/>
    <n v="-58417.703999999998"/>
    <s v="DUMMY CUSTOMER_CASHAPPS 321 - UK"/>
    <s v="Amy Tyler"/>
    <s v="LAMBERT SCHROER /SREF/234790"/>
    <m/>
    <m/>
    <m/>
    <m/>
    <m/>
    <m/>
    <m/>
    <m/>
    <m/>
    <m/>
    <m/>
    <m/>
    <m/>
    <m/>
    <m/>
    <m/>
    <m/>
    <m/>
    <m/>
    <m/>
    <m/>
    <m/>
    <m/>
    <m/>
    <m/>
    <m/>
    <m/>
    <m/>
    <m/>
    <m/>
  </r>
  <r>
    <s v="321 - UK"/>
    <d v="2026-04-30T00:00:00"/>
    <s v="APRIL"/>
    <x v="1"/>
    <x v="3"/>
    <s v="Deposited"/>
    <s v="PMT-S104-51044"/>
    <s v=""/>
    <s v="USD"/>
    <n v="-7290"/>
    <n v="-7152.393"/>
    <n v="7152.393"/>
    <n v="-7152.393"/>
    <s v="AFRODAD (African Forum &amp; Network on Debt Development)"/>
    <s v="Georgia Albutt-392"/>
    <s v="/REMI//URI/AFRODAD MELTWATER IN- S104-435161///ROC/OT26117ZW014101 7 S06611922E2601 /INS/SBZAZAJJ/OCMT/USD7290,00//BENM/GB84HBUK4011 6031212125 Meltwater (UK) Limited/EXCH/1.3762573//ORDP/AFRODAD 91 40000882177 31 ATKINSON DRIVE HILLSIDE/OBK/SBICZWHXXXX STANBIC BA NK ZIMBABWE LIMITED OTTOMAN HOUSE 59 SAMORA MACHEL AVENUE H/TMS/2 026-04-30T05:12:48 GMT/MID/1.34655650"/>
    <m/>
    <m/>
    <m/>
    <m/>
    <m/>
    <m/>
    <m/>
    <m/>
    <m/>
    <m/>
    <m/>
    <m/>
    <m/>
    <m/>
    <m/>
    <m/>
    <m/>
    <m/>
    <m/>
    <m/>
    <m/>
    <m/>
    <m/>
    <m/>
    <m/>
    <m/>
    <m/>
    <m/>
    <m/>
    <m/>
  </r>
  <r>
    <s v="321 - UK"/>
    <d v="2025-12-10T00:00:00"/>
    <s v="DECEMBER"/>
    <x v="0"/>
    <x v="3"/>
    <s v="Not Deposited"/>
    <s v="PMT-S104-49427"/>
    <s v=""/>
    <s v="USD"/>
    <n v="-6942"/>
    <n v="-6714.875"/>
    <n v="6714.875"/>
    <n v="-6714.875"/>
    <s v="WWF Kenya"/>
    <s v="Jan Sutherland"/>
    <s v="Check PMT-S104-47885    REMI//URI/PO 13332///ROC/667991 5184FS 6679915184FS/OCMT/USD6942 00//BENM/GB84HBUK40116031212125 Meltwater (UK) Limited/EXCH/1.395 9532//ORDP/1/WORLD WIDE FUND FOR NATURE 7881820049 2/THE MVULI HS E MVULI RD OFF R/OBK/CBAFKENX NCBA BANK KENYA PLC NCBA CENTRE MAR A AND RAGATI ROAD NAIROBI/TMS/2025-07-03T11:38:29 GMT/MID/1.36584 220"/>
    <m/>
    <m/>
    <m/>
    <m/>
    <m/>
    <m/>
    <m/>
    <m/>
    <m/>
    <m/>
    <m/>
    <m/>
    <m/>
    <m/>
    <m/>
    <m/>
    <m/>
    <m/>
    <m/>
    <m/>
    <m/>
    <m/>
    <m/>
    <m/>
    <m/>
    <m/>
    <m/>
    <m/>
    <m/>
    <m/>
  </r>
  <r>
    <s v="321 - UK"/>
    <d v="2022-12-28T00:00:00"/>
    <s v="DECEMBER"/>
    <x v="2"/>
    <x v="3"/>
    <s v="Deposited"/>
    <s v="PMT-S104-37568"/>
    <s v="IN-S104-431830"/>
    <s v="GBP"/>
    <n v="-13661.38"/>
    <n v="-18446.687999999998"/>
    <n v="6293.4930000000004"/>
    <n v="-6293.4930000000004"/>
    <s v="Magen David Adom"/>
    <s v="Amy Tyler"/>
    <s v="/REMI//RFB/INV(S) 104431830 PE T424767360/OCMT/GBP13661,38//BENM/G B84HBUK40116031212125 Meltwater (UK) Limited/EXCH/000000000000//O RDP/MAGEN DAVID ADOM IN ISRAEL 15100012300 60 YIGAL ALON STREET T EL-AVIV 6/OBK/IDBLILITXXX ISRAEL DISCOUNT BANK LTD. 27-31,YEHUD A HALEVI STREET TEL AVIV"/>
    <m/>
    <m/>
    <m/>
    <m/>
    <m/>
    <m/>
    <m/>
    <m/>
    <m/>
    <m/>
    <m/>
    <m/>
    <m/>
    <m/>
    <m/>
    <m/>
    <m/>
    <m/>
    <m/>
    <m/>
    <m/>
    <m/>
    <m/>
    <m/>
    <m/>
    <m/>
    <m/>
    <m/>
    <m/>
    <m/>
  </r>
  <r>
    <s v="321 - UK"/>
    <d v="2024-07-03T00:00:00"/>
    <s v="JULY"/>
    <x v="4"/>
    <x v="3"/>
    <s v="Deposited"/>
    <s v="PMT-S104-44187"/>
    <s v=""/>
    <s v="GBP"/>
    <n v="-4119.6000000000004"/>
    <n v="-5562.6130000000003"/>
    <n v="5562.6130000000003"/>
    <n v="-5562.6130000000003"/>
    <s v="CHURCH ARMY(THE)"/>
    <s v="Amy Tyler"/>
    <s v="/REMI/PET126096184 /ACC/RTN/YRS DT 02/07/2024         //TRN CM-S1 04-4893                 //RSN ACCOUNT FORMAT INVALID FOR NC//C/OC MT/GBP4119,60//BENM/40116031212125 Meltwater (UK) Limited/EXCH/00 0000000000//ORDP/THE CHURCH ARMY/OBK/BUKBGB22XXX BARCLAYS BANK UK PLC 1 CHURCHILL PLACE LONDON"/>
    <m/>
    <m/>
    <m/>
    <m/>
    <m/>
    <m/>
    <m/>
    <m/>
    <m/>
    <m/>
    <m/>
    <m/>
    <m/>
    <m/>
    <m/>
    <m/>
    <m/>
    <m/>
    <m/>
    <m/>
    <m/>
    <m/>
    <m/>
    <m/>
    <m/>
    <m/>
    <m/>
    <m/>
    <m/>
    <m/>
  </r>
  <r>
    <s v="321 - UK"/>
    <d v="2024-07-01T00:00:00"/>
    <s v="JULY"/>
    <x v="4"/>
    <x v="3"/>
    <s v="Deposited"/>
    <s v="PMT-S104-44142"/>
    <s v=""/>
    <s v="GBP"/>
    <n v="-2475"/>
    <n v="-3341.9430000000002"/>
    <n v="3341.9430000000002"/>
    <n v="-3341.9430000000002"/>
    <s v="Som.X Limited"/>
    <s v="Amy Tyler"/>
    <s v="SOM.X LTD SW FP460A4108707372 /ROC/IN-S104-437097 /FPID/RP46799645691600001020240701826200026"/>
    <m/>
    <m/>
    <m/>
    <m/>
    <m/>
    <m/>
    <m/>
    <m/>
    <m/>
    <m/>
    <m/>
    <m/>
    <m/>
    <m/>
    <m/>
    <m/>
    <m/>
    <m/>
    <m/>
    <m/>
    <m/>
    <m/>
    <m/>
    <m/>
    <m/>
    <m/>
    <m/>
    <m/>
    <m/>
    <m/>
  </r>
  <r>
    <s v="321 - UK"/>
    <d v="2023-05-04T00:00:00"/>
    <s v="MAY"/>
    <x v="3"/>
    <x v="3"/>
    <s v="Deposited"/>
    <s v="PMT-S104-39097"/>
    <s v=""/>
    <s v="GBP"/>
    <n v="-2173.44"/>
    <n v="-2934.7530000000002"/>
    <n v="2934.7530000000002"/>
    <n v="-58417.703999999998"/>
    <s v="DUMMY CUSTOMER_CASHAPPS 321 - UK"/>
    <s v="Amy Tyler"/>
    <s v="BNP PARIBAS LEASIN FP343E0603480528 /ROC/Z0064052 CONTRACT /FPID/73197575405168F5SW9320230504826400250"/>
    <m/>
    <m/>
    <m/>
    <m/>
    <m/>
    <m/>
    <m/>
    <m/>
    <m/>
    <m/>
    <m/>
    <m/>
    <m/>
    <m/>
    <m/>
    <m/>
    <m/>
    <m/>
    <m/>
    <m/>
    <m/>
    <m/>
    <m/>
    <m/>
    <m/>
    <m/>
    <m/>
    <m/>
    <m/>
    <m/>
  </r>
  <r>
    <s v="321 - UK"/>
    <d v="2023-02-17T00:00:00"/>
    <s v="FEBRUARY"/>
    <x v="3"/>
    <x v="3"/>
    <s v="Deposited"/>
    <s v="PMT-S104-38175"/>
    <s v="IN-S104-433221"/>
    <s v="GBP"/>
    <n v="-12022.56"/>
    <n v="-16233.822"/>
    <n v="2817.44"/>
    <n v="-2817.44"/>
    <s v="METALLON CORPORATION LIMITED"/>
    <s v="Amy Tyler"/>
    <s v="SJCS RE METALLON FP311D2009734860 /EREF/METALLON /ROC/METALLON /FPID/BX23020262115385001020230202826200026"/>
    <m/>
    <m/>
    <m/>
    <m/>
    <m/>
    <m/>
    <m/>
    <m/>
    <m/>
    <m/>
    <m/>
    <m/>
    <m/>
    <m/>
    <m/>
    <m/>
    <m/>
    <m/>
    <m/>
    <m/>
    <m/>
    <m/>
    <m/>
    <m/>
    <m/>
    <m/>
    <m/>
    <m/>
    <m/>
    <m/>
  </r>
  <r>
    <s v="321 - UK"/>
    <d v="2023-06-12T00:00:00"/>
    <s v="JUNE"/>
    <x v="3"/>
    <x v="3"/>
    <s v="Deposited"/>
    <s v="PMT-S104-39619"/>
    <s v=""/>
    <s v="GBP"/>
    <n v="-2030.14"/>
    <n v="-2741.2570000000001"/>
    <n v="2741.2570000000001"/>
    <n v="-58417.703999999998"/>
    <s v="DUMMY CUSTOMER_CASHAPPS 321 - UK"/>
    <s v="Amy Tyler"/>
    <s v="CMS CAMERON MCKENN FP35B34557831697 /REMI/KANR/164753.00003 /ROC/KANR/164753.00003 /FPID/31030017930584000R4020230612826151000"/>
    <m/>
    <m/>
    <m/>
    <m/>
    <m/>
    <m/>
    <m/>
    <m/>
    <m/>
    <m/>
    <m/>
    <m/>
    <m/>
    <m/>
    <m/>
    <m/>
    <m/>
    <m/>
    <m/>
    <m/>
    <m/>
    <m/>
    <m/>
    <m/>
    <m/>
    <m/>
    <m/>
    <m/>
    <m/>
    <m/>
  </r>
  <r>
    <s v="321 - UK"/>
    <d v="2024-11-28T00:00:00"/>
    <s v="NOVEMBER"/>
    <x v="4"/>
    <x v="3"/>
    <s v="Deposited"/>
    <s v="PMT-S104-45622"/>
    <s v="IN-S104-437575"/>
    <s v="USD"/>
    <n v="-9232.89"/>
    <n v="-9821.9369999999999"/>
    <n v="2083.86"/>
    <n v="-2083.86"/>
    <s v="DrugStoc"/>
    <s v="Georgia Albutt-392"/>
    <s v="/REMI//RFB/INTERNATIONAL MEDIA SERVICES B185008377846329/OCMT/GBP 7274,00//BENM/GB84HBUK40116031212125 Meltwater (UK) Limited/EXCH/ 000000000000//ORDP/DRUGSTOC EHUB LIMITED 5070882064 3 BILLINGS WA Y IKEJA 7 ARTCOURT ESTAT/OBK/ZEIBNGLAXXX ZENITH BANK PLC 87 AJOSE ADEOGUN STREET ZENITH HEIGHTS VICTORIA ISLAN"/>
    <m/>
    <m/>
    <m/>
    <m/>
    <m/>
    <m/>
    <m/>
    <m/>
    <m/>
    <m/>
    <m/>
    <m/>
    <m/>
    <m/>
    <m/>
    <m/>
    <m/>
    <m/>
    <m/>
    <m/>
    <m/>
    <m/>
    <m/>
    <m/>
    <m/>
    <m/>
    <m/>
    <m/>
    <m/>
    <m/>
  </r>
  <r>
    <s v="321 - UK"/>
    <d v="2023-12-22T00:00:00"/>
    <s v="DECEMBER"/>
    <x v="3"/>
    <x v="3"/>
    <s v="Deposited"/>
    <s v="PMT-S104-41822"/>
    <s v="IN-S104-434751"/>
    <s v="USD"/>
    <n v="-4800"/>
    <n v="-4998.2640000000001"/>
    <n v="1832.6949999999999"/>
    <n v="-1832.6949999999999"/>
    <s v="World Wildlife Fund (WWF) Zambia"/>
    <s v="Jan Sutherland"/>
    <s v="/REMI/28901 MANAGEMENT CONSULTING SE RVICES     FULL CONSULTANCY PAYMENT           40000105-2020-S01/A DD N3 S0633562CF/OCMT/USD4800,00//BENM/GB84HBUK40116031212125 Mel twater (UK) Limited/EXCH/1.2967201//ORDP/WORLD WIDE FUND FOR NATU RE ZAMBIA 0251413004 PLOT 4978,LOS ANGELES BOU/OBK/CITIZMLUXXX CI TIBANK ZAMBIA LTD CITIBANK HOUSE STAND 4646 ADDIS ABABA ROUNDABOU T/TMS/2023-12-22T06:33:11 GMT/MID/1.26872420"/>
    <m/>
    <m/>
    <m/>
    <m/>
    <m/>
    <m/>
    <m/>
    <m/>
    <m/>
    <m/>
    <m/>
    <m/>
    <m/>
    <m/>
    <m/>
    <m/>
    <m/>
    <m/>
    <m/>
    <m/>
    <m/>
    <m/>
    <m/>
    <m/>
    <m/>
    <m/>
    <m/>
    <m/>
    <m/>
    <m/>
  </r>
  <r>
    <s v="321 - UK"/>
    <d v="2022-12-29T00:00:00"/>
    <s v="DECEMBER"/>
    <x v="2"/>
    <x v="3"/>
    <s v="Deposited"/>
    <s v="PMT-S104-37583"/>
    <s v=""/>
    <s v="GBP"/>
    <n v="-1207.44"/>
    <n v="-1630.3820000000001"/>
    <n v="1630.3820000000001"/>
    <n v="-9062.0669999999991"/>
    <s v="Theo Fennell Limited"/>
    <s v="Amy Tyler"/>
    <s v="CMC WORLDWID LTD FP2BSC3904291371 /ROC/S104-429650/345197 /FPID/RP46799616571360001020221229826200026"/>
    <m/>
    <m/>
    <m/>
    <m/>
    <m/>
    <m/>
    <m/>
    <m/>
    <m/>
    <m/>
    <m/>
    <m/>
    <m/>
    <m/>
    <m/>
    <m/>
    <m/>
    <m/>
    <m/>
    <m/>
    <m/>
    <m/>
    <m/>
    <m/>
    <m/>
    <m/>
    <m/>
    <m/>
    <m/>
    <m/>
  </r>
  <r>
    <s v="321 - UK"/>
    <d v="2024-01-19T00:00:00"/>
    <s v="JANUARY"/>
    <x v="4"/>
    <x v="3"/>
    <s v="Deposited"/>
    <s v="PMT-S104-42133"/>
    <s v="IN-S104-435599"/>
    <s v="GBP"/>
    <n v="-4761.2"/>
    <n v="-6428.9530000000004"/>
    <n v="1606.8330000000001"/>
    <n v="-1606.8330000000001"/>
    <s v="Bryanston School"/>
    <s v="Amy Tyler"/>
    <s v="BRYANSTON SCHOOL /SREF/239921"/>
    <m/>
    <m/>
    <m/>
    <m/>
    <m/>
    <m/>
    <m/>
    <m/>
    <m/>
    <m/>
    <m/>
    <m/>
    <m/>
    <m/>
    <m/>
    <m/>
    <m/>
    <m/>
    <m/>
    <m/>
    <m/>
    <m/>
    <m/>
    <m/>
    <m/>
    <m/>
    <m/>
    <m/>
    <m/>
    <m/>
  </r>
  <r>
    <s v="321 - UK"/>
    <d v="2023-09-11T00:00:00"/>
    <s v="SEPTEMBER"/>
    <x v="3"/>
    <x v="3"/>
    <s v="Deposited"/>
    <s v="PMT-S104-40569"/>
    <s v=""/>
    <s v="GBP"/>
    <n v="-1038"/>
    <n v="-1401.5909999999999"/>
    <n v="1401.5909999999999"/>
    <n v="-58417.703999999998"/>
    <s v="DUMMY CUSTOMER_CASHAPPS 321 - UK"/>
    <s v="Amy Tyler"/>
    <s v="INSIGHT DIRECT UK /SREF/446248"/>
    <m/>
    <m/>
    <m/>
    <m/>
    <m/>
    <m/>
    <m/>
    <m/>
    <m/>
    <m/>
    <m/>
    <m/>
    <m/>
    <m/>
    <m/>
    <m/>
    <m/>
    <m/>
    <m/>
    <m/>
    <m/>
    <m/>
    <m/>
    <m/>
    <m/>
    <m/>
    <m/>
    <m/>
    <m/>
    <m/>
  </r>
  <r>
    <s v="321 - UK"/>
    <d v="2026-04-02T00:00:00"/>
    <s v="APRIL"/>
    <x v="1"/>
    <x v="3"/>
    <s v="Deposited"/>
    <s v="PMT-S104-50722"/>
    <s v=""/>
    <s v="GBP"/>
    <n v="-1023.77"/>
    <n v="-1382.376"/>
    <n v="1382.376"/>
    <n v="-58417.703999999998"/>
    <s v="DUMMY CUSTOMER_CASHAPPS 321 - UK"/>
    <s v="Amy Tyler"/>
    <s v="/REMI/BEING PAYMENT FOR 2026 HOO TSUITE SUBSCRIPTION S0660923A0EF0 1/OCMT/USD1385,00//BENM/GB84HBUK40116031212125 Meltwater (UK) Lim ited/EXCH/1.3528468//ORDP/ECOBANK ZAMBIA LTD 154000204 22768 ACAC IA PARK THABO MBEKI ROAD P.O. B/OBK/ECOCZMLUXXX ECOBANK ZAMBIA LI MITED THABO MBEKI ROAD LUSAKA/TMS/2026-04-02T16:16:10 GMT/MID/1.3 2365590"/>
    <m/>
    <m/>
    <m/>
    <m/>
    <m/>
    <m/>
    <m/>
    <m/>
    <m/>
    <m/>
    <m/>
    <m/>
    <m/>
    <m/>
    <m/>
    <m/>
    <m/>
    <m/>
    <m/>
    <m/>
    <m/>
    <m/>
    <m/>
    <m/>
    <m/>
    <m/>
    <m/>
    <m/>
    <m/>
    <m/>
  </r>
  <r>
    <s v="321 - UK"/>
    <d v="2025-06-30T00:00:00"/>
    <s v="JUNE"/>
    <x v="0"/>
    <x v="3"/>
    <s v="Deposited"/>
    <s v="PMT-S104-47857"/>
    <s v=""/>
    <s v="GBP"/>
    <n v="-689.23"/>
    <n v="-930.65300000000002"/>
    <n v="930.65300000000002"/>
    <n v="-930.65300000000002"/>
    <s v="GORDON MURRAY AUTOMOTIVE LIMITED"/>
    <s v="Amy Tyler"/>
    <s v="GORDON R H LTD FP55T34753349995 /EREF/Guest Refund /ROC/Guest Refund /FPID/BX25062746364372004020250630826200000"/>
    <m/>
    <m/>
    <m/>
    <m/>
    <m/>
    <m/>
    <m/>
    <m/>
    <m/>
    <m/>
    <m/>
    <m/>
    <m/>
    <m/>
    <m/>
    <m/>
    <m/>
    <m/>
    <m/>
    <m/>
    <m/>
    <m/>
    <m/>
    <m/>
    <m/>
    <m/>
    <m/>
    <m/>
    <m/>
    <m/>
  </r>
  <r>
    <s v="321 - UK"/>
    <d v="2025-12-29T00:00:00"/>
    <s v="DECEMBER"/>
    <x v="0"/>
    <x v="3"/>
    <s v="Deposited"/>
    <s v="PMT-S104-49628"/>
    <s v="IN-S104-440352"/>
    <s v="USD"/>
    <n v="-11467.63"/>
    <n v="-10075.992"/>
    <n v="853.89"/>
    <n v="27233.284"/>
    <s v="Oman Investment Authority"/>
    <s v="Jan Sutherland"/>
    <s v="/REMI//URI/OM/880/INV IN S104 44 0352 MANAGEMENT FEES////ROC/B5355 0002200001A FT285076832251/1 /INS/CHASUS33XXX/OCMT/GBP7462,15//BE NM/GB84HBUK40116031212125 Meltwater (UK) Limited/EXCH/00000000000 0//ORDP/1/OMAN INVESTMENT AUTHORITY OM250180001021124098001 2/260 1,4th  5th Fl/OBK/NBOMOMRXXXX NATIONAL BANK OF OMAN 65 AL MARKAZI STREET MUTTRAH BUSINESS DISTRICT"/>
    <m/>
    <m/>
    <m/>
    <m/>
    <m/>
    <m/>
    <m/>
    <m/>
    <m/>
    <m/>
    <m/>
    <m/>
    <m/>
    <m/>
    <m/>
    <m/>
    <m/>
    <m/>
    <m/>
    <m/>
    <m/>
    <m/>
    <m/>
    <m/>
    <m/>
    <m/>
    <m/>
    <m/>
    <m/>
    <m/>
  </r>
  <r>
    <s v="321 - UK"/>
    <d v="2023-07-26T00:00:00"/>
    <s v="JULY"/>
    <x v="3"/>
    <x v="3"/>
    <s v="Deposited"/>
    <s v="PMT-S104-40075"/>
    <s v="IN-S104-434446"/>
    <s v="GBP"/>
    <n v="-1200"/>
    <n v="-1620.336"/>
    <n v="810.16800000000001"/>
    <n v="-810.16800000000001"/>
    <s v="ENVIRONMENTAL RESOURCES MANAGEMENT LIMITED"/>
    <s v="Amy Tyler"/>
    <s v="/REMI/IN S104 43440+44 202307250 0117566 FT00258212184261/OCMT/GBP 1200,00//BENM/GB84HBUK40116031212125 Meltwater (UK) Limited/EXCH/ 000000000000//ORDP/ERM INFORMATION SOLUTIONS INC 002000037556305 840 W SAM HOUSTON PKWY N/OBK/WFBIUS6SXXX WELLS FARGO BANK,N.A. 4 20 MONTGOMERY STREET SAN FRANCISCO"/>
    <m/>
    <m/>
    <m/>
    <m/>
    <m/>
    <m/>
    <m/>
    <m/>
    <m/>
    <m/>
    <m/>
    <m/>
    <m/>
    <m/>
    <m/>
    <m/>
    <m/>
    <m/>
    <m/>
    <m/>
    <m/>
    <m/>
    <m/>
    <m/>
    <m/>
    <m/>
    <m/>
    <m/>
    <m/>
    <m/>
  </r>
  <r>
    <s v="321 - UK"/>
    <d v="2023-09-08T00:00:00"/>
    <s v="SEPTEMBER"/>
    <x v="3"/>
    <x v="3"/>
    <s v="Deposited"/>
    <s v="PMT-S104-40547"/>
    <s v=""/>
    <s v="GBP"/>
    <n v="-547"/>
    <n v="-738.60299999999995"/>
    <n v="738.60299999999995"/>
    <n v="-58417.703999999998"/>
    <s v="DUMMY CUSTOMER_CASHAPPS 321 - UK"/>
    <s v="Amy Tyler"/>
    <s v="CHGS (CR) 06SEP23 INV 10762135"/>
    <m/>
    <m/>
    <m/>
    <m/>
    <m/>
    <m/>
    <m/>
    <m/>
    <m/>
    <m/>
    <m/>
    <m/>
    <m/>
    <m/>
    <m/>
    <m/>
    <m/>
    <m/>
    <m/>
    <m/>
    <m/>
    <m/>
    <m/>
    <m/>
    <m/>
    <m/>
    <m/>
    <m/>
    <m/>
    <m/>
  </r>
  <r>
    <s v="321 - UK"/>
    <d v="2026-04-08T00:00:00"/>
    <s v="APRIL"/>
    <x v="1"/>
    <x v="3"/>
    <s v="Deposited"/>
    <s v="PMT-S104-50747"/>
    <s v="IN-S104-440219"/>
    <s v="GBP"/>
    <n v="-3741.4"/>
    <n v="-5051.9380000000001"/>
    <n v="675.14"/>
    <n v="-675.14"/>
    <s v="MND Scotland"/>
    <s v="Amy Tyler"/>
    <s v="MND Scotland FP637B1734888997 /DbAcct/80071500767080 /ROC/S104-440219 /FPID/3000000017492138091020260408826800715"/>
    <m/>
    <m/>
    <m/>
    <m/>
    <m/>
    <m/>
    <m/>
    <m/>
    <m/>
    <m/>
    <m/>
    <m/>
    <m/>
    <m/>
    <m/>
    <m/>
    <m/>
    <m/>
    <m/>
    <m/>
    <m/>
    <m/>
    <m/>
    <m/>
    <m/>
    <m/>
    <m/>
    <m/>
    <m/>
    <m/>
  </r>
  <r>
    <s v="321 - UK"/>
    <d v="2023-04-05T00:00:00"/>
    <s v="APRIL"/>
    <x v="3"/>
    <x v="3"/>
    <s v="Deposited"/>
    <s v="PMT-S104-38717"/>
    <s v="IN-S104-432489"/>
    <s v="USD"/>
    <n v="-2671.48"/>
    <n v="-2916.605"/>
    <n v="558.40800000000002"/>
    <n v="-558.40800000000002"/>
    <s v="Amnesty International"/>
    <s v="Georgia Albutt-392"/>
    <s v=""/>
    <m/>
    <m/>
    <m/>
    <m/>
    <m/>
    <m/>
    <m/>
    <m/>
    <m/>
    <m/>
    <m/>
    <m/>
    <m/>
    <m/>
    <m/>
    <m/>
    <m/>
    <m/>
    <m/>
    <m/>
    <m/>
    <m/>
    <m/>
    <m/>
    <m/>
    <m/>
    <m/>
    <m/>
    <m/>
    <m/>
  </r>
  <r>
    <s v="321 - UK"/>
    <d v="2023-11-21T00:00:00"/>
    <s v="NOVEMBER"/>
    <x v="3"/>
    <x v="3"/>
    <s v="Deposited"/>
    <s v="PMT-S104-41397"/>
    <s v="IN-S104-435281"/>
    <s v="GBP"/>
    <n v="-5492.4"/>
    <n v="-7416.2780000000002"/>
    <n v="529.85"/>
    <n v="-529.85"/>
    <s v="GERALD INTERNATIONAL LIMITED"/>
    <s v="Amy Tyler"/>
    <s v="/REMI//URI/IN-S104-435131///ROC/ SDP/20.11.22:13 15PR231121666462/ OCMT/GBP5492,40//BENM/31212125 1/MELTWATER (UK) LTD/EXCH/00000000 0000//ORDP/GERALD INTERNATIONAL LIMITED 10745801 THIRD FLOOR ONE STRAND GRAND BUI/OBK/DEUTGB2LXXX DEUTSCHE BANK AG WINCHESTER HOUS E 1 GREAT WINCHESTER STREET LONDON"/>
    <m/>
    <m/>
    <m/>
    <m/>
    <m/>
    <m/>
    <m/>
    <m/>
    <m/>
    <m/>
    <m/>
    <m/>
    <m/>
    <m/>
    <m/>
    <m/>
    <m/>
    <m/>
    <m/>
    <m/>
    <m/>
    <m/>
    <m/>
    <m/>
    <m/>
    <m/>
    <m/>
    <m/>
    <m/>
    <m/>
  </r>
  <r>
    <s v="321 - UK"/>
    <d v="2025-12-05T00:00:00"/>
    <s v="DECEMBER"/>
    <x v="0"/>
    <x v="3"/>
    <s v="Deposited"/>
    <s v="PMT-S104-49392"/>
    <s v="IN-S104-440589"/>
    <s v="GBP"/>
    <n v="-4890"/>
    <n v="-6602.8689999999997"/>
    <n v="162.03399999999999"/>
    <n v="-162.03399999999999"/>
    <s v="BRAND COMMUNICATIONS CREATIVES (UK) LTD"/>
    <s v="Amy Tyler"/>
    <s v="Brand Commun FP5B4E5825749047 /DbAcct/40040991521020 /ROC/INV 440589 /FPID/0646743185415021019020251205826400409"/>
    <m/>
    <m/>
    <m/>
    <m/>
    <m/>
    <m/>
    <m/>
    <m/>
    <m/>
    <m/>
    <m/>
    <m/>
    <m/>
    <m/>
    <m/>
    <m/>
    <m/>
    <m/>
    <m/>
    <m/>
    <m/>
    <m/>
    <m/>
    <m/>
    <m/>
    <m/>
    <m/>
    <m/>
    <m/>
    <m/>
  </r>
  <r>
    <s v="321 - UK"/>
    <d v="2024-05-02T00:00:00"/>
    <s v="MAY"/>
    <x v="4"/>
    <x v="3"/>
    <s v="Deposited"/>
    <s v="PMT-S104-43483"/>
    <s v="IN-S104-436418"/>
    <s v="EUR"/>
    <n v="-6607.74"/>
    <n v="-7463.5649999999996"/>
    <n v="121.70099999999999"/>
    <n v="-121.70099999999999"/>
    <s v="Failte Ireland"/>
    <s v="Nathalie Darmois"/>
    <s v="/BENM//40116031212125MELTWATER UK LTDTOWER BRIDGE HOUSE20 ST KATH ERINESWAY/OCMT/EUR6607,74/EXCH/1,19544705//BBI//EREF/FAILTE IRELA ND LVL3X2A0/ORDP//IE39BOFI90001755048546FAILTE IRELANDAUTHORITY 8 8 TO 95 AMIENS ST DUBLIN 1/IE"/>
    <m/>
    <m/>
    <m/>
    <m/>
    <m/>
    <m/>
    <m/>
    <m/>
    <m/>
    <m/>
    <m/>
    <m/>
    <m/>
    <m/>
    <m/>
    <m/>
    <m/>
    <m/>
    <m/>
    <m/>
    <m/>
    <m/>
    <m/>
    <m/>
    <m/>
    <m/>
    <m/>
    <m/>
    <m/>
    <m/>
  </r>
  <r>
    <s v="32C (326) - Sysomos UK"/>
    <d v="2019-09-10T00:00:00"/>
    <s v="SEPTEMBER"/>
    <x v="6"/>
    <x v="1"/>
    <s v="Deposited"/>
    <s v="PMT-S130D-0273"/>
    <s v=""/>
    <s v="GBP"/>
    <n v="-12240"/>
    <n v="-15983.359"/>
    <n v="15983.359"/>
    <n v="-26638.932000000001"/>
    <s v="DUMMY CUSTOMER_CASHAPPS 326 - Sysomos UK Limited"/>
    <s v="Amy Tyler"/>
    <s v="Barclays Wire 9/10/19 - UNIVERSAL PICTURES L000973364 BGCFrom: 20-00-00 50477567"/>
    <m/>
    <m/>
    <m/>
    <m/>
    <m/>
    <m/>
    <m/>
    <m/>
    <m/>
    <m/>
    <m/>
    <m/>
    <m/>
    <m/>
    <m/>
    <m/>
    <m/>
    <m/>
    <m/>
    <m/>
    <m/>
    <m/>
    <m/>
    <m/>
    <m/>
    <m/>
    <m/>
    <m/>
    <m/>
    <m/>
  </r>
  <r>
    <s v="32C (326) - Sysomos UK"/>
    <d v="2019-11-27T00:00:00"/>
    <s v="NOVEMBER"/>
    <x v="6"/>
    <x v="1"/>
    <s v="Not Deposited"/>
    <s v="PMT-S130D-0325"/>
    <s v=""/>
    <s v="GBP"/>
    <n v="-4999.99"/>
    <n v="-6529.1369999999997"/>
    <n v="6529.1369999999997"/>
    <n v="-6529.1369999999997"/>
    <s v="TI Media Ltd"/>
    <s v="Amy Tyler"/>
    <s v="ACH/Wire"/>
    <m/>
    <m/>
    <m/>
    <m/>
    <m/>
    <m/>
    <m/>
    <m/>
    <m/>
    <m/>
    <m/>
    <m/>
    <m/>
    <m/>
    <m/>
    <m/>
    <m/>
    <m/>
    <m/>
    <m/>
    <m/>
    <m/>
    <m/>
    <m/>
    <m/>
    <m/>
    <m/>
    <m/>
    <m/>
    <m/>
  </r>
  <r>
    <s v="32C (326) - Sysomos UK"/>
    <d v="2019-10-08T00:00:00"/>
    <s v="OCTOBER"/>
    <x v="6"/>
    <x v="1"/>
    <s v="Deposited"/>
    <s v="PMT-S130D-0307"/>
    <s v=""/>
    <s v="GBP"/>
    <n v="-4080"/>
    <n v="-5327.7860000000001"/>
    <n v="5327.7860000000001"/>
    <n v="-26638.932000000001"/>
    <s v="DUMMY CUSTOMER_CASHAPPS 326 - Sysomos UK Limited"/>
    <s v="Amy Tyler"/>
    <s v="Barclays Wire 10/8/19 - UNIVERSAL PICTURES UK01002264 BGCFrom: 20-00-00 50477567"/>
    <m/>
    <m/>
    <m/>
    <m/>
    <m/>
    <m/>
    <m/>
    <m/>
    <m/>
    <m/>
    <m/>
    <m/>
    <m/>
    <m/>
    <m/>
    <m/>
    <m/>
    <m/>
    <m/>
    <m/>
    <m/>
    <m/>
    <m/>
    <m/>
    <m/>
    <m/>
    <m/>
    <m/>
    <m/>
    <m/>
  </r>
  <r>
    <s v="32C (326) - Sysomos UK"/>
    <d v="2019-11-13T00:00:00"/>
    <s v="NOVEMBER"/>
    <x v="6"/>
    <x v="1"/>
    <s v="Deposited"/>
    <s v="PMT-S130D-0323"/>
    <s v="IN-S130D-0205"/>
    <s v="GBP"/>
    <n v="-7600"/>
    <n v="-9924.3080000000009"/>
    <n v="4962.1540000000005"/>
    <n v="-4962.1540000000005"/>
    <s v="Djembe Communications"/>
    <s v="Amy Tyler"/>
    <s v="Barclays Wire 11/13/19"/>
    <m/>
    <m/>
    <m/>
    <m/>
    <m/>
    <m/>
    <m/>
    <m/>
    <m/>
    <m/>
    <m/>
    <m/>
    <m/>
    <m/>
    <m/>
    <m/>
    <m/>
    <m/>
    <m/>
    <m/>
    <m/>
    <m/>
    <m/>
    <m/>
    <m/>
    <m/>
    <m/>
    <m/>
    <m/>
    <m/>
  </r>
  <r>
    <s v="32C (326) - Sysomos UK"/>
    <d v="2019-05-08T00:00:00"/>
    <s v="MAY"/>
    <x v="6"/>
    <x v="1"/>
    <s v="Deposited"/>
    <s v="PMT-S130D-0169"/>
    <s v=""/>
    <s v="GBP"/>
    <n v="-3468"/>
    <n v="-4528.6180000000004"/>
    <n v="4528.6180000000004"/>
    <n v="-4528.6180000000004"/>
    <s v="Essence Digital"/>
    <s v="Amy Tyler"/>
    <s v="Barclays wire 05/08/19"/>
    <m/>
    <m/>
    <m/>
    <m/>
    <m/>
    <m/>
    <m/>
    <m/>
    <m/>
    <m/>
    <m/>
    <m/>
    <m/>
    <m/>
    <m/>
    <m/>
    <m/>
    <m/>
    <m/>
    <m/>
    <m/>
    <m/>
    <m/>
    <m/>
    <m/>
    <m/>
    <m/>
    <m/>
    <m/>
    <m/>
  </r>
  <r>
    <s v="32C (326) - Sysomos UK"/>
    <d v="2019-09-06T00:00:00"/>
    <s v="SEPTEMBER"/>
    <x v="6"/>
    <x v="1"/>
    <s v="Deposited"/>
    <s v="PMT-S130D-0272"/>
    <s v=""/>
    <s v="GBP"/>
    <n v="-2040"/>
    <n v="-2663.893"/>
    <n v="2663.893"/>
    <n v="-26638.932000000001"/>
    <s v="DUMMY CUSTOMER_CASHAPPS 326 - Sysomos UK Limited"/>
    <s v="Amy Tyler"/>
    <s v="Barclays Wire 9/6/19 - UNIVERSAL PICTUR * 180603*/ROC/U6900* TFR"/>
    <m/>
    <m/>
    <m/>
    <m/>
    <m/>
    <m/>
    <m/>
    <m/>
    <m/>
    <m/>
    <m/>
    <m/>
    <m/>
    <m/>
    <m/>
    <m/>
    <m/>
    <m/>
    <m/>
    <m/>
    <m/>
    <m/>
    <m/>
    <m/>
    <m/>
    <m/>
    <m/>
    <m/>
    <m/>
    <m/>
  </r>
  <r>
    <s v="32C (326) - Sysomos UK"/>
    <d v="2019-10-04T00:00:00"/>
    <s v="OCTOBER"/>
    <x v="6"/>
    <x v="1"/>
    <s v="Deposited"/>
    <s v="PMT-S130D-0306"/>
    <s v=""/>
    <s v="GBP"/>
    <n v="-2040"/>
    <n v="-2663.893"/>
    <n v="2663.893"/>
    <n v="-26638.932000000001"/>
    <s v="DUMMY CUSTOMER_CASHAPPS 326 - Sysomos UK Limited"/>
    <s v="Amy Tyler"/>
    <s v="Barclays Wire 10/4/19 - UNIVERSAL PICTURES UK00987935 BGCFrom: 20-00-00 50477567"/>
    <m/>
    <m/>
    <m/>
    <m/>
    <m/>
    <m/>
    <m/>
    <m/>
    <m/>
    <m/>
    <m/>
    <m/>
    <m/>
    <m/>
    <m/>
    <m/>
    <m/>
    <m/>
    <m/>
    <m/>
    <m/>
    <m/>
    <m/>
    <m/>
    <m/>
    <m/>
    <m/>
    <m/>
    <m/>
    <m/>
  </r>
  <r>
    <s v="32C (326) - Sysomos UK"/>
    <d v="2019-03-08T00:00:00"/>
    <s v="MARCH"/>
    <x v="6"/>
    <x v="1"/>
    <s v="Deposited"/>
    <s v="PMT-S130D-0095"/>
    <s v="IN-S130D-0115"/>
    <s v="GBP"/>
    <n v="-7372.8"/>
    <n v="-9627.6229999999996"/>
    <n v="310.56599999999997"/>
    <n v="-310.56599999999997"/>
    <s v="Harvest Digital"/>
    <s v="Amy Tyler"/>
    <s v=""/>
    <m/>
    <m/>
    <m/>
    <m/>
    <m/>
    <m/>
    <m/>
    <m/>
    <m/>
    <m/>
    <m/>
    <m/>
    <m/>
    <m/>
    <m/>
    <m/>
    <m/>
    <m/>
    <m/>
    <m/>
    <m/>
    <m/>
    <m/>
    <m/>
    <m/>
    <m/>
    <m/>
    <m/>
    <m/>
    <m/>
  </r>
  <r>
    <s v="32C (326) - Sysomos UK"/>
    <d v="2019-11-14T00:00:00"/>
    <s v="NOVEMBER"/>
    <x v="6"/>
    <x v="1"/>
    <s v="Deposited"/>
    <s v="PMT-S130D-0324"/>
    <s v=""/>
    <s v="GBP"/>
    <n v="-26"/>
    <n v="-33.951999999999998"/>
    <n v="33.951999999999998"/>
    <n v="-33.951999999999998"/>
    <s v="Accelerated Intelligence LTD"/>
    <s v="Amy Tyler"/>
    <s v="Barclays Wire 11/14/19"/>
    <m/>
    <m/>
    <m/>
    <m/>
    <m/>
    <m/>
    <m/>
    <m/>
    <m/>
    <m/>
    <m/>
    <m/>
    <m/>
    <m/>
    <m/>
    <m/>
    <m/>
    <m/>
    <m/>
    <m/>
    <m/>
    <m/>
    <m/>
    <m/>
    <m/>
    <m/>
    <m/>
    <m/>
    <m/>
    <m/>
  </r>
  <r>
    <s v="334 - Meltwater France SAS"/>
    <d v="2023-11-20T00:00:00"/>
    <s v="NOVEMBER"/>
    <x v="3"/>
    <x v="3"/>
    <s v="Deposited"/>
    <s v="PMT-S188-1008"/>
    <s v="IN-S188-1981"/>
    <s v="EUR"/>
    <n v="-29700"/>
    <n v="-34732.665000000001"/>
    <n v="27575.631000000001"/>
    <n v="66925.260999999999"/>
    <s v="PERNOD RICARD SA"/>
    <s v="Nathalie Darmois"/>
    <s v="SERA TFR RCVD IN-S188-1369"/>
    <m/>
    <m/>
    <m/>
    <m/>
    <m/>
    <m/>
    <m/>
    <m/>
    <m/>
    <m/>
    <m/>
    <m/>
    <m/>
    <m/>
    <m/>
    <m/>
    <m/>
    <m/>
    <m/>
    <m/>
    <m/>
    <m/>
    <m/>
    <m/>
    <m/>
    <m/>
    <m/>
    <m/>
    <m/>
    <m/>
  </r>
  <r>
    <s v="334 - Meltwater France SAS"/>
    <d v="2026-03-26T00:00:00"/>
    <s v="MARCH"/>
    <x v="1"/>
    <x v="3"/>
    <s v="Deposited"/>
    <s v="PMT-S188-1572"/>
    <s v=""/>
    <s v="EUR"/>
    <n v="-22962.560000000001"/>
    <n v="-26853.565999999999"/>
    <n v="26853.565999999999"/>
    <n v="-37326.411999999997"/>
    <s v="DUMMY CUSTOMER_CASHAPPS 334-Linfluence France"/>
    <s v=""/>
    <s v="VIREMENT SEPA RECU YCI2 00777 GMF/REMI/18562 - VIREMENT EMIS/ISDT VIR/1621563/GMF ASSURANCES 18562 - VIREMENT EMIS/ISDT/2026-03-"/>
    <m/>
    <m/>
    <m/>
    <m/>
    <m/>
    <m/>
    <m/>
    <m/>
    <m/>
    <m/>
    <m/>
    <m/>
    <m/>
    <m/>
    <m/>
    <m/>
    <m/>
    <m/>
    <m/>
    <m/>
    <m/>
    <m/>
    <m/>
    <m/>
    <m/>
    <m/>
    <m/>
    <m/>
    <m/>
    <m/>
  </r>
  <r>
    <s v="334 - Meltwater France SAS"/>
    <d v="2024-07-26T00:00:00"/>
    <s v="JULY"/>
    <x v="4"/>
    <x v="3"/>
    <s v="Deposited"/>
    <s v="PMT-S188-1215"/>
    <s v="IN-S188-1668"/>
    <s v="EUR"/>
    <n v="-26400"/>
    <n v="-30873.48"/>
    <n v="15436.74"/>
    <n v="-15436.74"/>
    <s v="CHANEL SAS"/>
    <s v=""/>
    <s v="VIREMENT SEPA RECU YCI2 05254 CHANEL/REMI//INV/IN-S188-1668/1.7.2 2024000068834 /INV/IN-S188-1668/1.7.20241N-S188-1"/>
    <m/>
    <m/>
    <m/>
    <m/>
    <m/>
    <m/>
    <m/>
    <m/>
    <m/>
    <m/>
    <m/>
    <m/>
    <m/>
    <m/>
    <m/>
    <m/>
    <m/>
    <m/>
    <m/>
    <m/>
    <m/>
    <m/>
    <m/>
    <m/>
    <m/>
    <m/>
    <m/>
    <m/>
    <m/>
    <m/>
  </r>
  <r>
    <s v="334 - Meltwater France SAS"/>
    <d v="2025-10-07T00:00:00"/>
    <s v="OCTOBER"/>
    <x v="0"/>
    <x v="3"/>
    <s v="Not Deposited"/>
    <s v="PMT-S188-1497"/>
    <s v="IN-S188-1985"/>
    <s v="USD"/>
    <n v="-39000"/>
    <n v="-38120.644"/>
    <n v="15248.26"/>
    <n v="66925.260999999999"/>
    <s v="PERNOD RICARD SA"/>
    <s v="Nathalie Darmois"/>
    <s v="D B/O1/PERNOD RICARDO/R04170577643890DE SOGEFRPPUSD39000,00   TX 1.1964265USD39000,00/ROC/548114///URI/IN S109 446364 ORD193637 04170577643890DE SWIFT NTRF 04170577643890DE"/>
    <m/>
    <m/>
    <m/>
    <m/>
    <m/>
    <m/>
    <m/>
    <m/>
    <m/>
    <m/>
    <m/>
    <m/>
    <m/>
    <m/>
    <m/>
    <m/>
    <m/>
    <m/>
    <m/>
    <m/>
    <m/>
    <m/>
    <m/>
    <m/>
    <m/>
    <m/>
    <m/>
    <m/>
    <m/>
    <m/>
  </r>
  <r>
    <s v="334 - Meltwater France SAS"/>
    <d v="2023-08-30T00:00:00"/>
    <s v="AUGUST"/>
    <x v="3"/>
    <x v="3"/>
    <s v="Deposited"/>
    <s v="PMT-S188-0931"/>
    <s v=""/>
    <s v="EUR"/>
    <n v="-8200"/>
    <n v="-9589.49"/>
    <n v="9589.49"/>
    <n v="-9589.49"/>
    <s v="KERING"/>
    <s v=""/>
    <s v="VIR ETRANGER RECU EUROPEEN /DE 1/GUCCIO GUCCI S.P.A. /FROM IT /MOTIF IN-S188-1209 9.5.2023 26000573 89 /MMO EUR 8200,00 /BNPP EUR 0,00 /REF ZZ1EO3VUZDCLNZVBT"/>
    <m/>
    <m/>
    <m/>
    <m/>
    <m/>
    <m/>
    <m/>
    <m/>
    <m/>
    <m/>
    <m/>
    <m/>
    <m/>
    <m/>
    <m/>
    <m/>
    <m/>
    <m/>
    <m/>
    <m/>
    <m/>
    <m/>
    <m/>
    <m/>
    <m/>
    <m/>
    <m/>
    <m/>
    <m/>
    <m/>
  </r>
  <r>
    <s v="334 - Meltwater France SAS"/>
    <d v="2025-12-09T00:00:00"/>
    <s v="DECEMBER"/>
    <x v="0"/>
    <x v="3"/>
    <s v="Deposited"/>
    <s v="PMT-S188-1523"/>
    <s v="IN-S188-2013"/>
    <s v="EUR"/>
    <n v="-19650.2"/>
    <n v="-22979.925999999999"/>
    <n v="8399.2240000000002"/>
    <n v="66925.260999999999"/>
    <s v="PERNOD RICARD SA"/>
    <s v="Nathalie Darmois"/>
    <s v="D B/O1/PERNOD RICARDO/R04170583954781B5 SOGEFRPPUSD23400,00   TX 1.1908276USD23400,00/ROC/555169///URI/IN S188 1985 04170583954781B5 SWIFT NTRF 04170583954781B5"/>
    <m/>
    <m/>
    <m/>
    <m/>
    <m/>
    <m/>
    <m/>
    <m/>
    <m/>
    <m/>
    <m/>
    <m/>
    <m/>
    <m/>
    <m/>
    <m/>
    <m/>
    <m/>
    <m/>
    <m/>
    <m/>
    <m/>
    <m/>
    <m/>
    <m/>
    <m/>
    <m/>
    <m/>
    <m/>
    <m/>
  </r>
  <r>
    <s v="334 - Meltwater France SAS"/>
    <d v="2022-11-10T00:00:00"/>
    <s v="NOVEMBER"/>
    <x v="2"/>
    <x v="3"/>
    <s v="Deposited"/>
    <s v="PMT-S188-0588"/>
    <s v=""/>
    <s v="EUR"/>
    <n v="-6000"/>
    <n v="-7016.7"/>
    <n v="7016.7"/>
    <n v="-7016.7"/>
    <s v="Danone SA"/>
    <s v="Nathalie Darmois"/>
    <s v="VIR SEPA RECU /FRM DANONE /EID 1600011149 /RNF IN-S188-0244"/>
    <m/>
    <m/>
    <m/>
    <m/>
    <m/>
    <m/>
    <m/>
    <m/>
    <m/>
    <m/>
    <m/>
    <m/>
    <m/>
    <m/>
    <m/>
    <m/>
    <m/>
    <m/>
    <m/>
    <m/>
    <m/>
    <m/>
    <m/>
    <m/>
    <m/>
    <m/>
    <m/>
    <m/>
    <m/>
    <m/>
  </r>
  <r>
    <s v="334 - Meltwater France SAS"/>
    <d v="2023-06-30T00:00:00"/>
    <s v="JUNE"/>
    <x v="3"/>
    <x v="3"/>
    <s v="Deposited"/>
    <s v="PMT-S188-0870"/>
    <s v=""/>
    <s v="EUR"/>
    <n v="-4015.45"/>
    <n v="-4695.8680000000004"/>
    <n v="4695.8680000000004"/>
    <n v="-37326.411999999997"/>
    <s v="DUMMY CUSTOMER_CASHAPPS 334-Linfluence France"/>
    <s v=""/>
    <s v="FOREIGN TRANSFER RECEIVED INTE RNATIONAL /DE HYVE INTERNATIO NAL EVENTS LIMITED /FROM GB /M OTIF 3034 /MMO GBP 3500,00 /BNP P EUR 0,00 /REF ZZ1EB76Y81LES4P DS"/>
    <m/>
    <m/>
    <m/>
    <m/>
    <m/>
    <m/>
    <m/>
    <m/>
    <m/>
    <m/>
    <m/>
    <m/>
    <m/>
    <m/>
    <m/>
    <m/>
    <m/>
    <m/>
    <m/>
    <m/>
    <m/>
    <m/>
    <m/>
    <m/>
    <m/>
    <m/>
    <m/>
    <m/>
    <m/>
    <m/>
  </r>
  <r>
    <s v="334 - Meltwater France SAS"/>
    <d v="2023-01-12T00:00:00"/>
    <s v="JANUARY"/>
    <x v="3"/>
    <x v="3"/>
    <s v="Deposited"/>
    <s v="PMT-S188-0644"/>
    <s v=""/>
    <s v="EUR"/>
    <n v="-3600"/>
    <n v="-4210.0200000000004"/>
    <n v="4210.0200000000004"/>
    <n v="-37326.411999999997"/>
    <s v="DUMMY CUSTOMER_CASHAPPS 334-Linfluence France"/>
    <s v=""/>
    <s v="VIR SEPA RECU /FRM CELINE /EID 5B1011057136 /RNF OF-FR- 1967"/>
    <m/>
    <m/>
    <m/>
    <m/>
    <m/>
    <m/>
    <m/>
    <m/>
    <m/>
    <m/>
    <m/>
    <m/>
    <m/>
    <m/>
    <m/>
    <m/>
    <m/>
    <m/>
    <m/>
    <m/>
    <m/>
    <m/>
    <m/>
    <m/>
    <m/>
    <m/>
    <m/>
    <m/>
    <m/>
    <m/>
  </r>
  <r>
    <s v="334 - Meltwater France SAS"/>
    <d v="2023-05-25T00:00:00"/>
    <s v="MAY"/>
    <x v="3"/>
    <x v="3"/>
    <s v="Deposited"/>
    <s v="PMT-S188-0828"/>
    <s v=""/>
    <s v="EUR"/>
    <n v="-1339.91"/>
    <n v="-1566.9580000000001"/>
    <n v="1566.9580000000001"/>
    <n v="-37326.411999999997"/>
    <s v="DUMMY CUSTOMER_CASHAPPS 334-Linfluence France"/>
    <s v=""/>
    <s v="FOREIGN TRANSFER RECEIVED INTERNATIONAL /DE THOMAS TELFORD LIMITED /FROM GB /MMO GBP 1179,60 /BNPP EUR 0,00 /REF ZZ1E3VHGKMQ7YFFSX"/>
    <m/>
    <m/>
    <m/>
    <m/>
    <m/>
    <m/>
    <m/>
    <m/>
    <m/>
    <m/>
    <m/>
    <m/>
    <m/>
    <m/>
    <m/>
    <m/>
    <m/>
    <m/>
    <m/>
    <m/>
    <m/>
    <m/>
    <m/>
    <m/>
    <m/>
    <m/>
    <m/>
    <m/>
    <m/>
    <m/>
  </r>
  <r>
    <s v="334 - Meltwater France SAS"/>
    <d v="2023-06-20T00:00:00"/>
    <s v="JUNE"/>
    <x v="3"/>
    <x v="3"/>
    <s v="Deposited"/>
    <s v="PMT-S188-0853"/>
    <s v=""/>
    <s v="EUR"/>
    <n v="-756"/>
    <n v="-884.10400000000004"/>
    <n v="884.10400000000004"/>
    <n v="-884.10400000000004"/>
    <s v="Kanbios"/>
    <s v=""/>
    <s v="SEPA TFR RCVD /FRM KANBIOS /EID 20230619:BNV:249:3 /RNF IN-S188-1060"/>
    <m/>
    <m/>
    <m/>
    <m/>
    <m/>
    <m/>
    <m/>
    <m/>
    <m/>
    <m/>
    <m/>
    <m/>
    <m/>
    <m/>
    <m/>
    <m/>
    <m/>
    <m/>
    <m/>
    <m/>
    <m/>
    <m/>
    <m/>
    <m/>
    <m/>
    <m/>
    <m/>
    <m/>
    <m/>
    <m/>
  </r>
  <r>
    <s v="334 - Meltwater France SAS"/>
    <d v="2024-05-30T00:00:00"/>
    <s v="MAY"/>
    <x v="4"/>
    <x v="3"/>
    <s v="Deposited"/>
    <s v="PMT-S188-1166"/>
    <s v="IN-S188-1555"/>
    <s v="EUR"/>
    <n v="-46048.32"/>
    <n v="-53851.207999999999"/>
    <n v="66.238"/>
    <n v="-66.238"/>
    <s v="Ville de Paris - DICOM"/>
    <s v="Nathalie Darmois"/>
    <s v=""/>
    <m/>
    <m/>
    <m/>
    <m/>
    <m/>
    <m/>
    <m/>
    <m/>
    <m/>
    <m/>
    <m/>
    <m/>
    <m/>
    <m/>
    <m/>
    <m/>
    <m/>
    <m/>
    <m/>
    <m/>
    <m/>
    <m/>
    <m/>
    <m/>
    <m/>
    <m/>
    <m/>
    <m/>
    <m/>
    <m/>
  </r>
  <r>
    <s v="382 - Middle East 2"/>
    <d v="2026-03-18T00:00:00"/>
    <s v="MARCH"/>
    <x v="1"/>
    <x v="3"/>
    <s v="Deposited"/>
    <s v="PMT-S114-6938"/>
    <s v=""/>
    <s v="AED"/>
    <n v="-839547.45"/>
    <n v="-228603.73300000001"/>
    <n v="228603.73300000001"/>
    <n v="-318643.51400000002"/>
    <s v="DUMMY CUSTOMER_CASHAPPS 382 - Middle East 2"/>
    <s v="Manar Sultan"/>
    <s v="NONREF CDM-CC"/>
    <m/>
    <m/>
    <m/>
    <m/>
    <m/>
    <m/>
    <m/>
    <m/>
    <m/>
    <m/>
    <m/>
    <m/>
    <m/>
    <m/>
    <m/>
    <m/>
    <m/>
    <m/>
    <m/>
    <m/>
    <m/>
    <m/>
    <m/>
    <m/>
    <m/>
    <m/>
    <m/>
    <m/>
    <m/>
    <m/>
  </r>
  <r>
    <s v="382 - Middle East 2"/>
    <d v="2025-10-08T00:00:00"/>
    <s v="OCTOBER"/>
    <x v="0"/>
    <x v="3"/>
    <s v="Deposited"/>
    <s v="PMT-S114-6688"/>
    <s v="IN-S114-407718"/>
    <s v="USD"/>
    <n v="-45028"/>
    <n v="-44788.898999999998"/>
    <n v="43595.271000000001"/>
    <n v="-43595.271000000001"/>
    <s v="Confederation Of African Football - AFCON"/>
    <s v="Manar Sultan"/>
    <s v="8.00 USD AED AED 3.65300000 2025-10-08T10:18:58.000Z CONFEDERATION AFRICAINE DE FOOTBALL NO 3 ABDELKHALEK SARWAT ST STR ELHAI ELMOTAMAIZ 6TH OCT CITY GUIZA EGYPT MELTWATER MIDDLE EAST 2 FZ LLC ABU DHABI UNITED ARAB EMIRATES /URI/MAY MONTHLY REPORT 2025 5397 2 ///ROC/5143146281FS CONFEDERATION AFRICAINE DE FOOTBALL/URI/MAY MONTHLY REPORT 2025 5397 2 ///ROC/5143146281FSFX USD 45028.00 AT 3.6530000 210237577/TMS/2025-10-08T10:18:58 GMT/MID/3.6729750 AES081059BPQIN9C SWIFT S103 AES081059BPQIN9C"/>
    <m/>
    <m/>
    <m/>
    <m/>
    <m/>
    <m/>
    <m/>
    <m/>
    <m/>
    <m/>
    <m/>
    <m/>
    <m/>
    <m/>
    <m/>
    <m/>
    <m/>
    <m/>
    <m/>
    <m/>
    <m/>
    <m/>
    <m/>
    <m/>
    <m/>
    <m/>
    <m/>
    <m/>
    <m/>
    <m/>
  </r>
  <r>
    <s v="382 - Middle East 2"/>
    <d v="2025-09-03T00:00:00"/>
    <s v="SEPTEMBER"/>
    <x v="0"/>
    <x v="3"/>
    <s v="Deposited"/>
    <s v="PMT-S114-6599"/>
    <s v=""/>
    <s v="USD"/>
    <n v="-20746"/>
    <n v="-20635.839"/>
    <n v="20635.839"/>
    <n v="-20635.839"/>
    <s v="Foaj alillan for advertising company"/>
    <s v="Manar Sultan"/>
    <s v="Customer overpayment for WHT IN-S114-407537"/>
    <m/>
    <m/>
    <m/>
    <m/>
    <m/>
    <m/>
    <m/>
    <m/>
    <m/>
    <m/>
    <m/>
    <m/>
    <m/>
    <m/>
    <m/>
    <m/>
    <m/>
    <m/>
    <m/>
    <m/>
    <m/>
    <m/>
    <m/>
    <m/>
    <m/>
    <m/>
    <m/>
    <m/>
    <m/>
    <m/>
  </r>
  <r>
    <s v="382 - Middle East 2"/>
    <d v="2025-06-28T00:00:00"/>
    <s v="JUNE"/>
    <x v="0"/>
    <x v="3"/>
    <s v="Deposited"/>
    <s v="PMT-S114-6505"/>
    <s v=""/>
    <s v="AED"/>
    <n v="-63598.73"/>
    <n v="-17317.553"/>
    <n v="17317.553"/>
    <n v="-318643.51400000002"/>
    <s v="DUMMY CUSTOMER_CASHAPPS 382 - Middle East 2"/>
    <s v="Manar Sultan"/>
    <s v="USD 17,500.00 HUB OF WILL TRADING SERVICES CO SETTLEMENT OF BILLS PAY FX USD 17410.00 AT 3.6530000 204956647/TMS/2025-06-28T04:17:52 GMT/MID/3.6725000"/>
    <m/>
    <m/>
    <m/>
    <m/>
    <m/>
    <m/>
    <m/>
    <m/>
    <m/>
    <m/>
    <m/>
    <m/>
    <m/>
    <m/>
    <m/>
    <m/>
    <m/>
    <m/>
    <m/>
    <m/>
    <m/>
    <m/>
    <m/>
    <m/>
    <m/>
    <m/>
    <m/>
    <m/>
    <m/>
    <m/>
  </r>
  <r>
    <s v="382 - Middle East 2"/>
    <d v="2023-12-28T00:00:00"/>
    <s v="DECEMBER"/>
    <x v="3"/>
    <x v="3"/>
    <s v="Deposited"/>
    <s v="PMT-S114-5766"/>
    <s v=""/>
    <s v="AED"/>
    <n v="-39195"/>
    <n v="-10672.563"/>
    <n v="10672.563"/>
    <n v="-318643.51400000002"/>
    <s v="DUMMY CUSTOMER_CASHAPPS 382 - Middle East 2"/>
    <s v="Manar Sultan"/>
    <s v="1/ALTWASL ALFAAL LLASTSHARAT WALABH /REF/MELTWATER INVOICE2 SETTLEMENT OF BILL"/>
    <m/>
    <m/>
    <m/>
    <m/>
    <m/>
    <m/>
    <m/>
    <m/>
    <m/>
    <m/>
    <m/>
    <m/>
    <m/>
    <m/>
    <m/>
    <m/>
    <m/>
    <m/>
    <m/>
    <m/>
    <m/>
    <m/>
    <m/>
    <m/>
    <m/>
    <m/>
    <m/>
    <m/>
    <m/>
    <m/>
  </r>
  <r>
    <s v="382 - Middle East 2"/>
    <d v="2022-04-27T00:00:00"/>
    <s v="APRIL"/>
    <x v="2"/>
    <x v="3"/>
    <s v="Deposited"/>
    <s v="PMT-S114-4936"/>
    <s v=""/>
    <s v="AED"/>
    <n v="-38980"/>
    <n v="-10614.02"/>
    <n v="10614.02"/>
    <n v="-318643.51400000002"/>
    <s v="DUMMY CUSTOMER_CASHAPPS 382 - Middle East 2"/>
    <s v="Manar Sultan"/>
    <s v="Cash Margin TFAE18PB000780L FTM221173PC6R7PB"/>
    <m/>
    <m/>
    <m/>
    <m/>
    <m/>
    <m/>
    <m/>
    <m/>
    <m/>
    <m/>
    <m/>
    <m/>
    <m/>
    <m/>
    <m/>
    <m/>
    <m/>
    <m/>
    <m/>
    <m/>
    <m/>
    <m/>
    <m/>
    <m/>
    <m/>
    <m/>
    <m/>
    <m/>
    <m/>
    <m/>
  </r>
  <r>
    <s v="382 - Middle East 2"/>
    <d v="2023-10-06T00:00:00"/>
    <s v="OCTOBER"/>
    <x v="3"/>
    <x v="3"/>
    <s v="Deposited"/>
    <s v="PMT-S114-5650"/>
    <s v=""/>
    <s v="AED"/>
    <n v="-35898"/>
    <n v="-9774.81"/>
    <n v="9774.81"/>
    <n v="-318643.51400000002"/>
    <s v="DUMMY CUSTOMER_CASHAPPS 382 - Middle East 2"/>
    <s v="Manar Sultan"/>
    <s v="DANA CHAOUKI ATRACHENA NANA ABU DHA /REF/local transfer"/>
    <m/>
    <m/>
    <m/>
    <m/>
    <m/>
    <m/>
    <m/>
    <m/>
    <m/>
    <m/>
    <m/>
    <m/>
    <m/>
    <m/>
    <m/>
    <m/>
    <m/>
    <m/>
    <m/>
    <m/>
    <m/>
    <m/>
    <m/>
    <m/>
    <m/>
    <m/>
    <m/>
    <m/>
    <m/>
    <m/>
  </r>
  <r>
    <s v="382 - Middle East 2"/>
    <d v="2024-05-09T00:00:00"/>
    <s v="MAY"/>
    <x v="4"/>
    <x v="3"/>
    <s v="Deposited"/>
    <s v="PMT-S114-5968"/>
    <s v=""/>
    <s v="AED"/>
    <n v="-34198"/>
    <n v="-9311.91"/>
    <n v="9311.91"/>
    <n v="-318643.51400000002"/>
    <s v="DUMMY CUSTOMER_CASHAPPS 382 - Middle East 2"/>
    <s v="Manar Sultan"/>
    <s v="NONREF MDGDUB401107"/>
    <m/>
    <m/>
    <m/>
    <m/>
    <m/>
    <m/>
    <m/>
    <m/>
    <m/>
    <m/>
    <m/>
    <m/>
    <m/>
    <m/>
    <m/>
    <m/>
    <m/>
    <m/>
    <m/>
    <m/>
    <m/>
    <m/>
    <m/>
    <m/>
    <m/>
    <m/>
    <m/>
    <m/>
    <m/>
    <m/>
  </r>
  <r>
    <s v="382 - Middle East 2"/>
    <d v="2024-04-23T00:00:00"/>
    <s v="APRIL"/>
    <x v="4"/>
    <x v="3"/>
    <s v="Deposited"/>
    <s v="PMT-S114-5936"/>
    <s v=""/>
    <s v="AED"/>
    <n v="-30086.87"/>
    <n v="-8192.4740000000002"/>
    <n v="8192.4740000000002"/>
    <n v="-318643.51400000002"/>
    <s v="DUMMY CUSTOMER_CASHAPPS 382 - Middle East 2"/>
    <s v="Manar Sultan"/>
    <s v="NONREF MDGDUB401027"/>
    <m/>
    <m/>
    <m/>
    <m/>
    <m/>
    <m/>
    <m/>
    <m/>
    <m/>
    <m/>
    <m/>
    <m/>
    <m/>
    <m/>
    <m/>
    <m/>
    <m/>
    <m/>
    <m/>
    <m/>
    <m/>
    <m/>
    <m/>
    <m/>
    <m/>
    <m/>
    <m/>
    <m/>
    <m/>
    <m/>
  </r>
  <r>
    <s v="382 - Middle East 2"/>
    <d v="2025-07-02T00:00:00"/>
    <s v="JULY"/>
    <x v="0"/>
    <x v="3"/>
    <s v="Deposited"/>
    <s v="PMT-S114-6516"/>
    <s v=""/>
    <s v="AED"/>
    <n v="-28402.080000000002"/>
    <n v="-7733.7160000000003"/>
    <n v="7733.7160000000003"/>
    <n v="-318643.51400000002"/>
    <s v="DUMMY CUSTOMER_CASHAPPS 382 - Middle East 2"/>
    <s v="Manar Sultan"/>
    <s v="MDGAE1000439"/>
    <m/>
    <m/>
    <m/>
    <m/>
    <m/>
    <m/>
    <m/>
    <m/>
    <m/>
    <m/>
    <m/>
    <m/>
    <m/>
    <m/>
    <m/>
    <m/>
    <m/>
    <m/>
    <m/>
    <m/>
    <m/>
    <m/>
    <m/>
    <m/>
    <m/>
    <m/>
    <m/>
    <m/>
    <m/>
    <m/>
  </r>
  <r>
    <s v="382 - Middle East 2"/>
    <d v="2023-02-08T00:00:00"/>
    <s v="FEBRUARY"/>
    <x v="3"/>
    <x v="3"/>
    <s v="Deposited"/>
    <s v="PMT-S114-5312"/>
    <s v=""/>
    <s v="AED"/>
    <n v="-24255.919999999998"/>
    <n v="-6604.741"/>
    <n v="6604.741"/>
    <n v="-318643.51400000002"/>
    <s v="DUMMY CUSTOMER_CASHAPPS 382 - Middle East 2"/>
    <s v="Manar Sultan"/>
    <s v="NONREF MDGDUB208966"/>
    <m/>
    <m/>
    <m/>
    <m/>
    <m/>
    <m/>
    <m/>
    <m/>
    <m/>
    <m/>
    <m/>
    <m/>
    <m/>
    <m/>
    <m/>
    <m/>
    <m/>
    <m/>
    <m/>
    <m/>
    <m/>
    <m/>
    <m/>
    <m/>
    <m/>
    <m/>
    <m/>
    <m/>
    <m/>
    <m/>
  </r>
  <r>
    <s v="382 - Middle East 2"/>
    <d v="2026-04-23T00:00:00"/>
    <s v="APRIL"/>
    <x v="1"/>
    <x v="3"/>
    <s v="Deposited"/>
    <s v="PMT-S114-7017"/>
    <s v="IN-S114-408110"/>
    <s v="USD"/>
    <n v="-37058.82"/>
    <n v="-37009.178999999996"/>
    <n v="5551.375"/>
    <n v="-5551.375"/>
    <s v="Mood Design Trading Company (Single Person LLC)"/>
    <s v=""/>
    <s v="M0D FOR DESING AND COOOERCIAL COMPA /REF/OPERATIONAL EXPENSES PAYMENT O F INVOICE408110MOOD"/>
    <m/>
    <m/>
    <m/>
    <m/>
    <m/>
    <m/>
    <m/>
    <m/>
    <m/>
    <m/>
    <m/>
    <m/>
    <m/>
    <m/>
    <m/>
    <m/>
    <m/>
    <m/>
    <m/>
    <m/>
    <m/>
    <m/>
    <m/>
    <m/>
    <m/>
    <m/>
    <m/>
    <m/>
    <m/>
    <m/>
  </r>
  <r>
    <s v="382 - Middle East 2"/>
    <d v="2026-03-17T00:00:00"/>
    <s v="MARCH"/>
    <x v="1"/>
    <x v="3"/>
    <s v="Deposited"/>
    <s v="PMT-S114-6933"/>
    <s v="IN-S114-407823"/>
    <s v="USD"/>
    <n v="-31199.73"/>
    <n v="-31199.719000000001"/>
    <n v="4699.7290000000003"/>
    <n v="43953.078999999998"/>
    <s v="Elm Company"/>
    <s v="Manar Sultan"/>
    <s v="ELM COMPANY SAUDI JOINT STOCK COMPA ADVANCE PAYMENT"/>
    <m/>
    <m/>
    <m/>
    <m/>
    <m/>
    <m/>
    <m/>
    <m/>
    <m/>
    <m/>
    <m/>
    <m/>
    <m/>
    <m/>
    <m/>
    <m/>
    <m/>
    <m/>
    <m/>
    <m/>
    <m/>
    <m/>
    <m/>
    <m/>
    <m/>
    <m/>
    <m/>
    <m/>
    <m/>
    <m/>
  </r>
  <r>
    <s v="382 - Middle East 2"/>
    <d v="2026-04-29T00:00:00"/>
    <s v="APRIL"/>
    <x v="1"/>
    <x v="3"/>
    <s v="Deposited"/>
    <s v="PMT-S114-7034"/>
    <s v="IN-S114-408015"/>
    <s v="USD"/>
    <n v="-30956"/>
    <n v="-30791.624"/>
    <n v="4584.8649999999998"/>
    <n v="-4584.8649999999998"/>
    <s v="Fann Atheer LilDhi'ayah wal-I'lan (INVENU)"/>
    <s v="Manar Sultan"/>
    <s v="1/INVENU COMPANY LAST PAYMENT FOR MELTWATER SETTLEME NT OF BILL FX USD 30956.00 AT 3.6530000 219244593 /TMS/2026-04-29T04:17:27 GMT/MID/3.6731200"/>
    <m/>
    <m/>
    <m/>
    <m/>
    <m/>
    <m/>
    <m/>
    <m/>
    <m/>
    <m/>
    <m/>
    <m/>
    <m/>
    <m/>
    <m/>
    <m/>
    <m/>
    <m/>
    <m/>
    <m/>
    <m/>
    <m/>
    <m/>
    <m/>
    <m/>
    <m/>
    <m/>
    <m/>
    <m/>
    <m/>
  </r>
  <r>
    <s v="382 - Middle East 2"/>
    <d v="2026-03-17T00:00:00"/>
    <s v="MARCH"/>
    <x v="1"/>
    <x v="3"/>
    <s v="Deposited"/>
    <s v="PMT-S114-6931"/>
    <s v="IN-S114-407909"/>
    <s v="USD"/>
    <n v="-43656.67"/>
    <n v="-43424.853999999999"/>
    <n v="4333.5370000000003"/>
    <n v="-4333.5370000000003"/>
    <s v="Gulf Air B.S.C"/>
    <s v="Manar Sultan"/>
    <s v="1/GULF AIR B.S.C. (C) /URI/INV NO.IN-S114-407909///ROC/AT S OF 26/03/16 FX USD 43656.67 AT 3.6530000 217013037 /TMS/2026-03-17T04:17:18 GMT/MID/3.6732000"/>
    <m/>
    <m/>
    <m/>
    <m/>
    <m/>
    <m/>
    <m/>
    <m/>
    <m/>
    <m/>
    <m/>
    <m/>
    <m/>
    <m/>
    <m/>
    <m/>
    <m/>
    <m/>
    <m/>
    <m/>
    <m/>
    <m/>
    <m/>
    <m/>
    <m/>
    <m/>
    <m/>
    <m/>
    <m/>
    <m/>
  </r>
  <r>
    <s v="382 - Middle East 2"/>
    <d v="2026-03-03T00:00:00"/>
    <s v="MARCH"/>
    <x v="1"/>
    <x v="3"/>
    <s v="Deposited"/>
    <s v="PMT-S114-6917"/>
    <s v=""/>
    <s v="AED"/>
    <n v="-14721.59"/>
    <n v="-4008.6010000000001"/>
    <n v="4008.6010000000001"/>
    <n v="-318643.51400000002"/>
    <s v="DUMMY CUSTOMER_CASHAPPS 382 - Middle East 2"/>
    <s v="Manar Sultan"/>
    <s v="GAE1003276 0303205735000007 SWIFT NTRF 0303205735000007"/>
    <m/>
    <m/>
    <m/>
    <m/>
    <m/>
    <m/>
    <m/>
    <m/>
    <m/>
    <m/>
    <m/>
    <m/>
    <m/>
    <m/>
    <m/>
    <m/>
    <m/>
    <m/>
    <m/>
    <m/>
    <m/>
    <m/>
    <m/>
    <m/>
    <m/>
    <m/>
    <m/>
    <m/>
    <m/>
    <m/>
  </r>
  <r>
    <s v="382 - Middle East 2"/>
    <d v="2024-12-04T00:00:00"/>
    <s v="DECEMBER"/>
    <x v="4"/>
    <x v="3"/>
    <s v="Deposited"/>
    <s v="PMT-S114-6252"/>
    <s v=""/>
    <s v="AED"/>
    <n v="-14720"/>
    <n v="-4008.1680000000001"/>
    <n v="4008.1680000000001"/>
    <n v="-318643.51400000002"/>
    <s v="DUMMY CUSTOMER_CASHAPPS 382 - Middle East 2"/>
    <s v="Manar Sultan"/>
    <s v="NONREF MDGDUB303363"/>
    <m/>
    <m/>
    <m/>
    <m/>
    <m/>
    <m/>
    <m/>
    <m/>
    <m/>
    <m/>
    <m/>
    <m/>
    <m/>
    <m/>
    <m/>
    <m/>
    <m/>
    <m/>
    <m/>
    <m/>
    <m/>
    <m/>
    <m/>
    <m/>
    <m/>
    <m/>
    <m/>
    <m/>
    <m/>
    <m/>
  </r>
  <r>
    <s v="382 - Middle East 2"/>
    <d v="2026-02-05T00:00:00"/>
    <s v="FEBRUARY"/>
    <x v="1"/>
    <x v="3"/>
    <s v="Deposited"/>
    <s v="PMT-S114-6883"/>
    <s v="IN-S114-407858"/>
    <s v="USD"/>
    <n v="-40000"/>
    <n v="-39787.599000000002"/>
    <n v="3978.76"/>
    <n v="-4346.7950000000001"/>
    <s v="Alizz Islamic Bank SAOC"/>
    <s v="Manar Sultan"/>
    <s v="ALIZZ ISLAMIC BANK GDS VENDOR PAYMENT IN-S114-407858 FX USD 40000.00 AT 3.6530000 215325849/TMS/2026-02-05T09:43:44 GMT/MID/3.6730450"/>
    <m/>
    <m/>
    <m/>
    <m/>
    <m/>
    <m/>
    <m/>
    <m/>
    <m/>
    <m/>
    <m/>
    <m/>
    <m/>
    <m/>
    <m/>
    <m/>
    <m/>
    <m/>
    <m/>
    <m/>
    <m/>
    <m/>
    <m/>
    <m/>
    <m/>
    <m/>
    <m/>
    <m/>
    <m/>
    <m/>
  </r>
  <r>
    <s v="382 - Middle East 2"/>
    <d v="2026-03-05T00:00:00"/>
    <s v="MARCH"/>
    <x v="1"/>
    <x v="3"/>
    <s v="Deposited"/>
    <s v="PMT-S114-6923"/>
    <s v="IN-S114-408003"/>
    <s v="USD"/>
    <n v="-18519.400000000001"/>
    <n v="-18421.062000000002"/>
    <n v="2754.6950000000002"/>
    <n v="-2754.6950000000002"/>
    <s v="Keeta Technologies Arabia Limited"/>
    <s v="Manar Sultan"/>
    <s v="&quot;KEETA TECHNOLOGIES ARABIA LIMITED BUSINESS RELATED PAYMENT PAYO202603 04000309 FX USD 18519.40 AT 3.6530000 216519287 /TMS/2026-03-05T04:16:52 GMT/MID/3.6731000&quot;"/>
    <m/>
    <m/>
    <m/>
    <m/>
    <m/>
    <m/>
    <m/>
    <m/>
    <m/>
    <m/>
    <m/>
    <m/>
    <m/>
    <m/>
    <m/>
    <m/>
    <m/>
    <m/>
    <m/>
    <m/>
    <m/>
    <m/>
    <m/>
    <m/>
    <m/>
    <m/>
    <m/>
    <m/>
    <m/>
    <m/>
  </r>
  <r>
    <s v="382 - Middle East 2"/>
    <d v="2026-01-02T00:00:00"/>
    <s v="JANUARY"/>
    <x v="1"/>
    <x v="3"/>
    <s v="Deposited"/>
    <s v="PMT-S114-6825"/>
    <s v=""/>
    <s v="AED"/>
    <n v="-6615"/>
    <n v="-1801.2249999999999"/>
    <n v="1801.2249999999999"/>
    <n v="-318643.51400000002"/>
    <s v="DUMMY CUSTOMER_CASHAPPS 382 - Middle East 2"/>
    <s v="Manar Sultan"/>
    <s v="GAE1002334 0102201217000001 SWIFT NTRF 0102201217000001"/>
    <m/>
    <m/>
    <m/>
    <m/>
    <m/>
    <m/>
    <m/>
    <m/>
    <m/>
    <m/>
    <m/>
    <m/>
    <m/>
    <m/>
    <m/>
    <m/>
    <m/>
    <m/>
    <m/>
    <m/>
    <m/>
    <m/>
    <m/>
    <m/>
    <m/>
    <m/>
    <m/>
    <m/>
    <m/>
    <m/>
  </r>
  <r>
    <s v="382 - Middle East 2"/>
    <d v="2026-03-03T00:00:00"/>
    <s v="MARCH"/>
    <x v="1"/>
    <x v="3"/>
    <s v="Deposited"/>
    <s v="PMT-S114-6916"/>
    <s v="IN-S114-407951"/>
    <s v="USD"/>
    <n v="-12131.48"/>
    <n v="-12067.063"/>
    <n v="1535.047"/>
    <n v="-1535.047"/>
    <s v="The King Faisal Foundation"/>
    <s v="Manar Sultan"/>
    <s v="KING FAISAL FOUNDATION INVOICE SETTLEMENT INVOICE NO. S114 .407951 FX USD 12131.48 AT 3.6530000 216430242 /TMS/2026-03-03T04:16:52 GMT/MID/3.6732200"/>
    <m/>
    <m/>
    <m/>
    <m/>
    <m/>
    <m/>
    <m/>
    <m/>
    <m/>
    <m/>
    <m/>
    <m/>
    <m/>
    <m/>
    <m/>
    <m/>
    <m/>
    <m/>
    <m/>
    <m/>
    <m/>
    <m/>
    <m/>
    <m/>
    <m/>
    <m/>
    <m/>
    <m/>
    <m/>
    <m/>
  </r>
  <r>
    <s v="382 - Middle East 2"/>
    <d v="2022-08-22T00:00:00"/>
    <s v="AUGUST"/>
    <x v="2"/>
    <x v="3"/>
    <s v="Deposited"/>
    <s v="PMT-S114-5057"/>
    <s v=""/>
    <s v="USD"/>
    <n v="-1010"/>
    <n v="-1168.9770000000001"/>
    <n v="1168.9770000000001"/>
    <n v="-1168.9770000000001"/>
    <s v="King Abdullah University of Science &amp; Technology (KAUST)"/>
    <s v="Manar Sultan"/>
    <s v="To re-record 1010 originally recorded as 1200"/>
    <m/>
    <m/>
    <m/>
    <m/>
    <m/>
    <m/>
    <m/>
    <m/>
    <m/>
    <m/>
    <m/>
    <m/>
    <m/>
    <m/>
    <m/>
    <m/>
    <m/>
    <m/>
    <m/>
    <m/>
    <m/>
    <m/>
    <m/>
    <m/>
    <m/>
    <m/>
    <m/>
    <m/>
    <m/>
    <m/>
  </r>
  <r>
    <s v="382 - Middle East 2"/>
    <d v="2026-02-06T00:00:00"/>
    <s v="FEBRUARY"/>
    <x v="1"/>
    <x v="3"/>
    <s v="Deposited"/>
    <s v="PMT-S114-6887"/>
    <s v="IN-S114-407931"/>
    <s v="USD"/>
    <n v="-7385.29"/>
    <n v="-7346.0730000000003"/>
    <n v="1059.6320000000001"/>
    <n v="-1059.6320000000001"/>
    <s v="albilad althaniah Company For Tourism"/>
    <s v="Manar Sultan"/>
    <s v="ALBILAD ALTHANIAH COMPANY SETTLEMENT OF BILLS IN S114 407931 FX USD 7385.29 AT 3.6530000 215357861/TMS/2026-02-06T04:16:44 GMT/MID/3.6730450"/>
    <m/>
    <m/>
    <m/>
    <m/>
    <m/>
    <m/>
    <m/>
    <m/>
    <m/>
    <m/>
    <m/>
    <m/>
    <m/>
    <m/>
    <m/>
    <m/>
    <m/>
    <m/>
    <m/>
    <m/>
    <m/>
    <m/>
    <m/>
    <m/>
    <m/>
    <m/>
    <m/>
    <m/>
    <m/>
    <m/>
  </r>
  <r>
    <s v="382 - Middle East 2"/>
    <d v="2026-03-09T00:00:00"/>
    <s v="MARCH"/>
    <x v="1"/>
    <x v="3"/>
    <s v="Deposited"/>
    <s v="PMT-S114-6925"/>
    <s v="IN-S114-407930"/>
    <s v="USD"/>
    <n v="-5986.29"/>
    <n v="-5954.5060000000003"/>
    <n v="782.11599999999999"/>
    <n v="48970.81"/>
    <s v="Tact Digital Marketing Company"/>
    <s v="Manar Sultan"/>
    <s v="TACT DIGITAL MARKETING CO 3112 TARE /REF/Purchase/expenses/Utilities in v 407 930"/>
    <m/>
    <m/>
    <m/>
    <m/>
    <m/>
    <m/>
    <m/>
    <m/>
    <m/>
    <m/>
    <m/>
    <m/>
    <m/>
    <m/>
    <m/>
    <m/>
    <m/>
    <m/>
    <m/>
    <m/>
    <m/>
    <m/>
    <m/>
    <m/>
    <m/>
    <m/>
    <m/>
    <m/>
    <m/>
    <m/>
  </r>
  <r>
    <s v="382 - Middle East 2"/>
    <d v="2026-04-15T00:00:00"/>
    <s v="APRIL"/>
    <x v="1"/>
    <x v="3"/>
    <s v="Deposited"/>
    <s v="PMT-S114-6999"/>
    <s v="IN-S114-408098"/>
    <s v="USD"/>
    <n v="-3700"/>
    <n v="-3680.3530000000001"/>
    <n v="368.03500000000003"/>
    <n v="-4346.7950000000001"/>
    <s v="Alizz Islamic Bank SAOC"/>
    <s v="Manar Sultan"/>
    <s v="ALIZZ ISLAMIC BANK VENDOR PAYMENT IN-S114-408098 FX USD 3700.00 AT 3.6530000 218592617/TMS/2026-04-15T12:18:30 GMT/MID/3.6731200"/>
    <m/>
    <m/>
    <m/>
    <m/>
    <m/>
    <m/>
    <m/>
    <m/>
    <m/>
    <m/>
    <m/>
    <m/>
    <m/>
    <m/>
    <m/>
    <m/>
    <m/>
    <m/>
    <m/>
    <m/>
    <m/>
    <m/>
    <m/>
    <m/>
    <m/>
    <m/>
    <m/>
    <m/>
    <m/>
    <m/>
  </r>
  <r>
    <s v="382 - Middle East 2"/>
    <d v="2026-01-07T00:00:00"/>
    <s v="JANUARY"/>
    <x v="1"/>
    <x v="3"/>
    <s v="Deposited"/>
    <s v="PMT-S114-6836"/>
    <s v="IN-S114-407671"/>
    <s v="AED"/>
    <n v="-119420.61"/>
    <n v="-32517.516"/>
    <n v="323.35500000000002"/>
    <n v="-323.35500000000002"/>
    <s v="BOOPIN LIMITED"/>
    <s v="Manar Sultan"/>
    <s v="YY BOOPIN LIMITED FD GROUND FLOOR ACCELERATOR BLDNG MASDAR CITY AUH Abu Dhabi UAE Meltwater Middle East 2 FZ LLC DUBAI UNITED ARAB EMIRATES UNITED A RAB EMIRATES AE /REF/PMT inv407671 BOOPIN LIMITED/REF/PMT inv407671 AER070162Y0OWZUQ SWIFT S103 AER070162Y0OWZUQ"/>
    <m/>
    <m/>
    <m/>
    <m/>
    <m/>
    <m/>
    <m/>
    <m/>
    <m/>
    <m/>
    <m/>
    <m/>
    <m/>
    <m/>
    <m/>
    <m/>
    <m/>
    <m/>
    <m/>
    <m/>
    <m/>
    <m/>
    <m/>
    <m/>
    <m/>
    <m/>
    <m/>
    <m/>
    <m/>
    <m/>
  </r>
  <r>
    <s v="382 - Middle East 2"/>
    <d v="2025-03-26T00:00:00"/>
    <s v="MARCH"/>
    <x v="0"/>
    <x v="3"/>
    <s v="Deposited"/>
    <s v="PMT-S114-6387"/>
    <s v="IN-S114-407439"/>
    <s v="AED"/>
    <n v="-50690.85"/>
    <n v="-13802.814"/>
    <n v="3.0000000000000001E-3"/>
    <n v="-3.0000000000000001E-3"/>
    <s v="Department of Culture and Tourism Abu Dhabi"/>
    <s v="Manar Sultan"/>
    <s v=""/>
    <m/>
    <m/>
    <m/>
    <m/>
    <m/>
    <m/>
    <m/>
    <m/>
    <m/>
    <m/>
    <m/>
    <m/>
    <m/>
    <m/>
    <m/>
    <m/>
    <m/>
    <m/>
    <m/>
    <m/>
    <m/>
    <m/>
    <m/>
    <m/>
    <m/>
    <m/>
    <m/>
    <m/>
    <m/>
    <m/>
  </r>
  <r>
    <s v="391 - South Africa"/>
    <d v="2023-12-06T00:00:00"/>
    <s v="DECEMBER"/>
    <x v="3"/>
    <x v="3"/>
    <s v="Deposited"/>
    <s v="PMT-S144-10233"/>
    <s v=""/>
    <s v="ZAR"/>
    <n v="-71801"/>
    <n v="-4279.8999999999996"/>
    <n v="4279.8999999999996"/>
    <n v="-7507.7089999999998"/>
    <s v="DUMMY CUSTOMER_CASHAPPS 391 - South Africa"/>
    <s v="Jan Sutherland"/>
    <s v="ROF AS UNABE TO APPLY TT JOH3032WYMNYN FX USD 3878.00 AT 18.5149550"/>
    <m/>
    <m/>
    <m/>
    <m/>
    <m/>
    <m/>
    <m/>
    <m/>
    <m/>
    <m/>
    <m/>
    <m/>
    <m/>
    <m/>
    <m/>
    <m/>
    <m/>
    <m/>
    <m/>
    <m/>
    <m/>
    <m/>
    <m/>
    <m/>
    <m/>
    <m/>
    <m/>
    <m/>
    <m/>
    <m/>
  </r>
  <r>
    <s v="391 - South Africa"/>
    <d v="2024-01-15T00:00:00"/>
    <s v="JANUARY"/>
    <x v="4"/>
    <x v="3"/>
    <s v="Deposited"/>
    <s v="PMT-S144-10307"/>
    <s v=""/>
    <s v="ZAR"/>
    <n v="-47311.8"/>
    <n v="-2820.152"/>
    <n v="2820.152"/>
    <n v="-7507.7089999999998"/>
    <s v="DUMMY CUSTOMER_CASHAPPS 391 - South Africa"/>
    <s v="Jan Sutherland"/>
    <s v="INYOSIED6 SURRENDER ZAHNET  3728243 BSV Standard"/>
    <m/>
    <m/>
    <m/>
    <m/>
    <m/>
    <m/>
    <m/>
    <m/>
    <m/>
    <m/>
    <m/>
    <m/>
    <m/>
    <m/>
    <m/>
    <m/>
    <m/>
    <m/>
    <m/>
    <m/>
    <m/>
    <m/>
    <m/>
    <m/>
    <m/>
    <m/>
    <m/>
    <m/>
    <m/>
    <m/>
  </r>
  <r>
    <s v="391 - South Africa"/>
    <d v="2026-01-16T00:00:00"/>
    <s v="JANUARY"/>
    <x v="1"/>
    <x v="3"/>
    <s v="Deposited"/>
    <s v="PMT-S144-11772"/>
    <s v="IN-S144-409201"/>
    <s v="ZAR"/>
    <n v="-115000"/>
    <n v="-6854.8969999999999"/>
    <n v="1713.7239999999999"/>
    <n v="-1713.7239999999999"/>
    <s v="All Inn Management"/>
    <s v="Georgia Albutt"/>
    <s v="ALL INN - 409201 ZAHNET  5280217 BSV Standard"/>
    <m/>
    <m/>
    <m/>
    <m/>
    <m/>
    <m/>
    <m/>
    <m/>
    <m/>
    <m/>
    <m/>
    <m/>
    <m/>
    <m/>
    <m/>
    <m/>
    <m/>
    <m/>
    <m/>
    <m/>
    <m/>
    <m/>
    <m/>
    <m/>
    <m/>
    <m/>
    <m/>
    <m/>
    <m/>
    <m/>
  </r>
  <r>
    <s v="391 - South Africa"/>
    <d v="2025-07-31T00:00:00"/>
    <s v="JULY"/>
    <x v="0"/>
    <x v="3"/>
    <s v="Not Deposited"/>
    <s v="PMT-S144-11484"/>
    <s v="IN-S144-409223"/>
    <s v="ZAR"/>
    <n v="-74750"/>
    <n v="-4455.683"/>
    <n v="1370.979"/>
    <n v="171.37200000000001"/>
    <s v="PARAMOUNT INTERNATIONAL PTY LTD"/>
    <s v="Georgia Albutt-392"/>
    <s v="Moved from PMT-S144-11402"/>
    <m/>
    <m/>
    <m/>
    <m/>
    <m/>
    <m/>
    <m/>
    <m/>
    <m/>
    <m/>
    <m/>
    <m/>
    <m/>
    <m/>
    <m/>
    <m/>
    <m/>
    <m/>
    <m/>
    <m/>
    <m/>
    <m/>
    <m/>
    <m/>
    <m/>
    <m/>
    <m/>
    <m/>
    <m/>
    <m/>
  </r>
  <r>
    <s v="391 - South Africa"/>
    <d v="2022-05-04T00:00:00"/>
    <s v="MAY"/>
    <x v="2"/>
    <x v="3"/>
    <s v="Deposited"/>
    <s v="PMT-S144-8824"/>
    <s v="IN-S144-405792"/>
    <s v="ZAR"/>
    <n v="-10000"/>
    <n v="-596.07799999999997"/>
    <n v="536.47"/>
    <n v="-1351.905"/>
    <s v="David Tlale"/>
    <s v="Georgia Albutt-392"/>
    <s v="DAVID TLALE PTY LTD ZAHNET  2928763 BSV Standard"/>
    <m/>
    <m/>
    <m/>
    <m/>
    <m/>
    <m/>
    <m/>
    <m/>
    <m/>
    <m/>
    <m/>
    <m/>
    <m/>
    <m/>
    <m/>
    <m/>
    <m/>
    <m/>
    <m/>
    <m/>
    <m/>
    <m/>
    <m/>
    <m/>
    <m/>
    <m/>
    <m/>
    <m/>
    <m/>
    <m/>
  </r>
  <r>
    <s v="391 - South Africa"/>
    <d v="2024-10-31T00:00:00"/>
    <s v="OCTOBER"/>
    <x v="4"/>
    <x v="3"/>
    <s v="Deposited"/>
    <s v="PMT-S144-11015"/>
    <s v="IN-S144-408707"/>
    <s v="ZAR"/>
    <n v="-65463.75"/>
    <n v="-3902.15"/>
    <n v="474.702"/>
    <n v="-474.702"/>
    <s v="Blou Bulle Maatskappy (EDMS) bpk"/>
    <s v="Georgia Albutt-392"/>
    <s v="CASHFOCUS BLUE BULLS CO ZAHNET  4226371 BSV Standard"/>
    <m/>
    <m/>
    <m/>
    <m/>
    <m/>
    <m/>
    <m/>
    <m/>
    <m/>
    <m/>
    <m/>
    <m/>
    <m/>
    <m/>
    <m/>
    <m/>
    <m/>
    <m/>
    <m/>
    <m/>
    <m/>
    <m/>
    <m/>
    <m/>
    <m/>
    <m/>
    <m/>
    <m/>
    <m/>
    <m/>
  </r>
  <r>
    <s v="391 - South Africa"/>
    <d v="2026-04-16T00:00:00"/>
    <s v="APRIL"/>
    <x v="1"/>
    <x v="3"/>
    <s v="Deposited"/>
    <s v="PMT-S144-11906"/>
    <s v=""/>
    <s v="ZAR"/>
    <n v="-6838.99"/>
    <n v="-407.65699999999998"/>
    <n v="407.65699999999998"/>
    <n v="-7507.7089999999998"/>
    <s v="DUMMY CUSTOMER_CASHAPPS 391 - South Africa"/>
    <s v="Jan Sutherland"/>
    <s v="PAYMASTER PEOPLE SOLUTIONS PTY"/>
    <m/>
    <m/>
    <m/>
    <m/>
    <m/>
    <m/>
    <m/>
    <m/>
    <m/>
    <m/>
    <m/>
    <m/>
    <m/>
    <m/>
    <m/>
    <m/>
    <m/>
    <m/>
    <m/>
    <m/>
    <m/>
    <m/>
    <m/>
    <m/>
    <m/>
    <m/>
    <m/>
    <m/>
    <m/>
    <m/>
  </r>
  <r>
    <s v="391 - South Africa"/>
    <d v="2022-07-18T00:00:00"/>
    <s v="JULY"/>
    <x v="2"/>
    <x v="3"/>
    <s v="Deposited"/>
    <s v="PMT-S144-9003"/>
    <s v=""/>
    <s v="ZAR"/>
    <n v="-5000"/>
    <n v="-298.03899999999999"/>
    <n v="298.03899999999999"/>
    <n v="-1351.905"/>
    <s v="David Tlale"/>
    <s v="Georgia Albutt-392"/>
    <s v="DAVID TLALE PTY LTD ZAHNET  3022778 BSV Standard"/>
    <m/>
    <m/>
    <m/>
    <m/>
    <m/>
    <m/>
    <m/>
    <m/>
    <m/>
    <m/>
    <m/>
    <m/>
    <m/>
    <m/>
    <m/>
    <m/>
    <m/>
    <m/>
    <m/>
    <m/>
    <m/>
    <m/>
    <m/>
    <m/>
    <m/>
    <m/>
    <m/>
    <m/>
    <m/>
    <m/>
  </r>
  <r>
    <s v="391 - South Africa"/>
    <d v="2022-08-29T00:00:00"/>
    <s v="AUGUST"/>
    <x v="2"/>
    <x v="3"/>
    <s v="Deposited"/>
    <s v="PMT-S144-9128"/>
    <s v=""/>
    <s v="ZAR"/>
    <n v="-4680"/>
    <n v="-278.96499999999997"/>
    <n v="278.96499999999997"/>
    <n v="-1351.905"/>
    <s v="David Tlale"/>
    <s v="Georgia Albutt-392"/>
    <s v="DAVID TLALE PTY LTD ZAHNET  3076783 BSV Standard"/>
    <m/>
    <m/>
    <m/>
    <m/>
    <m/>
    <m/>
    <m/>
    <m/>
    <m/>
    <m/>
    <m/>
    <m/>
    <m/>
    <m/>
    <m/>
    <m/>
    <m/>
    <m/>
    <m/>
    <m/>
    <m/>
    <m/>
    <m/>
    <m/>
    <m/>
    <m/>
    <m/>
    <m/>
    <m/>
    <m/>
  </r>
  <r>
    <s v="391 - South Africa"/>
    <d v="2022-08-23T00:00:00"/>
    <s v="AUGUST"/>
    <x v="2"/>
    <x v="3"/>
    <s v="Deposited"/>
    <s v="PMT-S144-9109"/>
    <s v=""/>
    <s v="ZAR"/>
    <n v="-4000"/>
    <n v="-238.43100000000001"/>
    <n v="238.43100000000001"/>
    <n v="-1351.905"/>
    <s v="David Tlale"/>
    <s v="Georgia Albutt-392"/>
    <s v="DAVID TLALE PTY LTD ZAHNET  3069699 BSV Standard"/>
    <m/>
    <m/>
    <m/>
    <m/>
    <m/>
    <m/>
    <m/>
    <m/>
    <m/>
    <m/>
    <m/>
    <m/>
    <m/>
    <m/>
    <m/>
    <m/>
    <m/>
    <m/>
    <m/>
    <m/>
    <m/>
    <m/>
    <m/>
    <m/>
    <m/>
    <m/>
    <m/>
    <m/>
    <m/>
    <m/>
  </r>
  <r>
    <s v="401 - India"/>
    <d v="2025-09-02T00:00:00"/>
    <s v="SEPTEMBER"/>
    <x v="0"/>
    <x v="3"/>
    <s v="Deposited"/>
    <s v="PMT-S117-12590"/>
    <s v=""/>
    <s v="INR"/>
    <n v="-1167188.3999999999"/>
    <n v="-12278.589"/>
    <n v="12278.589"/>
    <n v="-12278.589"/>
    <s v="Kline + Company"/>
    <s v="Prabhat Aggarwal"/>
    <s v="NEFT FROM KLINE INDIA RESEARCH A ND HDFCN52025090245619618 HDFC 0001 2025/09/02 140324 HDFCH00457268120"/>
    <m/>
    <m/>
    <m/>
    <m/>
    <m/>
    <m/>
    <m/>
    <m/>
    <m/>
    <m/>
    <m/>
    <m/>
    <m/>
    <m/>
    <m/>
    <m/>
    <m/>
    <m/>
    <m/>
    <m/>
    <m/>
    <m/>
    <m/>
    <m/>
    <m/>
    <m/>
    <m/>
    <m/>
    <m/>
    <m/>
  </r>
  <r>
    <s v="401 - India"/>
    <d v="2026-04-24T00:00:00"/>
    <s v="APRIL"/>
    <x v="1"/>
    <x v="3"/>
    <s v="Deposited"/>
    <s v="PMT-S117-13150"/>
    <s v=""/>
    <s v="INR"/>
    <n v="-490000"/>
    <n v="-5154.7020000000002"/>
    <n v="5154.7020000000002"/>
    <n v="-18718.503000000001"/>
    <s v="DUMMY CUSTOMER_CASHAPPS 401 - India"/>
    <s v="Prabhat Aggarwal"/>
    <s v="/00060330006652 LOTTEINDIACORPORATIONPRIVATELTD 2026/04/24 183004 HDFC042450066005 HDFCR52026042450066005"/>
    <m/>
    <m/>
    <m/>
    <m/>
    <m/>
    <m/>
    <m/>
    <m/>
    <m/>
    <m/>
    <m/>
    <m/>
    <m/>
    <m/>
    <m/>
    <m/>
    <m/>
    <m/>
    <m/>
    <m/>
    <m/>
    <m/>
    <m/>
    <m/>
    <m/>
    <m/>
    <m/>
    <m/>
    <m/>
    <m/>
  </r>
  <r>
    <s v="401 - India"/>
    <d v="2026-01-08T00:00:00"/>
    <s v="JANUARY"/>
    <x v="1"/>
    <x v="3"/>
    <s v="Deposited"/>
    <s v="PMT-S117-12894"/>
    <s v=""/>
    <s v="USD"/>
    <n v="-5400"/>
    <n v="-5011.1660000000002"/>
    <n v="5011.1660000000002"/>
    <n v="-5011.1660000000002"/>
    <s v="ForethoughtPR Limited"/>
    <s v="Prabhat Aggarwal"/>
    <s v="FORETHOUGHT PR LIMITED TFR+ /URI/PAYMENT FOR ONLINE NEWS MONITO RING CHARGE,INVOICE NO.: IN- 07826,DATED 15.04.2025 FX USD 5400.00 AT 88.2139975 214209306/TMS/2026-01-08T10:07:37 GMT /MID/89.9340000"/>
    <m/>
    <m/>
    <m/>
    <m/>
    <m/>
    <m/>
    <m/>
    <m/>
    <m/>
    <m/>
    <m/>
    <m/>
    <m/>
    <m/>
    <m/>
    <m/>
    <m/>
    <m/>
    <m/>
    <m/>
    <m/>
    <m/>
    <m/>
    <m/>
    <m/>
    <m/>
    <m/>
    <m/>
    <m/>
    <m/>
  </r>
  <r>
    <s v="401 - India"/>
    <d v="2025-01-29T00:00:00"/>
    <s v="JANUARY"/>
    <x v="0"/>
    <x v="3"/>
    <s v="Deposited"/>
    <s v="PMT-S117-11920"/>
    <s v=""/>
    <s v="INR"/>
    <n v="-463274"/>
    <n v="-4873.55"/>
    <n v="4873.55"/>
    <n v="-18718.503000000001"/>
    <s v="DUMMY CUSTOMER_CASHAPPS 401 - India"/>
    <s v="Prabhat Aggarwal"/>
    <s v="/054105001095 STAR INDIA PRIVATE LIMITED 2025/01/29 185416 ICIC012907533186 ICICR22025012907533186"/>
    <m/>
    <m/>
    <m/>
    <m/>
    <m/>
    <m/>
    <m/>
    <m/>
    <m/>
    <m/>
    <m/>
    <m/>
    <m/>
    <m/>
    <m/>
    <m/>
    <m/>
    <m/>
    <m/>
    <m/>
    <m/>
    <m/>
    <m/>
    <m/>
    <m/>
    <m/>
    <m/>
    <m/>
    <m/>
    <m/>
  </r>
  <r>
    <s v="401 - India"/>
    <d v="2025-07-21T00:00:00"/>
    <s v="JULY"/>
    <x v="0"/>
    <x v="3"/>
    <s v="Deposited"/>
    <s v="PMT-S117-12517"/>
    <s v=""/>
    <s v="INR"/>
    <n v="-400000"/>
    <n v="-4207.92"/>
    <n v="4207.92"/>
    <n v="-18718.503000000001"/>
    <s v="DUMMY CUSTOMER_CASHAPPS 401 - India"/>
    <s v="Prabhat Aggarwal"/>
    <s v="NEFT FROM NEFT   INWARD RECEIVED REBI /NEFT/ 2025/07/21 133617"/>
    <m/>
    <m/>
    <m/>
    <m/>
    <m/>
    <m/>
    <m/>
    <m/>
    <m/>
    <m/>
    <m/>
    <m/>
    <m/>
    <m/>
    <m/>
    <m/>
    <m/>
    <m/>
    <m/>
    <m/>
    <m/>
    <m/>
    <m/>
    <m/>
    <m/>
    <m/>
    <m/>
    <m/>
    <m/>
    <m/>
  </r>
  <r>
    <s v="401 - India"/>
    <d v="2026-02-12T00:00:00"/>
    <s v="FEBRUARY"/>
    <x v="1"/>
    <x v="3"/>
    <s v="Deposited"/>
    <s v="PMT-S117-12994"/>
    <s v=""/>
    <s v="INR"/>
    <n v="-337500"/>
    <n v="-3550.433"/>
    <n v="3550.433"/>
    <n v="-3550.433"/>
    <s v="Ting Works LLP"/>
    <s v="Prabhat Aggarwal"/>
    <s v="NEFT FROM TING WORKS LLP UTIBN62026021221792881 UTIB Meltwater India Pvt Ltd 2026/02/12 113232 AXISP00769058642"/>
    <m/>
    <m/>
    <m/>
    <m/>
    <m/>
    <m/>
    <m/>
    <m/>
    <m/>
    <m/>
    <m/>
    <m/>
    <m/>
    <m/>
    <m/>
    <m/>
    <m/>
    <m/>
    <m/>
    <m/>
    <m/>
    <m/>
    <m/>
    <m/>
    <m/>
    <m/>
    <m/>
    <m/>
    <m/>
    <m/>
  </r>
  <r>
    <s v="401 - India"/>
    <d v="2025-07-18T00:00:00"/>
    <s v="JULY"/>
    <x v="0"/>
    <x v="3"/>
    <s v="Deposited"/>
    <s v="PMT-S117-12516"/>
    <s v=""/>
    <s v="INR"/>
    <n v="-216270"/>
    <n v="-2275.1170000000002"/>
    <n v="2275.1170000000002"/>
    <n v="13086.978999999999"/>
    <s v="Shemaroo Entertainment Private Limited"/>
    <s v="Prabhat Aggarwal"/>
    <s v="/35159527924 SHEMAROO ENTERTAINMENT LIMITED SHEMAROO ENTERTAINMENT LIMITED 2025/07/18 180641 SBIN071892589584 SBINR12025071892589584"/>
    <m/>
    <m/>
    <m/>
    <m/>
    <m/>
    <m/>
    <m/>
    <m/>
    <m/>
    <m/>
    <m/>
    <m/>
    <m/>
    <m/>
    <m/>
    <m/>
    <m/>
    <m/>
    <m/>
    <m/>
    <m/>
    <m/>
    <m/>
    <m/>
    <m/>
    <m/>
    <m/>
    <m/>
    <m/>
    <m/>
  </r>
  <r>
    <s v="401 - India"/>
    <d v="2025-07-17T00:00:00"/>
    <s v="JULY"/>
    <x v="0"/>
    <x v="3"/>
    <s v="Deposited"/>
    <s v="PMT-S117-12508"/>
    <s v=""/>
    <s v="INR"/>
    <n v="-216000"/>
    <n v="-2272.277"/>
    <n v="2272.277"/>
    <n v="-1851.4849999999999"/>
    <s v="GENESIS ADVERTISING PRIVATE LIMITED"/>
    <s v="Prabhat Aggarwal"/>
    <s v="/00142000027806 GENESIS ADVERTISING PVT LTD 2025/07/17 181759 HDFC071791824899 HDFCR52025071791824899"/>
    <m/>
    <m/>
    <m/>
    <m/>
    <m/>
    <m/>
    <m/>
    <m/>
    <m/>
    <m/>
    <m/>
    <m/>
    <m/>
    <m/>
    <m/>
    <m/>
    <m/>
    <m/>
    <m/>
    <m/>
    <m/>
    <m/>
    <m/>
    <m/>
    <m/>
    <m/>
    <m/>
    <m/>
    <m/>
    <m/>
  </r>
  <r>
    <s v="401 - India"/>
    <d v="2026-03-13T00:00:00"/>
    <s v="MARCH"/>
    <x v="1"/>
    <x v="3"/>
    <s v="Deposited"/>
    <s v="PMT-S117-13046"/>
    <s v=""/>
    <s v="INR"/>
    <n v="-177000"/>
    <n v="-1862.0050000000001"/>
    <n v="1862.0050000000001"/>
    <n v="-1862.0050000000001"/>
    <s v="ANJ CREATIONS PRIVATE LIMITED"/>
    <s v="Prabhat Aggarwal"/>
    <s v="NEFT FROM ANJ CREATIONS PRIVATE L IM YESBN12026031305940553 YESB 2603131917130016 ANJ CREATIONS PVT 2026/03/13 210223 YESIG60720261741"/>
    <m/>
    <m/>
    <m/>
    <m/>
    <m/>
    <m/>
    <m/>
    <m/>
    <m/>
    <m/>
    <m/>
    <m/>
    <m/>
    <m/>
    <m/>
    <m/>
    <m/>
    <m/>
    <m/>
    <m/>
    <m/>
    <m/>
    <m/>
    <m/>
    <m/>
    <m/>
    <m/>
    <m/>
    <m/>
    <m/>
  </r>
  <r>
    <s v="401 - India"/>
    <d v="2025-05-16T00:00:00"/>
    <s v="MAY"/>
    <x v="0"/>
    <x v="3"/>
    <s v="Not Deposited"/>
    <s v="PMT-S117-12348"/>
    <s v=""/>
    <s v="INR"/>
    <n v="-154426"/>
    <n v="-1624.5309999999999"/>
    <n v="1624.5309999999999"/>
    <n v="-18718.503000000001"/>
    <s v="DUMMY CUSTOMER_CASHAPPS 401 - India"/>
    <s v="Prabhat Aggarwal"/>
    <s v="NEFT FROM STAR INDIA PRIVATE LIMITE ICIB STAR INDIA PRIVATE LIMITED 2025/05/16 193637"/>
    <m/>
    <m/>
    <m/>
    <m/>
    <m/>
    <m/>
    <m/>
    <m/>
    <m/>
    <m/>
    <m/>
    <m/>
    <m/>
    <m/>
    <m/>
    <m/>
    <m/>
    <m/>
    <m/>
    <m/>
    <m/>
    <m/>
    <m/>
    <m/>
    <m/>
    <m/>
    <m/>
    <m/>
    <m/>
    <m/>
  </r>
  <r>
    <s v="401 - India"/>
    <d v="2025-11-11T00:00:00"/>
    <s v="NOVEMBER"/>
    <x v="0"/>
    <x v="3"/>
    <s v="Deposited"/>
    <s v="PMT-S117-12762"/>
    <s v=""/>
    <s v="INR"/>
    <n v="-102060"/>
    <n v="-1073.6510000000001"/>
    <n v="1073.6510000000001"/>
    <n v="-18718.503000000001"/>
    <s v="DUMMY CUSTOMER_CASHAPPS 401 - India"/>
    <s v="Prabhat Aggarwal"/>
    <s v="NEFT FROM JIOSTAR INDIA PRIVATE L IM ICICN22025111119808714 ICIB JIOSTAR INDIA PRIVATE LIMITED 2025/11/11 190930 IN22531519808714"/>
    <m/>
    <m/>
    <m/>
    <m/>
    <m/>
    <m/>
    <m/>
    <m/>
    <m/>
    <m/>
    <m/>
    <m/>
    <m/>
    <m/>
    <m/>
    <m/>
    <m/>
    <m/>
    <m/>
    <m/>
    <m/>
    <m/>
    <m/>
    <m/>
    <m/>
    <m/>
    <m/>
    <m/>
    <m/>
    <m/>
  </r>
  <r>
    <s v="401 - India"/>
    <d v="2025-02-04T00:00:00"/>
    <s v="FEBRUARY"/>
    <x v="0"/>
    <x v="3"/>
    <s v="Deposited"/>
    <s v="PMT-S117-11949"/>
    <s v=""/>
    <s v="INR"/>
    <n v="-92654.82"/>
    <n v="-974.71"/>
    <n v="974.71"/>
    <n v="-18718.503000000001"/>
    <s v="DUMMY CUSTOMER_CASHAPPS 401 - India"/>
    <s v="Prabhat Aggarwal"/>
    <s v="NEFT FROM STAR INDIA PRIVATE LIMITE ICIB STAR INDIA PRIVATE LIMITED 2025/02/04 193337"/>
    <m/>
    <m/>
    <m/>
    <m/>
    <m/>
    <m/>
    <m/>
    <m/>
    <m/>
    <m/>
    <m/>
    <m/>
    <m/>
    <m/>
    <m/>
    <m/>
    <m/>
    <m/>
    <m/>
    <m/>
    <m/>
    <m/>
    <m/>
    <m/>
    <m/>
    <m/>
    <m/>
    <m/>
    <m/>
    <m/>
  </r>
  <r>
    <s v="401 - India"/>
    <d v="2024-07-29T00:00:00"/>
    <s v="JULY"/>
    <x v="4"/>
    <x v="3"/>
    <s v="Deposited"/>
    <s v="PMT-S117-11417"/>
    <s v=""/>
    <s v="INR"/>
    <n v="-85050"/>
    <n v="-894.70899999999995"/>
    <n v="894.70899999999995"/>
    <n v="-894.70899999999995"/>
    <s v="Viacom 18 Media Private Limited"/>
    <s v="Prabhat Aggarwal"/>
    <s v="NEFT FROM VIACOM 18 MEDIA PVT LTD ICIB VIACOM 18 MEDIA PVT LTD 2024/07/29 183604"/>
    <m/>
    <m/>
    <m/>
    <m/>
    <m/>
    <m/>
    <m/>
    <m/>
    <m/>
    <m/>
    <m/>
    <m/>
    <m/>
    <m/>
    <m/>
    <m/>
    <m/>
    <m/>
    <m/>
    <m/>
    <m/>
    <m/>
    <m/>
    <m/>
    <m/>
    <m/>
    <m/>
    <m/>
    <m/>
    <m/>
  </r>
  <r>
    <s v="401 - India"/>
    <d v="2025-11-06T00:00:00"/>
    <s v="NOVEMBER"/>
    <x v="0"/>
    <x v="3"/>
    <s v="Deposited"/>
    <s v="PMT-S117-12725"/>
    <s v="IN-S117-407871"/>
    <s v="INR"/>
    <n v="-310953.61"/>
    <n v="-3271.17"/>
    <n v="682.87800000000004"/>
    <n v="-682.87800000000004"/>
    <s v="Air India Limited"/>
    <s v="Prabhat Aggarwal"/>
    <s v="WHT as per Manar mail 11.06.2025"/>
    <m/>
    <m/>
    <m/>
    <m/>
    <m/>
    <m/>
    <m/>
    <m/>
    <m/>
    <m/>
    <m/>
    <m/>
    <m/>
    <m/>
    <m/>
    <m/>
    <m/>
    <m/>
    <m/>
    <m/>
    <m/>
    <m/>
    <m/>
    <m/>
    <m/>
    <m/>
    <m/>
    <m/>
    <m/>
    <m/>
  </r>
  <r>
    <s v="401 - India"/>
    <d v="2025-11-14T00:00:00"/>
    <s v="NOVEMBER"/>
    <x v="0"/>
    <x v="3"/>
    <s v="Deposited"/>
    <s v="PMT-S117-12776"/>
    <s v=""/>
    <s v="INR"/>
    <n v="-35640"/>
    <n v="-374.92599999999999"/>
    <n v="374.92599999999999"/>
    <n v="-18718.503000000001"/>
    <s v="DUMMY CUSTOMER_CASHAPPS 401 - India"/>
    <s v="Prabhat Aggarwal"/>
    <s v="NEFT FROM JIOSTAR INDIA PRIVATE LI M ICICN22025111423350625 ICIB JIOSTAR INDIA PRIVATE LIMITED 2025/11/14 183622 IN22531823350625"/>
    <m/>
    <m/>
    <m/>
    <m/>
    <m/>
    <m/>
    <m/>
    <m/>
    <m/>
    <m/>
    <m/>
    <m/>
    <m/>
    <m/>
    <m/>
    <m/>
    <m/>
    <m/>
    <m/>
    <m/>
    <m/>
    <m/>
    <m/>
    <m/>
    <m/>
    <m/>
    <m/>
    <m/>
    <m/>
    <m/>
  </r>
  <r>
    <s v="401 - India"/>
    <d v="2025-05-23T00:00:00"/>
    <s v="MAY"/>
    <x v="0"/>
    <x v="3"/>
    <s v="Deposited"/>
    <s v="PMT-S117-12358"/>
    <s v=""/>
    <s v="INR"/>
    <n v="-30885.3"/>
    <n v="-324.90699999999998"/>
    <n v="324.90699999999998"/>
    <n v="-18718.503000000001"/>
    <s v="DUMMY CUSTOMER_CASHAPPS 401 - India"/>
    <s v="Prabhat Aggarwal"/>
    <s v="NEFT FROM STAR INDIA PRIVATE LIMITE ICIB STAR INDIA PRIVATE LIMITED 2025/05/23 190655"/>
    <m/>
    <m/>
    <m/>
    <m/>
    <m/>
    <m/>
    <m/>
    <m/>
    <m/>
    <m/>
    <m/>
    <m/>
    <m/>
    <m/>
    <m/>
    <m/>
    <m/>
    <m/>
    <m/>
    <m/>
    <m/>
    <m/>
    <m/>
    <m/>
    <m/>
    <m/>
    <m/>
    <m/>
    <m/>
    <m/>
  </r>
  <r>
    <s v="401 - India"/>
    <d v="2023-11-06T00:00:00"/>
    <s v="NOVEMBER"/>
    <x v="3"/>
    <x v="3"/>
    <s v="Deposited"/>
    <s v="PMT-S117-10741"/>
    <s v=""/>
    <s v="INR"/>
    <n v="-5550"/>
    <n v="-58.384999999999998"/>
    <n v="58.384999999999998"/>
    <n v="-18718.503000000001"/>
    <s v="DUMMY CUSTOMER_CASHAPPS 401 - India"/>
    <s v="Prabhat Aggarwal"/>
    <s v="NEFT FROM FINANCIAL SERVICES CENTER BANS PR12038268 IN S117 406893 19BG3023P 2023/11/06 040110"/>
    <m/>
    <m/>
    <m/>
    <m/>
    <m/>
    <m/>
    <m/>
    <m/>
    <m/>
    <m/>
    <m/>
    <m/>
    <m/>
    <m/>
    <m/>
    <m/>
    <m/>
    <m/>
    <m/>
    <m/>
    <m/>
    <m/>
    <m/>
    <m/>
    <m/>
    <m/>
    <m/>
    <m/>
    <m/>
    <m/>
  </r>
  <r>
    <s v="401 - India"/>
    <d v="2023-03-03T00:00:00"/>
    <s v="MARCH"/>
    <x v="3"/>
    <x v="3"/>
    <s v="Deposited"/>
    <s v="PMT-S117-10075"/>
    <s v=""/>
    <s v="INR"/>
    <n v="-4868.07"/>
    <n v="-51.210999999999999"/>
    <n v="51.210999999999999"/>
    <n v="-18718.503000000001"/>
    <s v="DUMMY CUSTOMER_CASHAPPS 401 - India"/>
    <s v="Prabhat Aggarwal"/>
    <s v="NEFT FROM GRASIM INDUSTRIES LTD PAI HDFC DOMNEFT01 - C71677030323173807 - - 2023/03/03 200204"/>
    <m/>
    <m/>
    <m/>
    <m/>
    <m/>
    <m/>
    <m/>
    <m/>
    <m/>
    <m/>
    <m/>
    <m/>
    <m/>
    <m/>
    <m/>
    <m/>
    <m/>
    <m/>
    <m/>
    <m/>
    <m/>
    <m/>
    <m/>
    <m/>
    <m/>
    <m/>
    <m/>
    <m/>
    <m/>
    <m/>
  </r>
  <r>
    <s v="401 - India"/>
    <d v="2026-05-01T00:00:00"/>
    <s v="MAY"/>
    <x v="1"/>
    <x v="3"/>
    <s v="Deposited"/>
    <s v="PMT-S117-13169"/>
    <s v=""/>
    <s v="INR"/>
    <n v="-1.06"/>
    <n v="-1.0999999999999999E-2"/>
    <n v="1.0999999999999999E-2"/>
    <n v="-18718.503000000001"/>
    <s v="DUMMY CUSTOMER_CASHAPPS 401 - India"/>
    <s v="Prabhat Aggarwal"/>
    <s v="IMPS 612118004444 NSDLPB Service 502000000000 BeneVal-HSBC0110005-XX8001 NSDLPB Service 502000000000/11160010000/9999999999 HSBC0110005/054466628001 IMPS/054466628001"/>
    <m/>
    <m/>
    <m/>
    <m/>
    <m/>
    <m/>
    <m/>
    <m/>
    <m/>
    <m/>
    <m/>
    <m/>
    <m/>
    <m/>
    <m/>
    <m/>
    <m/>
    <m/>
    <m/>
    <m/>
    <m/>
    <m/>
    <m/>
    <m/>
    <m/>
    <m/>
    <m/>
    <m/>
    <m/>
    <m/>
  </r>
  <r>
    <s v="412 - Sweden"/>
    <d v="2024-06-25T00:00:00"/>
    <s v="JUNE"/>
    <x v="4"/>
    <x v="3"/>
    <s v="Not Deposited"/>
    <s v="PMT-S146-25901"/>
    <s v=""/>
    <s v="SEK"/>
    <n v="-122441.71"/>
    <n v="-13197.502"/>
    <n v="13197.502"/>
    <n v="-26993.163"/>
    <s v="DUMMY CUSTOMER_CASHAPPS 412 - Sweden"/>
    <s v="Max Hugo Larsson Ras Vidal"/>
    <s v="Moved from PMT-S108-5201 SA-S108-DA-57155 TRIFORK A/S DKK 81,375"/>
    <m/>
    <m/>
    <m/>
    <m/>
    <m/>
    <m/>
    <m/>
    <m/>
    <m/>
    <m/>
    <m/>
    <m/>
    <m/>
    <m/>
    <m/>
    <m/>
    <m/>
    <m/>
    <m/>
    <m/>
    <m/>
    <m/>
    <m/>
    <m/>
    <m/>
    <m/>
    <m/>
    <m/>
    <m/>
    <m/>
  </r>
  <r>
    <s v="412 - Sweden"/>
    <d v="2026-04-10T00:00:00"/>
    <s v="APRIL"/>
    <x v="1"/>
    <x v="3"/>
    <s v="Deposited"/>
    <s v="PMT-S146-28090"/>
    <s v=""/>
    <s v="SEK"/>
    <n v="-120688.75"/>
    <n v="-13008.558000000001"/>
    <n v="13008.558000000001"/>
    <n v="-13008.558000000001"/>
    <s v="Aktiebolaget Stockholms Spårvägar"/>
    <s v="Max Hugo Larsson Ras Vidal"/>
    <s v="STOCKHOLMS SPÅRVÄGAR AB"/>
    <m/>
    <m/>
    <m/>
    <m/>
    <m/>
    <m/>
    <m/>
    <m/>
    <m/>
    <m/>
    <m/>
    <m/>
    <m/>
    <m/>
    <m/>
    <m/>
    <m/>
    <m/>
    <m/>
    <m/>
    <m/>
    <m/>
    <m/>
    <m/>
    <m/>
    <m/>
    <m/>
    <m/>
    <m/>
    <m/>
  </r>
  <r>
    <s v="412 - Sweden"/>
    <d v="2024-06-25T00:00:00"/>
    <s v="JUNE"/>
    <x v="4"/>
    <x v="3"/>
    <s v="Not Deposited"/>
    <s v="PMT-S146-25898"/>
    <s v="IN-S146-428600"/>
    <s v="DKK"/>
    <n v="-72765"/>
    <n v="-11801.120999999999"/>
    <n v="11161.478999999999"/>
    <n v="-11161.478999999999"/>
    <s v="Silvan A/S"/>
    <s v="Katarina Andersson"/>
    <s v="Moved from PMT-S108-5338"/>
    <m/>
    <m/>
    <m/>
    <m/>
    <m/>
    <m/>
    <m/>
    <m/>
    <m/>
    <m/>
    <m/>
    <m/>
    <m/>
    <m/>
    <m/>
    <m/>
    <m/>
    <m/>
    <m/>
    <m/>
    <m/>
    <m/>
    <m/>
    <m/>
    <m/>
    <m/>
    <m/>
    <m/>
    <m/>
    <m/>
  </r>
  <r>
    <s v="412 - Sweden"/>
    <d v="2024-06-25T00:00:00"/>
    <s v="JUNE"/>
    <x v="4"/>
    <x v="3"/>
    <s v="Not Deposited"/>
    <s v="PMT-S146-25899"/>
    <s v=""/>
    <s v="DKK"/>
    <n v="-66718.75"/>
    <n v="-10820.531999999999"/>
    <n v="10820.531999999999"/>
    <n v="-10820.531999999999"/>
    <s v="LESSOR A/S"/>
    <s v="Katarina Andersson"/>
    <s v="Moved from  PMT-S108-5389"/>
    <m/>
    <m/>
    <m/>
    <m/>
    <m/>
    <m/>
    <m/>
    <m/>
    <m/>
    <m/>
    <m/>
    <m/>
    <m/>
    <m/>
    <m/>
    <m/>
    <m/>
    <m/>
    <m/>
    <m/>
    <m/>
    <m/>
    <m/>
    <m/>
    <m/>
    <m/>
    <m/>
    <m/>
    <m/>
    <m/>
  </r>
  <r>
    <s v="412 - Sweden"/>
    <d v="2023-01-03T00:00:00"/>
    <s v="JANUARY"/>
    <x v="3"/>
    <x v="3"/>
    <s v="Deposited"/>
    <s v="PMT-S146-23445"/>
    <s v=""/>
    <s v="SEK"/>
    <n v="-98750"/>
    <n v="-10643.868"/>
    <n v="10643.868"/>
    <n v="-11317.53"/>
    <s v="Högskolan i Borås"/>
    <s v="Max Hugo Larsson Ras Vidal"/>
    <s v="IN-S146-424346"/>
    <m/>
    <m/>
    <m/>
    <m/>
    <m/>
    <m/>
    <m/>
    <m/>
    <m/>
    <m/>
    <m/>
    <m/>
    <m/>
    <m/>
    <m/>
    <m/>
    <m/>
    <m/>
    <m/>
    <m/>
    <m/>
    <m/>
    <m/>
    <m/>
    <m/>
    <m/>
    <m/>
    <m/>
    <m/>
    <m/>
  </r>
  <r>
    <s v="412 - Sweden"/>
    <d v="2025-06-11T00:00:00"/>
    <s v="JUNE"/>
    <x v="0"/>
    <x v="3"/>
    <s v="Deposited"/>
    <s v="PMT-S146-27126"/>
    <s v=""/>
    <s v="SEK"/>
    <n v="-98211.49"/>
    <n v="-10585.824000000001"/>
    <n v="10585.824000000001"/>
    <n v="-26993.163"/>
    <s v="DUMMY CUSTOMER_CASHAPPS 412 - Sweden"/>
    <s v="Max Hugo Larsson Ras Vidal"/>
    <s v="Int. adjustment"/>
    <m/>
    <m/>
    <m/>
    <m/>
    <m/>
    <m/>
    <m/>
    <m/>
    <m/>
    <m/>
    <m/>
    <m/>
    <m/>
    <m/>
    <m/>
    <m/>
    <m/>
    <m/>
    <m/>
    <m/>
    <m/>
    <m/>
    <m/>
    <m/>
    <m/>
    <m/>
    <m/>
    <m/>
    <m/>
    <m/>
  </r>
  <r>
    <s v="412 - Sweden"/>
    <d v="2024-06-25T00:00:00"/>
    <s v="JUNE"/>
    <x v="4"/>
    <x v="3"/>
    <s v="Not Deposited"/>
    <s v="PMT-S146-25900"/>
    <s v=""/>
    <s v="DKK"/>
    <n v="-40625"/>
    <n v="-6588.6139999999996"/>
    <n v="6588.6139999999996"/>
    <n v="-6588.6139999999996"/>
    <s v="MAERSK TANKERS A/S"/>
    <s v="Katarina Andersson"/>
    <s v="Moved from PMT-S108-5297"/>
    <m/>
    <m/>
    <m/>
    <m/>
    <m/>
    <m/>
    <m/>
    <m/>
    <m/>
    <m/>
    <m/>
    <m/>
    <m/>
    <m/>
    <m/>
    <m/>
    <m/>
    <m/>
    <m/>
    <m/>
    <m/>
    <m/>
    <m/>
    <m/>
    <m/>
    <m/>
    <m/>
    <m/>
    <m/>
    <m/>
  </r>
  <r>
    <s v="412 - Sweden"/>
    <d v="2026-03-16T00:00:00"/>
    <s v="MARCH"/>
    <x v="1"/>
    <x v="3"/>
    <s v="Deposited"/>
    <s v="PMT-S146-28000"/>
    <s v=""/>
    <s v="DKK"/>
    <n v="-39848"/>
    <n v="-6174.1440000000002"/>
    <n v="6174.1440000000002"/>
    <n v="-6174.1440000000002"/>
    <s v="LANDBRUG &amp; FØDEVARER F.M.B.A"/>
    <s v="Katarina Andersson"/>
    <s v="8 39848.00 57281.50 IBS 39848.00 DKK SEK 143.7500 LANDBRUG + FODEVARER FMBA AXELTORV 3 DK DK5020005903538025 MELTWATER SWEDEN AB BRAHEGATAN 10 SE-114 37 STOCKHOLM CH SE7491900000091950470018 SEK DNBASESXXXX DNBASESXXXX LANDBRUG   FODEVARER F.M.B.A. F IN- S146-429508 2 2026031600022094"/>
    <m/>
    <m/>
    <m/>
    <m/>
    <m/>
    <m/>
    <m/>
    <m/>
    <m/>
    <m/>
    <m/>
    <m/>
    <m/>
    <m/>
    <m/>
    <m/>
    <m/>
    <m/>
    <m/>
    <m/>
    <m/>
    <m/>
    <m/>
    <m/>
    <m/>
    <m/>
    <m/>
    <m/>
    <m/>
    <m/>
  </r>
  <r>
    <s v="412 - Sweden"/>
    <d v="2023-04-18T00:00:00"/>
    <s v="APRIL"/>
    <x v="3"/>
    <x v="3"/>
    <s v="Deposited"/>
    <s v="PMT-S146-24038"/>
    <s v=""/>
    <s v="SEK"/>
    <n v="-49500"/>
    <n v="-5335.4070000000002"/>
    <n v="5335.4070000000002"/>
    <n v="-5335.4070000000002"/>
    <s v="Omilon Sverige AB"/>
    <s v="Max Hugo Larsson Ras Vidal"/>
    <s v=""/>
    <m/>
    <m/>
    <m/>
    <m/>
    <m/>
    <m/>
    <m/>
    <m/>
    <m/>
    <m/>
    <m/>
    <m/>
    <m/>
    <m/>
    <m/>
    <m/>
    <m/>
    <m/>
    <m/>
    <m/>
    <m/>
    <m/>
    <m/>
    <m/>
    <m/>
    <m/>
    <m/>
    <m/>
    <m/>
    <m/>
  </r>
  <r>
    <s v="412 - Sweden"/>
    <d v="2023-03-30T00:00:00"/>
    <s v="MARCH"/>
    <x v="3"/>
    <x v="3"/>
    <s v="Deposited"/>
    <s v="PMT-S146-23932"/>
    <s v=""/>
    <s v="SEK"/>
    <n v="-46250"/>
    <n v="-4985.1030000000001"/>
    <n v="4985.1030000000001"/>
    <n v="-4985.1030000000001"/>
    <s v="Willhem AB"/>
    <s v="Max Hugo Larsson Ras Vidal"/>
    <s v=""/>
    <m/>
    <m/>
    <m/>
    <m/>
    <m/>
    <m/>
    <m/>
    <m/>
    <m/>
    <m/>
    <m/>
    <m/>
    <m/>
    <m/>
    <m/>
    <m/>
    <m/>
    <m/>
    <m/>
    <m/>
    <m/>
    <m/>
    <m/>
    <m/>
    <m/>
    <m/>
    <m/>
    <m/>
    <m/>
    <m/>
  </r>
  <r>
    <s v="412 - Sweden"/>
    <d v="2025-03-31T00:00:00"/>
    <s v="MARCH"/>
    <x v="0"/>
    <x v="3"/>
    <s v="Deposited"/>
    <s v="PMT-S146-26915"/>
    <s v=""/>
    <s v="SEK"/>
    <n v="-42500"/>
    <n v="-4580.9049999999997"/>
    <n v="4580.9049999999997"/>
    <n v="-4580.9049999999997"/>
    <s v="Foodora AB"/>
    <s v="Max Hugo Larsson Ras Vidal"/>
    <s v="IN-S146-428384"/>
    <m/>
    <m/>
    <m/>
    <m/>
    <m/>
    <m/>
    <m/>
    <m/>
    <m/>
    <m/>
    <m/>
    <m/>
    <m/>
    <m/>
    <m/>
    <m/>
    <m/>
    <m/>
    <m/>
    <m/>
    <m/>
    <m/>
    <m/>
    <m/>
    <m/>
    <m/>
    <m/>
    <m/>
    <m/>
    <m/>
  </r>
  <r>
    <s v="412 - Sweden"/>
    <d v="2023-05-24T00:00:00"/>
    <s v="MAY"/>
    <x v="3"/>
    <x v="3"/>
    <s v="Deposited"/>
    <s v="PMT-S146-24186"/>
    <s v=""/>
    <s v="SEK"/>
    <n v="-40250"/>
    <n v="-4338.3869999999997"/>
    <n v="4338.3869999999997"/>
    <n v="-4338.3869999999997"/>
    <s v="Medhelp Sjukvårdsrådgivning AB"/>
    <s v="Max Hugo Larsson Ras Vidal"/>
    <s v="IN-S146-423462"/>
    <m/>
    <m/>
    <m/>
    <m/>
    <m/>
    <m/>
    <m/>
    <m/>
    <m/>
    <m/>
    <m/>
    <m/>
    <m/>
    <m/>
    <m/>
    <m/>
    <m/>
    <m/>
    <m/>
    <m/>
    <m/>
    <m/>
    <m/>
    <m/>
    <m/>
    <m/>
    <m/>
    <m/>
    <m/>
    <m/>
  </r>
  <r>
    <s v="412 - Sweden"/>
    <d v="2023-01-04T00:00:00"/>
    <s v="JANUARY"/>
    <x v="3"/>
    <x v="3"/>
    <s v="Deposited"/>
    <s v="PMT-S146-23453"/>
    <s v=""/>
    <s v="SEK"/>
    <n v="-40000"/>
    <n v="-4311.4399999999996"/>
    <n v="4311.4399999999996"/>
    <n v="-4311.4399999999996"/>
    <s v="REGION KRONOBERG"/>
    <s v="Max Hugo Larsson Ras Vidal"/>
    <s v="IN-S146-424338"/>
    <m/>
    <m/>
    <m/>
    <m/>
    <m/>
    <m/>
    <m/>
    <m/>
    <m/>
    <m/>
    <m/>
    <m/>
    <m/>
    <m/>
    <m/>
    <m/>
    <m/>
    <m/>
    <m/>
    <m/>
    <m/>
    <m/>
    <m/>
    <m/>
    <m/>
    <m/>
    <m/>
    <m/>
    <m/>
    <m/>
  </r>
  <r>
    <s v="412 - Sweden"/>
    <d v="2024-10-28T00:00:00"/>
    <s v="OCTOBER"/>
    <x v="4"/>
    <x v="3"/>
    <s v="Deposited"/>
    <s v="PMT-S146-26273"/>
    <s v=""/>
    <s v="SEK"/>
    <n v="-38787.5"/>
    <n v="-4180.7489999999998"/>
    <n v="4180.7489999999998"/>
    <n v="-4180.7489999999998"/>
    <s v="Perstorp Holding AB"/>
    <s v="Max Hugo Larsson Ras Vidal"/>
    <s v="IN-S146-427 (duplicate)"/>
    <m/>
    <m/>
    <m/>
    <m/>
    <m/>
    <m/>
    <m/>
    <m/>
    <m/>
    <m/>
    <m/>
    <m/>
    <m/>
    <m/>
    <m/>
    <m/>
    <m/>
    <m/>
    <m/>
    <m/>
    <m/>
    <m/>
    <m/>
    <m/>
    <m/>
    <m/>
    <m/>
    <m/>
    <m/>
    <m/>
  </r>
  <r>
    <s v="412 - Sweden"/>
    <d v="2022-11-07T00:00:00"/>
    <s v="NOVEMBER"/>
    <x v="2"/>
    <x v="3"/>
    <s v="Deposited"/>
    <s v="PMT-S146-23107"/>
    <s v=""/>
    <s v="SEK"/>
    <n v="-30937.5"/>
    <n v="-3334.6289999999999"/>
    <n v="3334.6289999999999"/>
    <n v="-3334.6289999999999"/>
    <s v="Permobil Aktiebolag"/>
    <s v="Max Hugo Larsson Ras Vidal"/>
    <s v="IN-S146-423983"/>
    <m/>
    <m/>
    <m/>
    <m/>
    <m/>
    <m/>
    <m/>
    <m/>
    <m/>
    <m/>
    <m/>
    <m/>
    <m/>
    <m/>
    <m/>
    <m/>
    <m/>
    <m/>
    <m/>
    <m/>
    <m/>
    <m/>
    <m/>
    <m/>
    <m/>
    <m/>
    <m/>
    <m/>
    <m/>
    <m/>
  </r>
  <r>
    <s v="412 - Sweden"/>
    <d v="2022-11-29T00:00:00"/>
    <s v="NOVEMBER"/>
    <x v="2"/>
    <x v="3"/>
    <s v="Deposited"/>
    <s v="PMT-S146-23239"/>
    <s v="IN-S146-424113"/>
    <s v="SEK"/>
    <n v="-54337.5"/>
    <n v="-5856.8220000000001"/>
    <n v="2928.4110000000001"/>
    <n v="-2928.4110000000001"/>
    <s v="Linköpings Universitet"/>
    <s v="Max Hugo Larsson Ras Vidal"/>
    <s v="IN-S146-424113"/>
    <m/>
    <m/>
    <m/>
    <m/>
    <m/>
    <m/>
    <m/>
    <m/>
    <m/>
    <m/>
    <m/>
    <m/>
    <m/>
    <m/>
    <m/>
    <m/>
    <m/>
    <m/>
    <m/>
    <m/>
    <m/>
    <m/>
    <m/>
    <m/>
    <m/>
    <m/>
    <m/>
    <m/>
    <m/>
    <m/>
  </r>
  <r>
    <s v="412 - Sweden"/>
    <d v="2025-06-04T00:00:00"/>
    <s v="JUNE"/>
    <x v="0"/>
    <x v="3"/>
    <s v="Deposited"/>
    <s v="PMT-S146-27111"/>
    <s v=""/>
    <s v="SEK"/>
    <n v="-16928"/>
    <n v="-1824.6010000000001"/>
    <n v="1824.6010000000001"/>
    <n v="-26993.163"/>
    <s v="DUMMY CUSTOMER_CASHAPPS 412 - Sweden"/>
    <s v="Max Hugo Larsson Ras Vidal"/>
    <s v="990543 »TERBET AZA"/>
    <m/>
    <m/>
    <m/>
    <m/>
    <m/>
    <m/>
    <m/>
    <m/>
    <m/>
    <m/>
    <m/>
    <m/>
    <m/>
    <m/>
    <m/>
    <m/>
    <m/>
    <m/>
    <m/>
    <m/>
    <m/>
    <m/>
    <m/>
    <m/>
    <m/>
    <m/>
    <m/>
    <m/>
    <m/>
    <m/>
  </r>
  <r>
    <s v="412 - Sweden"/>
    <d v="2023-09-22T00:00:00"/>
    <s v="SEPTEMBER"/>
    <x v="3"/>
    <x v="3"/>
    <s v="Deposited"/>
    <s v="PMT-S146-24586"/>
    <s v=""/>
    <s v="SEK"/>
    <n v="-15000"/>
    <n v="-1616.79"/>
    <n v="1616.79"/>
    <n v="-1616.79"/>
    <s v="Ölands Kultur och Nöjespark AB"/>
    <s v="Max Hugo Larsson Ras Vidal"/>
    <s v="IN-S146-425613"/>
    <m/>
    <m/>
    <m/>
    <m/>
    <m/>
    <m/>
    <m/>
    <m/>
    <m/>
    <m/>
    <m/>
    <m/>
    <m/>
    <m/>
    <m/>
    <m/>
    <m/>
    <m/>
    <m/>
    <m/>
    <m/>
    <m/>
    <m/>
    <m/>
    <m/>
    <m/>
    <m/>
    <m/>
    <m/>
    <m/>
  </r>
  <r>
    <s v="412 - Sweden"/>
    <d v="2022-07-20T00:00:00"/>
    <s v="JULY"/>
    <x v="2"/>
    <x v="3"/>
    <s v="Deposited"/>
    <s v="PMT-S146-22583"/>
    <s v="IN-S146-423537"/>
    <s v="SEK"/>
    <n v="-18750"/>
    <n v="-2020.9880000000001"/>
    <n v="1347.325"/>
    <n v="-1347.325"/>
    <s v="Karlstads Kommun"/>
    <s v="Max Hugo Larsson Ras Vidal"/>
    <s v=""/>
    <m/>
    <m/>
    <m/>
    <m/>
    <m/>
    <m/>
    <m/>
    <m/>
    <m/>
    <m/>
    <m/>
    <m/>
    <m/>
    <m/>
    <m/>
    <m/>
    <m/>
    <m/>
    <m/>
    <m/>
    <m/>
    <m/>
    <m/>
    <m/>
    <m/>
    <m/>
    <m/>
    <m/>
    <m/>
    <m/>
  </r>
  <r>
    <s v="412 - Sweden"/>
    <d v="2022-11-07T00:00:00"/>
    <s v="NOVEMBER"/>
    <x v="2"/>
    <x v="3"/>
    <s v="Deposited"/>
    <s v="PMT-S146-23136"/>
    <s v=""/>
    <s v="SEK"/>
    <n v="-12265"/>
    <n v="-1321.9949999999999"/>
    <n v="1321.9949999999999"/>
    <n v="-26993.163"/>
    <s v="DUMMY CUSTOMER_CASHAPPS 412 - Sweden"/>
    <s v="Max Hugo Larsson Ras Vidal"/>
    <s v="Erroneous Receipt from Städbranschen Sverige förlag AB"/>
    <m/>
    <m/>
    <m/>
    <m/>
    <m/>
    <m/>
    <m/>
    <m/>
    <m/>
    <m/>
    <m/>
    <m/>
    <m/>
    <m/>
    <m/>
    <m/>
    <m/>
    <m/>
    <m/>
    <m/>
    <m/>
    <m/>
    <m/>
    <m/>
    <m/>
    <m/>
    <m/>
    <m/>
    <m/>
    <m/>
  </r>
  <r>
    <s v="412 - Sweden"/>
    <d v="2022-09-05T00:00:00"/>
    <s v="SEPTEMBER"/>
    <x v="2"/>
    <x v="3"/>
    <s v="Deposited"/>
    <s v="PMT-S146-22745"/>
    <s v="IN-S146-423513"/>
    <s v="SEK"/>
    <n v="-21938"/>
    <n v="-2364.6089999999999"/>
    <n v="1182.3320000000001"/>
    <n v="-1182.3320000000001"/>
    <s v="Effektiva Media i Stockholm Aktiebolag"/>
    <s v="Max Hugo Larsson Ras Vidal"/>
    <s v=""/>
    <m/>
    <m/>
    <m/>
    <m/>
    <m/>
    <m/>
    <m/>
    <m/>
    <m/>
    <m/>
    <m/>
    <m/>
    <m/>
    <m/>
    <m/>
    <m/>
    <m/>
    <m/>
    <m/>
    <m/>
    <m/>
    <m/>
    <m/>
    <m/>
    <m/>
    <m/>
    <m/>
    <m/>
    <m/>
    <m/>
  </r>
  <r>
    <s v="412 - Sweden"/>
    <d v="2022-08-19T00:00:00"/>
    <s v="AUGUST"/>
    <x v="2"/>
    <x v="3"/>
    <s v="Deposited"/>
    <s v="PMT-S146-22681"/>
    <s v=""/>
    <s v="EUR"/>
    <n v="-937.5"/>
    <n v="-1065.596"/>
    <n v="1065.596"/>
    <n v="58108.741000000002"/>
    <s v="AB Tetra Pak"/>
    <s v="Amy Tyler"/>
    <s v=""/>
    <m/>
    <m/>
    <m/>
    <m/>
    <m/>
    <m/>
    <m/>
    <m/>
    <m/>
    <m/>
    <m/>
    <m/>
    <m/>
    <m/>
    <m/>
    <m/>
    <m/>
    <m/>
    <m/>
    <m/>
    <m/>
    <m/>
    <m/>
    <m/>
    <m/>
    <m/>
    <m/>
    <m/>
    <m/>
    <m/>
  </r>
  <r>
    <s v="412 - Sweden"/>
    <d v="2023-04-05T00:00:00"/>
    <s v="APRIL"/>
    <x v="3"/>
    <x v="3"/>
    <s v="Deposited"/>
    <s v="PMT-S146-23972"/>
    <s v=""/>
    <s v="SEK"/>
    <n v="-6250"/>
    <n v="-673.66300000000001"/>
    <n v="673.66300000000001"/>
    <n v="-11317.53"/>
    <s v="Högskolan i Borås"/>
    <s v="Max Hugo Larsson Ras Vidal"/>
    <s v="IN-S146-424949"/>
    <m/>
    <m/>
    <m/>
    <m/>
    <m/>
    <m/>
    <m/>
    <m/>
    <m/>
    <m/>
    <m/>
    <m/>
    <m/>
    <m/>
    <m/>
    <m/>
    <m/>
    <m/>
    <m/>
    <m/>
    <m/>
    <m/>
    <m/>
    <m/>
    <m/>
    <m/>
    <m/>
    <m/>
    <m/>
    <m/>
  </r>
  <r>
    <s v="412 - Sweden"/>
    <d v="2025-08-27T00:00:00"/>
    <s v="AUGUST"/>
    <x v="0"/>
    <x v="3"/>
    <s v="Deposited"/>
    <s v="PMT-S146-27338"/>
    <s v=""/>
    <s v="SEK"/>
    <n v="-586.72"/>
    <n v="-63.24"/>
    <n v="63.24"/>
    <n v="-26993.163"/>
    <s v="DUMMY CUSTOMER_CASHAPPS 412 - Sweden"/>
    <s v="Max Hugo Larsson Ras Vidal"/>
    <s v="Meltwater Sweden AB  Kontantavi"/>
    <m/>
    <m/>
    <m/>
    <m/>
    <m/>
    <m/>
    <m/>
    <m/>
    <m/>
    <m/>
    <m/>
    <m/>
    <m/>
    <m/>
    <m/>
    <m/>
    <m/>
    <m/>
    <m/>
    <m/>
    <m/>
    <m/>
    <m/>
    <m/>
    <m/>
    <m/>
    <m/>
    <m/>
    <m/>
    <m/>
  </r>
  <r>
    <s v="421 - Finland"/>
    <d v="2024-12-31T00:00:00"/>
    <s v="DECEMBER"/>
    <x v="4"/>
    <x v="3"/>
    <s v="Deposited"/>
    <s v="PMT-S115-31371"/>
    <s v="IN-S115-432263"/>
    <s v="EUR"/>
    <n v="-16315"/>
    <n v="-19079.577000000001"/>
    <n v="14676.598"/>
    <n v="-14676.598"/>
    <s v="Drama Queen Communications Oy"/>
    <s v="Katarina Andersson"/>
    <s v="DRAMA QUEEN COMMUNICATION /51095008 MELTWATER FINLAND OYSCOR 211930000 4322632"/>
    <m/>
    <m/>
    <m/>
    <m/>
    <m/>
    <m/>
    <m/>
    <m/>
    <m/>
    <m/>
    <m/>
    <m/>
    <m/>
    <m/>
    <m/>
    <m/>
    <m/>
    <m/>
    <m/>
    <m/>
    <m/>
    <m/>
    <m/>
    <m/>
    <m/>
    <m/>
    <m/>
    <m/>
    <m/>
    <m/>
  </r>
  <r>
    <s v="421 - Finland"/>
    <d v="2022-09-30T00:00:00"/>
    <s v="SEPTEMBER"/>
    <x v="2"/>
    <x v="3"/>
    <s v="Deposited"/>
    <s v="PMT-S115-26181"/>
    <s v=""/>
    <s v="EUR"/>
    <n v="-9920"/>
    <n v="-11600.944"/>
    <n v="11600.944"/>
    <n v="-11600.944"/>
    <s v="Bou Oy"/>
    <s v="Katarina Andersson"/>
    <s v=""/>
    <m/>
    <m/>
    <m/>
    <m/>
    <m/>
    <m/>
    <m/>
    <m/>
    <m/>
    <m/>
    <m/>
    <m/>
    <m/>
    <m/>
    <m/>
    <m/>
    <m/>
    <m/>
    <m/>
    <m/>
    <m/>
    <m/>
    <m/>
    <m/>
    <m/>
    <m/>
    <m/>
    <m/>
    <m/>
    <m/>
  </r>
  <r>
    <s v="421 - Finland"/>
    <d v="2023-11-06T00:00:00"/>
    <s v="NOVEMBER"/>
    <x v="3"/>
    <x v="3"/>
    <s v="Deposited"/>
    <s v="PMT-S115-28988"/>
    <s v=""/>
    <s v="EUR"/>
    <n v="-8332.7999999999993"/>
    <n v="-9744.7929999999997"/>
    <n v="9744.7929999999997"/>
    <n v="-9744.7929999999997"/>
    <s v="Liikenteenohjausyhtiö Fintraffic Oy"/>
    <s v="Katarina Andersson"/>
    <s v="IN-S115-429379, 2023-11-06 11:41:14"/>
    <m/>
    <m/>
    <m/>
    <m/>
    <m/>
    <m/>
    <m/>
    <m/>
    <m/>
    <m/>
    <m/>
    <m/>
    <m/>
    <m/>
    <m/>
    <m/>
    <m/>
    <m/>
    <m/>
    <m/>
    <m/>
    <m/>
    <m/>
    <m/>
    <m/>
    <m/>
    <m/>
    <m/>
    <m/>
    <m/>
  </r>
  <r>
    <s v="421 - Finland"/>
    <d v="2025-10-15T00:00:00"/>
    <s v="OCTOBER"/>
    <x v="0"/>
    <x v="3"/>
    <s v="Deposited"/>
    <s v="PMT-S115-32650"/>
    <s v=""/>
    <s v="EUR"/>
    <n v="-6212.25"/>
    <n v="-7264.9160000000002"/>
    <n v="7264.9160000000002"/>
    <n v="-7264.9160000000002"/>
    <s v="Aisti Corporation Oy"/>
    <s v="Katarina Andersson"/>
    <s v="AISTI CORPORATION OY/EREF/L01833/ORDP//NAME/AISTI CORPORATION OY/REMI//CDTRREFTP//CD/SCOR/CDTRREF/2119300004335409AISTI CORPORATION OY"/>
    <m/>
    <m/>
    <m/>
    <m/>
    <m/>
    <m/>
    <m/>
    <m/>
    <m/>
    <m/>
    <m/>
    <m/>
    <m/>
    <m/>
    <m/>
    <m/>
    <m/>
    <m/>
    <m/>
    <m/>
    <m/>
    <m/>
    <m/>
    <m/>
    <m/>
    <m/>
    <m/>
    <m/>
    <m/>
    <m/>
  </r>
  <r>
    <s v="421 - Finland"/>
    <d v="2025-01-30T00:00:00"/>
    <s v="JANUARY"/>
    <x v="0"/>
    <x v="3"/>
    <s v="Deposited"/>
    <s v="PMT-S115-31621"/>
    <s v="IN-S115-432351"/>
    <s v="EUR"/>
    <n v="-19954.5"/>
    <n v="-23335.79"/>
    <n v="6914.1629999999996"/>
    <n v="-6914.1629999999996"/>
    <s v="Numera Palvelut Oy"/>
    <s v="Katarina Andersson"/>
    <s v="NUMERA PALVELUT OY /51095008 MELTWA TER FINLAND OYSCOR 0000211930000432 3518"/>
    <m/>
    <m/>
    <m/>
    <m/>
    <m/>
    <m/>
    <m/>
    <m/>
    <m/>
    <m/>
    <m/>
    <m/>
    <m/>
    <m/>
    <m/>
    <m/>
    <m/>
    <m/>
    <m/>
    <m/>
    <m/>
    <m/>
    <m/>
    <m/>
    <m/>
    <m/>
    <m/>
    <m/>
    <m/>
    <m/>
  </r>
  <r>
    <s v="421 - Finland"/>
    <d v="2023-03-07T00:00:00"/>
    <s v="MARCH"/>
    <x v="3"/>
    <x v="3"/>
    <s v="Deposited"/>
    <s v="PMT-S115-27571"/>
    <s v=""/>
    <s v="EUR"/>
    <n v="-5580"/>
    <n v="-6525.5309999999999"/>
    <n v="6525.5309999999999"/>
    <n v="-13051.062"/>
    <s v="Nordic Ren-Gas Oy"/>
    <s v="Katarina Andersson"/>
    <s v="NORDIC REN-GAS OY"/>
    <m/>
    <m/>
    <m/>
    <m/>
    <m/>
    <m/>
    <m/>
    <m/>
    <m/>
    <m/>
    <m/>
    <m/>
    <m/>
    <m/>
    <m/>
    <m/>
    <m/>
    <m/>
    <m/>
    <m/>
    <m/>
    <m/>
    <m/>
    <m/>
    <m/>
    <m/>
    <m/>
    <m/>
    <m/>
    <m/>
  </r>
  <r>
    <s v="421 - Finland"/>
    <d v="2023-03-09T00:00:00"/>
    <s v="MARCH"/>
    <x v="3"/>
    <x v="3"/>
    <s v="Deposited"/>
    <s v="PMT-S115-27585"/>
    <s v=""/>
    <s v="EUR"/>
    <n v="-5580"/>
    <n v="-6525.5309999999999"/>
    <n v="6525.5309999999999"/>
    <n v="-13051.062"/>
    <s v="Nordic Ren-Gas Oy"/>
    <s v="Katarina Andersson"/>
    <s v="NORDIC REN-GAS OY"/>
    <m/>
    <m/>
    <m/>
    <m/>
    <m/>
    <m/>
    <m/>
    <m/>
    <m/>
    <m/>
    <m/>
    <m/>
    <m/>
    <m/>
    <m/>
    <m/>
    <m/>
    <m/>
    <m/>
    <m/>
    <m/>
    <m/>
    <m/>
    <m/>
    <m/>
    <m/>
    <m/>
    <m/>
    <m/>
    <m/>
  </r>
  <r>
    <s v="421 - Finland"/>
    <d v="2023-06-26T00:00:00"/>
    <s v="JUNE"/>
    <x v="3"/>
    <x v="3"/>
    <s v="Deposited"/>
    <s v="PMT-S115-28226"/>
    <s v=""/>
    <s v="EUR"/>
    <n v="-5208"/>
    <n v="-6090.4960000000001"/>
    <n v="6090.4960000000001"/>
    <n v="-6090.4960000000001"/>
    <s v="Coolbrook Oy"/>
    <s v="Katarina Andersson"/>
    <s v="COOLBROOK OY /51095008 MELTWATER FI NLAND OYSCOR 00002119300004287434"/>
    <m/>
    <m/>
    <m/>
    <m/>
    <m/>
    <m/>
    <m/>
    <m/>
    <m/>
    <m/>
    <m/>
    <m/>
    <m/>
    <m/>
    <m/>
    <m/>
    <m/>
    <m/>
    <m/>
    <m/>
    <m/>
    <m/>
    <m/>
    <m/>
    <m/>
    <m/>
    <m/>
    <m/>
    <m/>
    <m/>
  </r>
  <r>
    <s v="421 - Finland"/>
    <d v="2025-03-07T00:00:00"/>
    <s v="MARCH"/>
    <x v="0"/>
    <x v="3"/>
    <s v="Deposited"/>
    <s v="PMT-S115-31821"/>
    <s v="IN-S115-432671"/>
    <s v="EUR"/>
    <n v="-6977.8"/>
    <n v="-8160.1880000000001"/>
    <n v="6090.4960000000001"/>
    <n v="-6090.4960000000001"/>
    <s v="Liikennevirta Oy"/>
    <s v="Katarina Andersson"/>
    <s v="LIIKENNEVIRTA OY /51095008 MELTWATE R FINLAND OYSCOR 000021193000043267 19"/>
    <m/>
    <m/>
    <m/>
    <m/>
    <m/>
    <m/>
    <m/>
    <m/>
    <m/>
    <m/>
    <m/>
    <m/>
    <m/>
    <m/>
    <m/>
    <m/>
    <m/>
    <m/>
    <m/>
    <m/>
    <m/>
    <m/>
    <m/>
    <m/>
    <m/>
    <m/>
    <m/>
    <m/>
    <m/>
    <m/>
  </r>
  <r>
    <s v="421 - Finland"/>
    <d v="2022-12-12T00:00:00"/>
    <s v="DECEMBER"/>
    <x v="2"/>
    <x v="3"/>
    <s v="Deposited"/>
    <s v="PMT-S115-26809"/>
    <s v=""/>
    <s v="EUR"/>
    <n v="-4774"/>
    <n v="-5582.9539999999997"/>
    <n v="5582.9539999999997"/>
    <n v="-5582.9539999999997"/>
    <s v="Keskustaksi Oy"/>
    <s v="Katarina Andersson"/>
    <s v=""/>
    <m/>
    <m/>
    <m/>
    <m/>
    <m/>
    <m/>
    <m/>
    <m/>
    <m/>
    <m/>
    <m/>
    <m/>
    <m/>
    <m/>
    <m/>
    <m/>
    <m/>
    <m/>
    <m/>
    <m/>
    <m/>
    <m/>
    <m/>
    <m/>
    <m/>
    <m/>
    <m/>
    <m/>
    <m/>
    <m/>
  </r>
  <r>
    <s v="421 - Finland"/>
    <d v="2023-03-07T00:00:00"/>
    <s v="MARCH"/>
    <x v="3"/>
    <x v="3"/>
    <s v="Deposited"/>
    <s v="PMT-S115-27568"/>
    <s v=""/>
    <s v="EUR"/>
    <n v="-4526"/>
    <n v="-5292.9309999999996"/>
    <n v="5292.9309999999996"/>
    <n v="-5680.1120000000001"/>
    <s v="Diktamen Oy"/>
    <s v="Katarina Andersson"/>
    <s v="overpaid - CM"/>
    <m/>
    <m/>
    <m/>
    <m/>
    <m/>
    <m/>
    <m/>
    <m/>
    <m/>
    <m/>
    <m/>
    <m/>
    <m/>
    <m/>
    <m/>
    <m/>
    <m/>
    <m/>
    <m/>
    <m/>
    <m/>
    <m/>
    <m/>
    <m/>
    <m/>
    <m/>
    <m/>
    <m/>
    <m/>
    <m/>
  </r>
  <r>
    <s v="421 - Finland"/>
    <d v="2023-08-08T00:00:00"/>
    <s v="AUGUST"/>
    <x v="3"/>
    <x v="3"/>
    <s v="Deposited"/>
    <s v="PMT-S115-28427"/>
    <s v=""/>
    <s v="EUR"/>
    <n v="-4077.12"/>
    <n v="-4767.9880000000003"/>
    <n v="4767.9880000000003"/>
    <n v="-4767.9880000000003"/>
    <s v="0136082-5"/>
    <s v="Katarina Andersson"/>
    <s v="PARAISTEN KAUPUNKI /51095008 MELTWA TER FINLAND OYSCOR 0000211930000428 9306"/>
    <m/>
    <m/>
    <m/>
    <m/>
    <m/>
    <m/>
    <m/>
    <m/>
    <m/>
    <m/>
    <m/>
    <m/>
    <m/>
    <m/>
    <m/>
    <m/>
    <m/>
    <m/>
    <m/>
    <m/>
    <m/>
    <m/>
    <m/>
    <m/>
    <m/>
    <m/>
    <m/>
    <m/>
    <m/>
    <m/>
  </r>
  <r>
    <s v="421 - Finland"/>
    <d v="2022-05-02T00:00:00"/>
    <s v="MAY"/>
    <x v="2"/>
    <x v="3"/>
    <s v="Deposited"/>
    <s v="PMT-S115-25248"/>
    <s v=""/>
    <s v="EUR"/>
    <n v="-3286"/>
    <n v="-3842.8130000000001"/>
    <n v="3842.8130000000001"/>
    <n v="-3842.8130000000001"/>
    <s v="Grafia ry"/>
    <s v="Katarina Andersson"/>
    <s v=""/>
    <m/>
    <m/>
    <m/>
    <m/>
    <m/>
    <m/>
    <m/>
    <m/>
    <m/>
    <m/>
    <m/>
    <m/>
    <m/>
    <m/>
    <m/>
    <m/>
    <m/>
    <m/>
    <m/>
    <m/>
    <m/>
    <m/>
    <m/>
    <m/>
    <m/>
    <m/>
    <m/>
    <m/>
    <m/>
    <m/>
  </r>
  <r>
    <s v="421 - Finland"/>
    <d v="2025-01-09T00:00:00"/>
    <s v="JANUARY"/>
    <x v="0"/>
    <x v="3"/>
    <s v="Deposited"/>
    <s v="PMT-S115-31457"/>
    <s v="IN-S115-431831"/>
    <s v="EUR"/>
    <n v="-118547.31"/>
    <n v="-138635.152"/>
    <n v="3749.8649999999998"/>
    <n v="-3749.8649999999998"/>
    <s v="Neste Oyj"/>
    <s v="Katarina Andersson"/>
    <s v="NESTE OYJ /51095008 MELTWATER FINLA ND OYSCOR 2119300004318316"/>
    <m/>
    <m/>
    <m/>
    <m/>
    <m/>
    <m/>
    <m/>
    <m/>
    <m/>
    <m/>
    <m/>
    <m/>
    <m/>
    <m/>
    <m/>
    <m/>
    <m/>
    <m/>
    <m/>
    <m/>
    <m/>
    <m/>
    <m/>
    <m/>
    <m/>
    <m/>
    <m/>
    <m/>
    <m/>
    <m/>
  </r>
  <r>
    <s v="421 - Finland"/>
    <d v="2023-08-21T00:00:00"/>
    <s v="AUGUST"/>
    <x v="3"/>
    <x v="3"/>
    <s v="Deposited"/>
    <s v="PMT-S115-28478"/>
    <s v=""/>
    <s v="EUR"/>
    <n v="-2046"/>
    <n v="-2392.6950000000002"/>
    <n v="2392.6950000000002"/>
    <n v="-2392.6950000000002"/>
    <s v="Tuska Festival Oy"/>
    <s v="Katarina Andersson"/>
    <s v="TUSKA FESTIVAL OY /51095008 MELTWAT ER FINLAND OYSCOR 2119300004290188"/>
    <m/>
    <m/>
    <m/>
    <m/>
    <m/>
    <m/>
    <m/>
    <m/>
    <m/>
    <m/>
    <m/>
    <m/>
    <m/>
    <m/>
    <m/>
    <m/>
    <m/>
    <m/>
    <m/>
    <m/>
    <m/>
    <m/>
    <m/>
    <m/>
    <m/>
    <m/>
    <m/>
    <m/>
    <m/>
    <m/>
  </r>
  <r>
    <s v="421 - Finland"/>
    <d v="2026-01-02T00:00:00"/>
    <s v="JANUARY"/>
    <x v="1"/>
    <x v="3"/>
    <s v="Deposited"/>
    <s v="PMT-S115-33052"/>
    <s v=""/>
    <s v="EUR"/>
    <n v="-2008"/>
    <n v="-2348.2559999999999"/>
    <n v="2348.2559999999999"/>
    <n v="-2348.2559999999999"/>
    <s v="Spin18 Oy"/>
    <s v="Katarina Andersson"/>
    <s v="SPIN18 OY/EREF/E320999B197104/ORDP//NAME/SPIN18 OY/REMI//CDTRREFTP//CD/SCOR/CDTRREF/2119300004336877SPIN18 OY"/>
    <m/>
    <m/>
    <m/>
    <m/>
    <m/>
    <m/>
    <m/>
    <m/>
    <m/>
    <m/>
    <m/>
    <m/>
    <m/>
    <m/>
    <m/>
    <m/>
    <m/>
    <m/>
    <m/>
    <m/>
    <m/>
    <m/>
    <m/>
    <m/>
    <m/>
    <m/>
    <m/>
    <m/>
    <m/>
    <m/>
  </r>
  <r>
    <s v="421 - Finland"/>
    <d v="2022-07-29T00:00:00"/>
    <s v="JULY"/>
    <x v="2"/>
    <x v="3"/>
    <s v="Deposited"/>
    <s v="PMT-S115-25775"/>
    <s v=""/>
    <s v="EUR"/>
    <n v="-1860"/>
    <n v="-2175.1770000000001"/>
    <n v="2175.1770000000001"/>
    <n v="-2175.1770000000001"/>
    <s v="Proscreen Finland Oy"/>
    <s v="Katarina Andersson"/>
    <s v=""/>
    <m/>
    <m/>
    <m/>
    <m/>
    <m/>
    <m/>
    <m/>
    <m/>
    <m/>
    <m/>
    <m/>
    <m/>
    <m/>
    <m/>
    <m/>
    <m/>
    <m/>
    <m/>
    <m/>
    <m/>
    <m/>
    <m/>
    <m/>
    <m/>
    <m/>
    <m/>
    <m/>
    <m/>
    <m/>
    <m/>
  </r>
  <r>
    <s v="421 - Finland"/>
    <d v="2022-08-25T00:00:00"/>
    <s v="AUGUST"/>
    <x v="2"/>
    <x v="3"/>
    <s v="Deposited"/>
    <s v="PMT-S115-25891"/>
    <s v=""/>
    <s v="EUR"/>
    <n v="-1655.4"/>
    <n v="-1935.9079999999999"/>
    <n v="1935.9079999999999"/>
    <n v="-1935.9079999999999"/>
    <s v="Jones Lang LaSalle Finland Oy"/>
    <s v="Katarina Andersson"/>
    <s v="ACH CONCENTRATION CREDIT ACH CASH CONCENTRATION JLL AMERICAS-EDI/EFTPMT"/>
    <m/>
    <m/>
    <m/>
    <m/>
    <m/>
    <m/>
    <m/>
    <m/>
    <m/>
    <m/>
    <m/>
    <m/>
    <m/>
    <m/>
    <m/>
    <m/>
    <m/>
    <m/>
    <m/>
    <m/>
    <m/>
    <m/>
    <m/>
    <m/>
    <m/>
    <m/>
    <m/>
    <m/>
    <m/>
    <m/>
  </r>
  <r>
    <s v="421 - Finland"/>
    <d v="2025-06-30T00:00:00"/>
    <s v="JUNE"/>
    <x v="0"/>
    <x v="3"/>
    <s v="Not Deposited"/>
    <s v="PMT-S115-32230"/>
    <s v="IN-S115-433181"/>
    <s v="EUR"/>
    <n v="-3720"/>
    <n v="-4350.3540000000003"/>
    <n v="1796.626"/>
    <n v="-3287.768"/>
    <s v="Wolt Oy"/>
    <s v="Katarina Andersson"/>
    <s v="Moved from CM-S115-1949"/>
    <m/>
    <m/>
    <m/>
    <m/>
    <m/>
    <m/>
    <m/>
    <m/>
    <m/>
    <m/>
    <m/>
    <m/>
    <m/>
    <m/>
    <m/>
    <m/>
    <m/>
    <m/>
    <m/>
    <m/>
    <m/>
    <m/>
    <m/>
    <m/>
    <m/>
    <m/>
    <m/>
    <m/>
    <m/>
    <m/>
  </r>
  <r>
    <s v="421 - Finland"/>
    <d v="2024-03-20T00:00:00"/>
    <s v="MARCH"/>
    <x v="4"/>
    <x v="3"/>
    <s v="Deposited"/>
    <s v="PMT-S115-29987"/>
    <s v=""/>
    <s v="EUR"/>
    <n v="-1426"/>
    <n v="-1667.636"/>
    <n v="1667.636"/>
    <n v="-1667.636"/>
    <s v="ProPellet Oy"/>
    <s v="Katarina Andersson"/>
    <s v="PROPELLET OY /51095008 MELTWATER FINLAND OYSCOR 00002119300004307071"/>
    <m/>
    <m/>
    <m/>
    <m/>
    <m/>
    <m/>
    <m/>
    <m/>
    <m/>
    <m/>
    <m/>
    <m/>
    <m/>
    <m/>
    <m/>
    <m/>
    <m/>
    <m/>
    <m/>
    <m/>
    <m/>
    <m/>
    <m/>
    <m/>
    <m/>
    <m/>
    <m/>
    <m/>
    <m/>
    <m/>
  </r>
  <r>
    <s v="421 - Finland"/>
    <d v="2025-05-15T00:00:00"/>
    <s v="MAY"/>
    <x v="0"/>
    <x v="3"/>
    <s v="Deposited"/>
    <s v="PMT-S115-32090"/>
    <s v=""/>
    <s v="EUR"/>
    <n v="-1255"/>
    <n v="-1467.66"/>
    <n v="1467.66"/>
    <n v="-1467.66"/>
    <s v="Wolfcom Oy"/>
    <s v="Katarina Andersson"/>
    <s v="IN-S115-432925"/>
    <m/>
    <m/>
    <m/>
    <m/>
    <m/>
    <m/>
    <m/>
    <m/>
    <m/>
    <m/>
    <m/>
    <m/>
    <m/>
    <m/>
    <m/>
    <m/>
    <m/>
    <m/>
    <m/>
    <m/>
    <m/>
    <m/>
    <m/>
    <m/>
    <m/>
    <m/>
    <m/>
    <m/>
    <m/>
    <m/>
  </r>
  <r>
    <s v="421 - Finland"/>
    <d v="2023-08-21T00:00:00"/>
    <s v="AUGUST"/>
    <x v="3"/>
    <x v="3"/>
    <s v="Deposited"/>
    <s v="PMT-S115-28473"/>
    <s v=""/>
    <s v="EUR"/>
    <n v="-1178"/>
    <n v="-1377.6120000000001"/>
    <n v="1377.6120000000001"/>
    <n v="-1377.6120000000001"/>
    <s v="Suomen Arkkitehtiliitto - Finlands Arkitektförbund ry"/>
    <s v="Katarina Andersson"/>
    <s v="SUOMEN ARKKITEHTILIITTO - /51095008 MELTWATER FINLAND OYSCOR 211930000 4290395"/>
    <m/>
    <m/>
    <m/>
    <m/>
    <m/>
    <m/>
    <m/>
    <m/>
    <m/>
    <m/>
    <m/>
    <m/>
    <m/>
    <m/>
    <m/>
    <m/>
    <m/>
    <m/>
    <m/>
    <m/>
    <m/>
    <m/>
    <m/>
    <m/>
    <m/>
    <m/>
    <m/>
    <m/>
    <m/>
    <m/>
  </r>
  <r>
    <s v="421 - Finland"/>
    <d v="2024-12-17T00:00:00"/>
    <s v="DECEMBER"/>
    <x v="4"/>
    <x v="3"/>
    <s v="Deposited"/>
    <s v="PMT-S115-31313"/>
    <s v=""/>
    <s v="EUR"/>
    <n v="-1008.8"/>
    <n v="-1179.741"/>
    <n v="1179.741"/>
    <n v="-1179.741"/>
    <s v="Imaqen Oy"/>
    <s v="Katarina Andersson"/>
    <s v="Bankruptcy settlement: IMAQEN OY KONKURSSIPESÄ /51095008 M ELTWATER FINLAND OYSA-S115-FI-18488"/>
    <m/>
    <m/>
    <m/>
    <m/>
    <m/>
    <m/>
    <m/>
    <m/>
    <m/>
    <m/>
    <m/>
    <m/>
    <m/>
    <m/>
    <m/>
    <m/>
    <m/>
    <m/>
    <m/>
    <m/>
    <m/>
    <m/>
    <m/>
    <m/>
    <m/>
    <m/>
    <m/>
    <m/>
    <m/>
    <m/>
  </r>
  <r>
    <s v="421 - Finland"/>
    <d v="2026-05-04T00:00:00"/>
    <s v="MAY"/>
    <x v="1"/>
    <x v="3"/>
    <s v="Deposited"/>
    <s v="PMT-S115-33604"/>
    <s v=""/>
    <s v="EUR"/>
    <n v="-840.85"/>
    <n v="-983.33199999999999"/>
    <n v="983.33199999999999"/>
    <n v="-1722.4480000000001"/>
    <s v="Bluet Oy Ltd"/>
    <s v="Katarina Andersson"/>
    <s v="Bluet Oy Ltd Scor000021193000043451147000120000008748"/>
    <m/>
    <m/>
    <m/>
    <m/>
    <m/>
    <m/>
    <m/>
    <m/>
    <m/>
    <m/>
    <m/>
    <m/>
    <m/>
    <m/>
    <m/>
    <m/>
    <m/>
    <m/>
    <m/>
    <m/>
    <m/>
    <m/>
    <m/>
    <m/>
    <m/>
    <m/>
    <m/>
    <m/>
    <m/>
    <m/>
  </r>
  <r>
    <s v="421 - Finland"/>
    <d v="2024-09-12T00:00:00"/>
    <s v="SEPTEMBER"/>
    <x v="4"/>
    <x v="3"/>
    <s v="Deposited"/>
    <s v="PMT-S115-30730"/>
    <s v=""/>
    <s v="EUR"/>
    <n v="-830.8"/>
    <n v="-971.57899999999995"/>
    <n v="971.57899999999995"/>
    <n v="-1943.1579999999999"/>
    <s v="Bamla Agency Oy"/>
    <s v="Katarina Andersson"/>
    <s v="BAMLA AGENCY OY /51095008 MELTWATER FINLAND OY06.09.2024 CM-S115-2009"/>
    <m/>
    <m/>
    <m/>
    <m/>
    <m/>
    <m/>
    <m/>
    <m/>
    <m/>
    <m/>
    <m/>
    <m/>
    <m/>
    <m/>
    <m/>
    <m/>
    <m/>
    <m/>
    <m/>
    <m/>
    <m/>
    <m/>
    <m/>
    <m/>
    <m/>
    <m/>
    <m/>
    <m/>
    <m/>
    <m/>
  </r>
  <r>
    <s v="421 - Finland"/>
    <d v="2024-09-20T00:00:00"/>
    <s v="SEPTEMBER"/>
    <x v="4"/>
    <x v="3"/>
    <s v="Deposited"/>
    <s v="PMT-S115-30773"/>
    <s v="IN-S115-431652"/>
    <s v="EUR"/>
    <n v="-840.85"/>
    <n v="-983.33199999999999"/>
    <n v="971.57899999999995"/>
    <n v="-1943.1579999999999"/>
    <s v="Bamla Agency Oy"/>
    <s v="Katarina Andersson"/>
    <s v="IN-S115-431652"/>
    <m/>
    <m/>
    <m/>
    <m/>
    <m/>
    <m/>
    <m/>
    <m/>
    <m/>
    <m/>
    <m/>
    <m/>
    <m/>
    <m/>
    <m/>
    <m/>
    <m/>
    <m/>
    <m/>
    <m/>
    <m/>
    <m/>
    <m/>
    <m/>
    <m/>
    <m/>
    <m/>
    <m/>
    <m/>
    <m/>
  </r>
  <r>
    <s v="421 - Finland"/>
    <d v="2025-08-07T00:00:00"/>
    <s v="AUGUST"/>
    <x v="0"/>
    <x v="3"/>
    <s v="Deposited"/>
    <s v="PMT-S115-32424"/>
    <s v="IN-S115-433340"/>
    <s v="EUR"/>
    <n v="-1302.69"/>
    <n v="-1523.431"/>
    <n v="877.66099999999994"/>
    <n v="-3287.768"/>
    <s v="Wolt Oy"/>
    <s v="Katarina Andersson"/>
    <s v="WOLT OY/EREF/001DOGF030417/ORDP//NAME/WOLT OY/REMI//CDTRREFTP//CD/SCOR/CDTRREF/2119300004332680WOLT OY"/>
    <m/>
    <m/>
    <m/>
    <m/>
    <m/>
    <m/>
    <m/>
    <m/>
    <m/>
    <m/>
    <m/>
    <m/>
    <m/>
    <m/>
    <m/>
    <m/>
    <m/>
    <m/>
    <m/>
    <m/>
    <m/>
    <m/>
    <m/>
    <m/>
    <m/>
    <m/>
    <m/>
    <m/>
    <m/>
    <m/>
  </r>
  <r>
    <s v="421 - Finland"/>
    <d v="2023-10-05T00:00:00"/>
    <s v="OCTOBER"/>
    <x v="3"/>
    <x v="3"/>
    <s v="Deposited"/>
    <s v="PMT-S115-28761"/>
    <s v=""/>
    <s v="EUR"/>
    <n v="-723.34"/>
    <n v="-845.91"/>
    <n v="845.91"/>
    <n v="-845.91"/>
    <s v="Nomade Collection Ab"/>
    <s v="Katarina Andersson"/>
    <s v="NOMADE COLLECTION AB /51095008 MELT WATER FINLAND OYSCOR 00002119300004 270946"/>
    <m/>
    <m/>
    <m/>
    <m/>
    <m/>
    <m/>
    <m/>
    <m/>
    <m/>
    <m/>
    <m/>
    <m/>
    <m/>
    <m/>
    <m/>
    <m/>
    <m/>
    <m/>
    <m/>
    <m/>
    <m/>
    <m/>
    <m/>
    <m/>
    <m/>
    <m/>
    <m/>
    <m/>
    <m/>
    <m/>
  </r>
  <r>
    <s v="421 - Finland"/>
    <d v="2025-10-02T00:00:00"/>
    <s v="OCTOBER"/>
    <x v="0"/>
    <x v="3"/>
    <s v="Deposited"/>
    <s v="PMT-S115-32610"/>
    <s v="IN-S115-434511"/>
    <s v="EUR"/>
    <n v="-1472.87"/>
    <n v="-1722.4480000000001"/>
    <n v="739.11599999999999"/>
    <n v="-1722.4480000000001"/>
    <s v="Bluet Oy Ltd"/>
    <s v="Katarina Andersson"/>
    <s v="BLUET OY LTD/EREF/0000023087000120000007989/ORDP//NAME/BLUET OY LTD/REMI//CDTRREFTP//CD/SCOR/CDTRREF/2119300004333139BLUET OY LTD"/>
    <m/>
    <m/>
    <m/>
    <m/>
    <m/>
    <m/>
    <m/>
    <m/>
    <m/>
    <m/>
    <m/>
    <m/>
    <m/>
    <m/>
    <m/>
    <m/>
    <m/>
    <m/>
    <m/>
    <m/>
    <m/>
    <m/>
    <m/>
    <m/>
    <m/>
    <m/>
    <m/>
    <m/>
    <m/>
    <m/>
  </r>
  <r>
    <s v="421 - Finland"/>
    <d v="2023-04-17T00:00:00"/>
    <s v="APRIL"/>
    <x v="3"/>
    <x v="3"/>
    <s v="Deposited"/>
    <s v="PMT-S115-27832"/>
    <s v="IN-S115-428404"/>
    <s v="EUR"/>
    <n v="-9765"/>
    <n v="-11419.679"/>
    <n v="725.04700000000003"/>
    <n v="-725.04700000000003"/>
    <s v="Helen Oy"/>
    <s v="Katarina Andersson"/>
    <s v=""/>
    <m/>
    <m/>
    <m/>
    <m/>
    <m/>
    <m/>
    <m/>
    <m/>
    <m/>
    <m/>
    <m/>
    <m/>
    <m/>
    <m/>
    <m/>
    <m/>
    <m/>
    <m/>
    <m/>
    <m/>
    <m/>
    <m/>
    <m/>
    <m/>
    <m/>
    <m/>
    <m/>
    <m/>
    <m/>
    <m/>
  </r>
  <r>
    <s v="421 - Finland"/>
    <d v="2025-09-30T00:00:00"/>
    <s v="SEPTEMBER"/>
    <x v="0"/>
    <x v="3"/>
    <s v="Deposited"/>
    <s v="PMT-S115-32588"/>
    <s v=""/>
    <s v="EUR"/>
    <n v="-552.20000000000005"/>
    <n v="-645.77"/>
    <n v="645.77"/>
    <n v="-3287.768"/>
    <s v="Wolt Oy"/>
    <s v="Katarina Andersson"/>
    <s v="WOLT OY/EREF/001DOGF031878/ORDP//NAME/WOLT OY/REMI//CDTRREFTP//CD/SCOR/CDTRREF/2119300004334646WOLT OY"/>
    <m/>
    <m/>
    <m/>
    <m/>
    <m/>
    <m/>
    <m/>
    <m/>
    <m/>
    <m/>
    <m/>
    <m/>
    <m/>
    <m/>
    <m/>
    <m/>
    <m/>
    <m/>
    <m/>
    <m/>
    <m/>
    <m/>
    <m/>
    <m/>
    <m/>
    <m/>
    <m/>
    <m/>
    <m/>
    <m/>
  </r>
  <r>
    <s v="421 - Finland"/>
    <d v="2025-09-30T00:00:00"/>
    <s v="SEPTEMBER"/>
    <x v="0"/>
    <x v="3"/>
    <s v="Deposited"/>
    <s v="PMT-S115-32589"/>
    <s v=""/>
    <s v="EUR"/>
    <n v="-552.20000000000005"/>
    <n v="-645.77"/>
    <n v="645.77"/>
    <n v="-3287.768"/>
    <s v="Wolt Oy"/>
    <s v="Katarina Andersson"/>
    <s v="WOLT OY/EREF/001DOGF031836/ORDP//NAME/WOLT OY/REMI//CDTRREFTP//CD/SCOR/CDTRREF/2119300004333401WOLT OY"/>
    <m/>
    <m/>
    <m/>
    <m/>
    <m/>
    <m/>
    <m/>
    <m/>
    <m/>
    <m/>
    <m/>
    <m/>
    <m/>
    <m/>
    <m/>
    <m/>
    <m/>
    <m/>
    <m/>
    <m/>
    <m/>
    <m/>
    <m/>
    <m/>
    <m/>
    <m/>
    <m/>
    <m/>
    <m/>
    <m/>
  </r>
  <r>
    <s v="421 - Finland"/>
    <d v="2025-03-06T00:00:00"/>
    <s v="MARCH"/>
    <x v="0"/>
    <x v="3"/>
    <s v="Deposited"/>
    <s v="PMT-S115-31820"/>
    <s v="IN-S115-432373"/>
    <s v="EUR"/>
    <n v="-3983.01"/>
    <n v="-4657.9309999999996"/>
    <n v="404.65300000000002"/>
    <n v="-404.65300000000002"/>
    <s v="Drop Design Pool Oy"/>
    <s v="Katarina Andersson"/>
    <s v="INTRUM OY /51095008 MELTWATER FINLA ND OYTilityserittely 06.03.2025 toi meksiantajanumero 3268350"/>
    <m/>
    <m/>
    <m/>
    <m/>
    <m/>
    <m/>
    <m/>
    <m/>
    <m/>
    <m/>
    <m/>
    <m/>
    <m/>
    <m/>
    <m/>
    <m/>
    <m/>
    <m/>
    <m/>
    <m/>
    <m/>
    <m/>
    <m/>
    <m/>
    <m/>
    <m/>
    <m/>
    <m/>
    <m/>
    <m/>
  </r>
  <r>
    <s v="421 - Finland"/>
    <d v="2023-03-01T00:00:00"/>
    <s v="MARCH"/>
    <x v="3"/>
    <x v="3"/>
    <s v="Deposited"/>
    <s v="PMT-S115-27528"/>
    <s v="IN-S115-428097"/>
    <s v="EUR"/>
    <n v="-4857.08"/>
    <n v="-5680.1120000000001"/>
    <n v="387.18200000000002"/>
    <n v="-5680.1120000000001"/>
    <s v="Diktamen Oy"/>
    <s v="Katarina Andersson"/>
    <s v="overpaid - CM"/>
    <m/>
    <m/>
    <m/>
    <m/>
    <m/>
    <m/>
    <m/>
    <m/>
    <m/>
    <m/>
    <m/>
    <m/>
    <m/>
    <m/>
    <m/>
    <m/>
    <m/>
    <m/>
    <m/>
    <m/>
    <m/>
    <m/>
    <m/>
    <m/>
    <m/>
    <m/>
    <m/>
    <m/>
    <m/>
    <m/>
  </r>
  <r>
    <s v="421 - Finland"/>
    <d v="2025-07-16T00:00:00"/>
    <s v="JULY"/>
    <x v="0"/>
    <x v="3"/>
    <s v="Deposited"/>
    <s v="PMT-S115-32343"/>
    <s v="IN-S115-433268"/>
    <s v="EUR"/>
    <n v="-1631.5"/>
    <n v="-1907.9580000000001"/>
    <n v="384.52699999999999"/>
    <n v="-384.52699999999999"/>
    <s v="Wolt Enterprises Oy"/>
    <s v="Katarina Andersson"/>
    <s v="IN-S115-433180"/>
    <m/>
    <m/>
    <m/>
    <m/>
    <m/>
    <m/>
    <m/>
    <m/>
    <m/>
    <m/>
    <m/>
    <m/>
    <m/>
    <m/>
    <m/>
    <m/>
    <m/>
    <m/>
    <m/>
    <m/>
    <m/>
    <m/>
    <m/>
    <m/>
    <m/>
    <m/>
    <m/>
    <m/>
    <m/>
    <m/>
  </r>
  <r>
    <s v="421 - Finland"/>
    <d v="2023-12-13T00:00:00"/>
    <s v="DECEMBER"/>
    <x v="3"/>
    <x v="3"/>
    <s v="Deposited"/>
    <s v="PMT-S115-29244"/>
    <s v=""/>
    <s v="EUR"/>
    <n v="-240.66"/>
    <n v="-281.44"/>
    <n v="281.44"/>
    <n v="-281.44"/>
    <s v="Jolla Oy"/>
    <s v="Katarina Andersson"/>
    <s v="JOLLA OY /51095008 MELTWATER FINLAN D OYJolla Oy (Y: 2399817-6) saneera usohjelma maksuosuus."/>
    <m/>
    <m/>
    <m/>
    <m/>
    <m/>
    <m/>
    <m/>
    <m/>
    <m/>
    <m/>
    <m/>
    <m/>
    <m/>
    <m/>
    <m/>
    <m/>
    <m/>
    <m/>
    <m/>
    <m/>
    <m/>
    <m/>
    <m/>
    <m/>
    <m/>
    <m/>
    <m/>
    <m/>
    <m/>
    <m/>
  </r>
  <r>
    <s v="421 - Finland"/>
    <d v="2025-12-17T00:00:00"/>
    <s v="DECEMBER"/>
    <x v="0"/>
    <x v="3"/>
    <s v="Deposited"/>
    <s v="PMT-S115-32903"/>
    <s v="IN-S115-433707"/>
    <s v="EUR"/>
    <n v="-10667.5"/>
    <n v="-12475.108"/>
    <n v="172.41200000000001"/>
    <n v="-172.41200000000001"/>
    <s v="Intrum Oy"/>
    <s v="Katarina Andersson"/>
    <s v="INTRUM OY/EREF/EFTPMT 00302537/ORDP//NAME/INTRUM OY/REMI//CDTRREFTP//CD/SCOR/CDTRREF/2119300004337070INTRUM OY"/>
    <m/>
    <m/>
    <m/>
    <m/>
    <m/>
    <m/>
    <m/>
    <m/>
    <m/>
    <m/>
    <m/>
    <m/>
    <m/>
    <m/>
    <m/>
    <m/>
    <m/>
    <m/>
    <m/>
    <m/>
    <m/>
    <m/>
    <m/>
    <m/>
    <m/>
    <m/>
    <m/>
    <m/>
    <m/>
    <m/>
  </r>
  <r>
    <s v="421 - Finland"/>
    <d v="2022-07-14T00:00:00"/>
    <s v="JULY"/>
    <x v="2"/>
    <x v="3"/>
    <s v="Deposited"/>
    <s v="PMT-S115-25724"/>
    <s v=""/>
    <s v="EUR"/>
    <n v="-114.61"/>
    <n v="-134.03100000000001"/>
    <n v="134.03100000000001"/>
    <n v="7644.5659999999998"/>
    <s v="Lännen Tractors Oy"/>
    <s v="Katarina Andersson"/>
    <s v=""/>
    <m/>
    <m/>
    <m/>
    <m/>
    <m/>
    <m/>
    <m/>
    <m/>
    <m/>
    <m/>
    <m/>
    <m/>
    <m/>
    <m/>
    <m/>
    <m/>
    <m/>
    <m/>
    <m/>
    <m/>
    <m/>
    <m/>
    <m/>
    <m/>
    <m/>
    <m/>
    <m/>
    <m/>
    <m/>
    <m/>
  </r>
  <r>
    <s v="431 - Norway"/>
    <d v="2025-01-24T00:00:00"/>
    <s v="JANUARY"/>
    <x v="0"/>
    <x v="3"/>
    <s v="Deposited"/>
    <s v="PMT-S127-13685"/>
    <s v=""/>
    <s v="NOK"/>
    <n v="-116550"/>
    <n v="-12475.046"/>
    <n v="12475.046"/>
    <n v="-12475.046"/>
    <s v="Manta Marine Technologies AS"/>
    <s v="Katarina Andersson"/>
    <s v="FAKTURA IN-S127-413698 116.550,00"/>
    <m/>
    <m/>
    <m/>
    <m/>
    <m/>
    <m/>
    <m/>
    <m/>
    <m/>
    <m/>
    <m/>
    <m/>
    <m/>
    <m/>
    <m/>
    <m/>
    <m/>
    <m/>
    <m/>
    <m/>
    <m/>
    <m/>
    <m/>
    <m/>
    <m/>
    <m/>
    <m/>
    <m/>
    <m/>
    <m/>
  </r>
  <r>
    <s v="431 - Norway"/>
    <d v="2024-01-11T00:00:00"/>
    <s v="JANUARY"/>
    <x v="4"/>
    <x v="3"/>
    <s v="Deposited"/>
    <s v="PMT-S127-13123"/>
    <s v="IN-S127-413125"/>
    <s v="NOK"/>
    <n v="-109911.25"/>
    <n v="-11764.460999999999"/>
    <n v="10229.966"/>
    <n v="-10229.966"/>
    <s v="AKVA GROUP ASA"/>
    <s v="Katarina Andersson"/>
    <s v="IN-S127-413125 11.01.2024 109.911,25"/>
    <m/>
    <m/>
    <m/>
    <m/>
    <m/>
    <m/>
    <m/>
    <m/>
    <m/>
    <m/>
    <m/>
    <m/>
    <m/>
    <m/>
    <m/>
    <m/>
    <m/>
    <m/>
    <m/>
    <m/>
    <m/>
    <m/>
    <m/>
    <m/>
    <m/>
    <m/>
    <m/>
    <m/>
    <m/>
    <m/>
  </r>
  <r>
    <s v="431 - Norway"/>
    <d v="2022-08-01T00:00:00"/>
    <s v="AUGUST"/>
    <x v="2"/>
    <x v="3"/>
    <s v="Deposited"/>
    <s v="PMT-S127-12138"/>
    <s v="IN-S127-412026"/>
    <s v="NOK"/>
    <n v="-162750"/>
    <n v="-17420.109"/>
    <n v="8710.0550000000003"/>
    <n v="-8710.0550000000003"/>
    <s v="AGDER KOLLEKTIVTRAFIKK AS"/>
    <s v="Katarina Andersson"/>
    <s v=""/>
    <m/>
    <m/>
    <m/>
    <m/>
    <m/>
    <m/>
    <m/>
    <m/>
    <m/>
    <m/>
    <m/>
    <m/>
    <m/>
    <m/>
    <m/>
    <m/>
    <m/>
    <m/>
    <m/>
    <m/>
    <m/>
    <m/>
    <m/>
    <m/>
    <m/>
    <m/>
    <m/>
    <m/>
    <m/>
    <m/>
  </r>
  <r>
    <s v="431 - Norway"/>
    <d v="2023-01-16T00:00:00"/>
    <s v="JANUARY"/>
    <x v="3"/>
    <x v="3"/>
    <s v="Deposited"/>
    <s v="PMT-S127-12526"/>
    <s v=""/>
    <s v="NOK"/>
    <n v="-76187.5"/>
    <n v="-8154.8050000000003"/>
    <n v="8154.8050000000003"/>
    <n v="-8154.8050000000003"/>
    <s v="TAMPNET AS"/>
    <s v="Katarina Andersson"/>
    <s v="TAMPNET AS"/>
    <m/>
    <m/>
    <m/>
    <m/>
    <m/>
    <m/>
    <m/>
    <m/>
    <m/>
    <m/>
    <m/>
    <m/>
    <m/>
    <m/>
    <m/>
    <m/>
    <m/>
    <m/>
    <m/>
    <m/>
    <m/>
    <m/>
    <m/>
    <m/>
    <m/>
    <m/>
    <m/>
    <m/>
    <m/>
    <m/>
  </r>
  <r>
    <s v="431 - Norway"/>
    <d v="2025-03-07T00:00:00"/>
    <s v="MARCH"/>
    <x v="0"/>
    <x v="3"/>
    <s v="Deposited"/>
    <s v="PMT-S127-13732"/>
    <s v=""/>
    <s v="NOK"/>
    <n v="-42655"/>
    <n v="-4565.6210000000001"/>
    <n v="4565.6210000000001"/>
    <n v="-12141.629000000001"/>
    <s v="Ergon Nordic AS"/>
    <s v="Katarina Andersson"/>
    <s v="413786 01.01.0001 42.655,00"/>
    <m/>
    <m/>
    <m/>
    <m/>
    <m/>
    <m/>
    <m/>
    <m/>
    <m/>
    <m/>
    <m/>
    <m/>
    <m/>
    <m/>
    <m/>
    <m/>
    <m/>
    <m/>
    <m/>
    <m/>
    <m/>
    <m/>
    <m/>
    <m/>
    <m/>
    <m/>
    <m/>
    <m/>
    <m/>
    <m/>
  </r>
  <r>
    <s v="431 - Norway"/>
    <d v="2025-03-11T00:00:00"/>
    <s v="MARCH"/>
    <x v="0"/>
    <x v="3"/>
    <s v="Deposited"/>
    <s v="PMT-S127-13740"/>
    <s v=""/>
    <s v="NOK"/>
    <n v="-42655"/>
    <n v="-4565.6210000000001"/>
    <n v="4565.6210000000001"/>
    <n v="-12141.629000000001"/>
    <s v="Ergon Nordic AS"/>
    <s v="Katarina Andersson"/>
    <s v="IN-S127-413786 01.01.0001 42.655,00"/>
    <m/>
    <m/>
    <m/>
    <m/>
    <m/>
    <m/>
    <m/>
    <m/>
    <m/>
    <m/>
    <m/>
    <m/>
    <m/>
    <m/>
    <m/>
    <m/>
    <m/>
    <m/>
    <m/>
    <m/>
    <m/>
    <m/>
    <m/>
    <m/>
    <m/>
    <m/>
    <m/>
    <m/>
    <m/>
    <m/>
  </r>
  <r>
    <s v="431 - Norway"/>
    <d v="2023-06-12T00:00:00"/>
    <s v="JUNE"/>
    <x v="3"/>
    <x v="3"/>
    <s v="Deposited"/>
    <s v="PMT-S127-12770"/>
    <s v=""/>
    <s v="NOK"/>
    <n v="-36584"/>
    <n v="-3915.8049999999998"/>
    <n v="3915.8049999999998"/>
    <n v="-3915.8049999999998"/>
    <s v="BETONGPARK ANLEGG AS"/>
    <s v="Katarina Andersson"/>
    <s v="LOWELL NORGE AS"/>
    <m/>
    <m/>
    <m/>
    <m/>
    <m/>
    <m/>
    <m/>
    <m/>
    <m/>
    <m/>
    <m/>
    <m/>
    <m/>
    <m/>
    <m/>
    <m/>
    <m/>
    <m/>
    <m/>
    <m/>
    <m/>
    <m/>
    <m/>
    <m/>
    <m/>
    <m/>
    <m/>
    <m/>
    <m/>
    <m/>
  </r>
  <r>
    <s v="431 - Norway"/>
    <d v="2026-04-22T00:00:00"/>
    <s v="APRIL"/>
    <x v="1"/>
    <x v="3"/>
    <s v="Deposited"/>
    <s v="PMT-S127-14174"/>
    <s v=""/>
    <s v="NOK"/>
    <n v="-34500"/>
    <n v="-3692.7420000000002"/>
    <n v="3692.7420000000002"/>
    <n v="-9499.4449999999997"/>
    <s v="Epax Norway AS"/>
    <s v="Katarina Andersson"/>
    <s v="6535 079740586535 34500.00 34500.00 IBS 34500.00 EPAX NORWAY AS 5805 NO POSTBOKS 444 5805 BERGEN 15039928652 BBAN Meltwater News AS 0158 NO Nedre Vollgate 3 0158 OSLO 50100542177 BBAN CINV IN -S127-414250 34500.00 2026-04-22T00:00:00+02:00 2026-04-22 1 Overføring innland E86535"/>
    <m/>
    <m/>
    <m/>
    <m/>
    <m/>
    <m/>
    <m/>
    <m/>
    <m/>
    <m/>
    <m/>
    <m/>
    <m/>
    <m/>
    <m/>
    <m/>
    <m/>
    <m/>
    <m/>
    <m/>
    <m/>
    <m/>
    <m/>
    <m/>
    <m/>
    <m/>
    <m/>
    <m/>
    <m/>
    <m/>
  </r>
  <r>
    <s v="431 - Norway"/>
    <d v="2022-04-04T00:00:00"/>
    <s v="APRIL"/>
    <x v="2"/>
    <x v="3"/>
    <s v="Deposited"/>
    <s v="PMT-S127-11927"/>
    <s v="IN-S127-411797"/>
    <s v="NOK"/>
    <n v="-62500"/>
    <n v="-6689.75"/>
    <n v="3344.875"/>
    <n v="-9499.4449999999997"/>
    <s v="Epax Norway AS"/>
    <s v="Katarina Andersson"/>
    <s v=""/>
    <m/>
    <m/>
    <m/>
    <m/>
    <m/>
    <m/>
    <m/>
    <m/>
    <m/>
    <m/>
    <m/>
    <m/>
    <m/>
    <m/>
    <m/>
    <m/>
    <m/>
    <m/>
    <m/>
    <m/>
    <m/>
    <m/>
    <m/>
    <m/>
    <m/>
    <m/>
    <m/>
    <m/>
    <m/>
    <m/>
  </r>
  <r>
    <s v="431 - Norway"/>
    <d v="2023-09-19T00:00:00"/>
    <s v="SEPTEMBER"/>
    <x v="3"/>
    <x v="3"/>
    <s v="Deposited"/>
    <s v="PMT-S127-12919"/>
    <s v=""/>
    <s v="NOK"/>
    <n v="-28750"/>
    <n v="-3077.2849999999999"/>
    <n v="3077.2849999999999"/>
    <n v="-3077.2849999999999"/>
    <s v="MO INDUSTRIPARK AS"/>
    <s v="Katarina Andersson"/>
    <s v="FAKTURA 412897 28.750,00 (duplicate)"/>
    <m/>
    <m/>
    <m/>
    <m/>
    <m/>
    <m/>
    <m/>
    <m/>
    <m/>
    <m/>
    <m/>
    <m/>
    <m/>
    <m/>
    <m/>
    <m/>
    <m/>
    <m/>
    <m/>
    <m/>
    <m/>
    <m/>
    <m/>
    <m/>
    <m/>
    <m/>
    <m/>
    <m/>
    <m/>
    <m/>
  </r>
  <r>
    <s v="431 - Norway"/>
    <d v="2025-12-09T00:00:00"/>
    <s v="DECEMBER"/>
    <x v="0"/>
    <x v="3"/>
    <s v="Deposited"/>
    <s v="PMT-S127-14028"/>
    <s v=""/>
    <s v="NOK"/>
    <n v="-28125"/>
    <n v="-3010.3879999999999"/>
    <n v="3010.3879999999999"/>
    <n v="-12141.629000000001"/>
    <s v="Ergon Nordic AS"/>
    <s v="Katarina Andersson"/>
    <s v="0176 28125.00 28125.00 IBS 28125.00 NORSK ENERGIGJENVINNING AS 4628 NO MJÅVANNSVEIEN 118 4628 KRISTIANSAND S 73250510966 BBAN Meltwater News AS 0158 NO Nedre Vollgate 3 0158 OSLO 50100542177 BBAN CINV IN-S127-414098 28125.00 2025-12-09T00:00:00+01:00 2025-12-09 2 B70176"/>
    <m/>
    <m/>
    <m/>
    <m/>
    <m/>
    <m/>
    <m/>
    <m/>
    <m/>
    <m/>
    <m/>
    <m/>
    <m/>
    <m/>
    <m/>
    <m/>
    <m/>
    <m/>
    <m/>
    <m/>
    <m/>
    <m/>
    <m/>
    <m/>
    <m/>
    <m/>
    <m/>
    <m/>
    <m/>
    <m/>
  </r>
  <r>
    <s v="431 - Norway"/>
    <d v="2025-03-07T00:00:00"/>
    <s v="MARCH"/>
    <x v="0"/>
    <x v="3"/>
    <s v="Deposited"/>
    <s v="PMT-S127-13733"/>
    <s v="IN-S127-413757"/>
    <s v="NOK"/>
    <n v="-54450"/>
    <n v="-5828.11"/>
    <n v="2914.0549999999998"/>
    <n v="-2914.0549999999998"/>
    <s v="RYSTAD ENERGY AS"/>
    <s v="Katarina Andersson"/>
    <s v="FAKTURA IN-S127-413757 27.225,00 FAKTURA 413757 27.225,00"/>
    <m/>
    <m/>
    <m/>
    <m/>
    <m/>
    <m/>
    <m/>
    <m/>
    <m/>
    <m/>
    <m/>
    <m/>
    <m/>
    <m/>
    <m/>
    <m/>
    <m/>
    <m/>
    <m/>
    <m/>
    <m/>
    <m/>
    <m/>
    <m/>
    <m/>
    <m/>
    <m/>
    <m/>
    <m/>
    <m/>
  </r>
  <r>
    <s v="431 - Norway"/>
    <d v="2026-04-30T00:00:00"/>
    <s v="APRIL"/>
    <x v="1"/>
    <x v="3"/>
    <s v="Deposited"/>
    <s v="PMT-S127-14184"/>
    <s v=""/>
    <s v="NOK"/>
    <n v="-25987.5"/>
    <n v="-2781.598"/>
    <n v="2781.598"/>
    <n v="-2781.598"/>
    <s v="EB MARINE AS"/>
    <s v="Katarina Andersson"/>
    <s v="613 25987.50 EB MARINE AS MIDTG$RDVEIEN 16 4031 60750573188 BBAN 50100542177 BBAN EB MARINE AS 2026-04-30 2 Overføring innland 66761127059"/>
    <m/>
    <m/>
    <m/>
    <m/>
    <m/>
    <m/>
    <m/>
    <m/>
    <m/>
    <m/>
    <m/>
    <m/>
    <m/>
    <m/>
    <m/>
    <m/>
    <m/>
    <m/>
    <m/>
    <m/>
    <m/>
    <m/>
    <m/>
    <m/>
    <m/>
    <m/>
    <m/>
    <m/>
    <m/>
    <m/>
  </r>
  <r>
    <s v="431 - Norway"/>
    <d v="2023-01-11T00:00:00"/>
    <s v="JANUARY"/>
    <x v="3"/>
    <x v="3"/>
    <s v="Deposited"/>
    <s v="PMT-S127-12514"/>
    <s v=""/>
    <s v="NOK"/>
    <n v="-24500"/>
    <n v="-2622.3820000000001"/>
    <n v="2622.3820000000001"/>
    <n v="-2622.3820000000001"/>
    <s v="Longyearbyen lokalstyre"/>
    <s v="Katarina Andersson"/>
    <s v="FAKTURA IN-S127-412409 24.500,00"/>
    <m/>
    <m/>
    <m/>
    <m/>
    <m/>
    <m/>
    <m/>
    <m/>
    <m/>
    <m/>
    <m/>
    <m/>
    <m/>
    <m/>
    <m/>
    <m/>
    <m/>
    <m/>
    <m/>
    <m/>
    <m/>
    <m/>
    <m/>
    <m/>
    <m/>
    <m/>
    <m/>
    <m/>
    <m/>
    <m/>
  </r>
  <r>
    <s v="431 - Norway"/>
    <d v="2025-04-02T00:00:00"/>
    <s v="APRIL"/>
    <x v="0"/>
    <x v="3"/>
    <s v="Deposited"/>
    <s v="PMT-S127-13768"/>
    <s v="IN-S127-414250"/>
    <s v="NOK"/>
    <n v="-57500"/>
    <n v="-6154.57"/>
    <n v="2461.828"/>
    <n v="-9499.4449999999997"/>
    <s v="Epax Norway AS"/>
    <s v="Katarina Andersson"/>
    <s v="IN -S127-413802 01.01.0001 28.750,00 IN-S127-413802 01.01.0001 28.750,00"/>
    <m/>
    <m/>
    <m/>
    <m/>
    <m/>
    <m/>
    <m/>
    <m/>
    <m/>
    <m/>
    <m/>
    <m/>
    <m/>
    <m/>
    <m/>
    <m/>
    <m/>
    <m/>
    <m/>
    <m/>
    <m/>
    <m/>
    <m/>
    <m/>
    <m/>
    <m/>
    <m/>
    <m/>
    <m/>
    <m/>
  </r>
  <r>
    <s v="431 - Norway"/>
    <d v="2022-08-23T00:00:00"/>
    <s v="AUGUST"/>
    <x v="2"/>
    <x v="3"/>
    <s v="Deposited"/>
    <s v="PMT-S127-12187"/>
    <s v=""/>
    <s v="NOK"/>
    <n v="-20267.5"/>
    <n v="-2169.3519999999999"/>
    <n v="2169.3519999999999"/>
    <n v="-2169.3519999999999"/>
    <s v="NETKEM AS"/>
    <s v="Katarina Andersson"/>
    <s v="IN-S127-412059"/>
    <m/>
    <m/>
    <m/>
    <m/>
    <m/>
    <m/>
    <m/>
    <m/>
    <m/>
    <m/>
    <m/>
    <m/>
    <m/>
    <m/>
    <m/>
    <m/>
    <m/>
    <m/>
    <m/>
    <m/>
    <m/>
    <m/>
    <m/>
    <m/>
    <m/>
    <m/>
    <m/>
    <m/>
    <m/>
    <m/>
  </r>
  <r>
    <s v="431 - Norway"/>
    <d v="2022-09-20T00:00:00"/>
    <s v="SEPTEMBER"/>
    <x v="2"/>
    <x v="3"/>
    <s v="Deposited"/>
    <s v="PMT-S127-12244"/>
    <s v=""/>
    <s v="NOK"/>
    <n v="-18800"/>
    <n v="-2012.277"/>
    <n v="2012.277"/>
    <n v="-2012.277"/>
    <s v="Høyskolen Kristiania - Ernst g Mortensens Stiftelse"/>
    <s v="Katarina Andersson"/>
    <s v=""/>
    <m/>
    <m/>
    <m/>
    <m/>
    <m/>
    <m/>
    <m/>
    <m/>
    <m/>
    <m/>
    <m/>
    <m/>
    <m/>
    <m/>
    <m/>
    <m/>
    <m/>
    <m/>
    <m/>
    <m/>
    <m/>
    <m/>
    <m/>
    <m/>
    <m/>
    <m/>
    <m/>
    <m/>
    <m/>
    <m/>
  </r>
  <r>
    <s v="431 - Norway"/>
    <d v="2023-12-29T00:00:00"/>
    <s v="DECEMBER"/>
    <x v="3"/>
    <x v="3"/>
    <s v="Deposited"/>
    <s v="PMT-S127-13103"/>
    <s v=""/>
    <s v="NOK"/>
    <n v="-15048.75"/>
    <n v="-1610.758"/>
    <n v="1610.758"/>
    <n v="-1979.731"/>
    <s v="DUMMY CUSTOMER_CASHAPPS 431 - Norway"/>
    <s v="Katarina Andersson"/>
    <s v="050554 28.12.2023 15.048,75"/>
    <m/>
    <m/>
    <m/>
    <m/>
    <m/>
    <m/>
    <m/>
    <m/>
    <m/>
    <m/>
    <m/>
    <m/>
    <m/>
    <m/>
    <m/>
    <m/>
    <m/>
    <m/>
    <m/>
    <m/>
    <m/>
    <m/>
    <m/>
    <m/>
    <m/>
    <m/>
    <m/>
    <m/>
    <m/>
    <m/>
  </r>
  <r>
    <s v="431 - Norway"/>
    <d v="2025-09-26T00:00:00"/>
    <s v="SEPTEMBER"/>
    <x v="0"/>
    <x v="3"/>
    <s v="Deposited"/>
    <s v="PMT-S127-13942"/>
    <s v=""/>
    <s v="NOK"/>
    <n v="-15000"/>
    <n v="-1605.54"/>
    <n v="1605.54"/>
    <n v="-1605.54"/>
    <s v="Relokator AS"/>
    <s v="Katarina Andersson"/>
    <s v="RELOKATOR AS"/>
    <m/>
    <m/>
    <m/>
    <m/>
    <m/>
    <m/>
    <m/>
    <m/>
    <m/>
    <m/>
    <m/>
    <m/>
    <m/>
    <m/>
    <m/>
    <m/>
    <m/>
    <m/>
    <m/>
    <m/>
    <m/>
    <m/>
    <m/>
    <m/>
    <m/>
    <m/>
    <m/>
    <m/>
    <m/>
    <m/>
  </r>
  <r>
    <s v="431 - Norway"/>
    <d v="2022-06-03T00:00:00"/>
    <s v="JUNE"/>
    <x v="2"/>
    <x v="3"/>
    <s v="Deposited"/>
    <s v="PMT-S127-12049"/>
    <s v=""/>
    <s v="NOK"/>
    <n v="-12500"/>
    <n v="-1337.95"/>
    <n v="1337.95"/>
    <n v="-2675.9"/>
    <s v="NORGES BOKSEFORBUND"/>
    <s v="Katarina Andersson"/>
    <s v="IN-S127-411920 01.01.0001 12.500,00"/>
    <m/>
    <m/>
    <m/>
    <m/>
    <m/>
    <m/>
    <m/>
    <m/>
    <m/>
    <m/>
    <m/>
    <m/>
    <m/>
    <m/>
    <m/>
    <m/>
    <m/>
    <m/>
    <m/>
    <m/>
    <m/>
    <m/>
    <m/>
    <m/>
    <m/>
    <m/>
    <m/>
    <m/>
    <m/>
    <m/>
  </r>
  <r>
    <s v="431 - Norway"/>
    <d v="2023-05-15T00:00:00"/>
    <s v="MAY"/>
    <x v="3"/>
    <x v="3"/>
    <s v="Deposited"/>
    <s v="PMT-S127-12722"/>
    <s v=""/>
    <s v="NOK"/>
    <n v="-12500"/>
    <n v="-1337.95"/>
    <n v="1337.95"/>
    <n v="-2675.9"/>
    <s v="NORGES BOKSEFORBUND"/>
    <s v="Katarina Andersson"/>
    <s v="IN-S127-412702 01.01.0001 12.500,00"/>
    <m/>
    <m/>
    <m/>
    <m/>
    <m/>
    <m/>
    <m/>
    <m/>
    <m/>
    <m/>
    <m/>
    <m/>
    <m/>
    <m/>
    <m/>
    <m/>
    <m/>
    <m/>
    <m/>
    <m/>
    <m/>
    <m/>
    <m/>
    <m/>
    <m/>
    <m/>
    <m/>
    <m/>
    <m/>
    <m/>
  </r>
  <r>
    <s v="431 - Norway"/>
    <d v="2023-04-04T00:00:00"/>
    <s v="APRIL"/>
    <x v="3"/>
    <x v="3"/>
    <s v="Deposited"/>
    <s v="PMT-S127-12644"/>
    <s v=""/>
    <s v="NOK"/>
    <n v="-8036.25"/>
    <n v="-860.16800000000001"/>
    <n v="860.16800000000001"/>
    <n v="-860.16800000000001"/>
    <s v="BALSFJORD KOMMUNE"/>
    <s v="Katarina Andersson"/>
    <s v="Overføring innland nr.3930003 Balsfjord Kommune"/>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EF464-F13F-454E-85D5-931EE20D006D}" name="PivotTable1"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72">
    <pivotField showAll="0"/>
    <pivotField numFmtId="14" showAll="0"/>
    <pivotField showAll="0"/>
    <pivotField showAll="0"/>
    <pivotField axis="axisRow" showAll="0">
      <items count="7">
        <item x="0"/>
        <item x="2"/>
        <item x="3"/>
        <item h="1" x="1"/>
        <item h="1" x="4"/>
        <item h="1" x="5"/>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mount Remaining"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597FCC-DA4D-40F8-8FB6-63D18EC10016}" name="PivotTable4"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F30" firstHeaderRow="1" firstDataRow="1" firstDataCol="0"/>
  <pivotFields count="72">
    <pivotField showAll="0"/>
    <pivotField numFmtId="14" showAll="0"/>
    <pivotField showAll="0"/>
    <pivotField showAll="0"/>
    <pivotField showAll="0">
      <items count="7">
        <item x="0"/>
        <item h="1" x="2"/>
        <item h="1" x="3"/>
        <item h="1" x="1"/>
        <item h="1" x="4"/>
        <item h="1" x="5"/>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mount Remaining"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CC98C7-09C8-4CB7-82FB-6447DE1F5FB5}" name="PivotTable6"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I30" firstHeaderRow="1" firstDataRow="1" firstDataCol="1" rowPageCount="1" colPageCount="1"/>
  <pivotFields count="46">
    <pivotField showAll="0"/>
    <pivotField showAll="0"/>
    <pivotField showAll="0"/>
    <pivotField axis="axisRow" showAll="0" sortType="ascending">
      <items count="15">
        <item x="6"/>
        <item x="5"/>
        <item x="2"/>
        <item x="3"/>
        <item x="4"/>
        <item x="0"/>
        <item x="1"/>
        <item m="1" x="13"/>
        <item m="1" x="12"/>
        <item m="1" x="9"/>
        <item m="1" x="10"/>
        <item m="1" x="11"/>
        <item m="1" x="7"/>
        <item m="1" x="8"/>
        <item t="default"/>
      </items>
    </pivotField>
    <pivotField axis="axisPage" multipleItemSelectionAllowed="1" showAll="0">
      <items count="6">
        <item h="1" x="0"/>
        <item h="1" x="2"/>
        <item x="3"/>
        <item h="1" x="1"/>
        <item h="1" m="1" x="4"/>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2"/>
    </i>
    <i>
      <x v="3"/>
    </i>
    <i>
      <x v="4"/>
    </i>
    <i>
      <x v="5"/>
    </i>
    <i>
      <x v="6"/>
    </i>
    <i t="grand">
      <x/>
    </i>
  </rowItems>
  <colItems count="1">
    <i/>
  </colItems>
  <pageFields count="1">
    <pageField fld="4" hier="-1"/>
  </pageFields>
  <dataFields count="1">
    <dataField name="Sum of Amount Remaining" fld="11" baseField="0" baseItem="0" numFmtId="164"/>
  </dataFields>
  <formats count="10">
    <format dxfId="57">
      <pivotArea field="3" type="button" dataOnly="0" labelOnly="1" outline="0" axis="axisRow" fieldPosition="0"/>
    </format>
    <format dxfId="58">
      <pivotArea dataOnly="0" labelOnly="1" outline="0" axis="axisValues" fieldPosition="0"/>
    </format>
    <format dxfId="59">
      <pivotArea field="3" type="button" dataOnly="0" labelOnly="1" outline="0" axis="axisRow" fieldPosition="0"/>
    </format>
    <format dxfId="60">
      <pivotArea dataOnly="0" labelOnly="1" outline="0" axis="axisValues" fieldPosition="0"/>
    </format>
    <format dxfId="61">
      <pivotArea grandRow="1" outline="0" collapsedLevelsAreSubtotals="1" fieldPosition="0"/>
    </format>
    <format dxfId="62">
      <pivotArea dataOnly="0" labelOnly="1" grandRow="1" outline="0" fieldPosition="0"/>
    </format>
    <format dxfId="63">
      <pivotArea grandRow="1" outline="0" collapsedLevelsAreSubtotals="1" fieldPosition="0"/>
    </format>
    <format dxfId="64">
      <pivotArea dataOnly="0" labelOnly="1" grandRow="1" outline="0" fieldPosition="0"/>
    </format>
    <format dxfId="56">
      <pivotArea dataOnly="0" labelOnly="1" outline="0" fieldPosition="0">
        <references count="1">
          <reference field="4" count="0"/>
        </references>
      </pivotArea>
    </format>
    <format dxfId="52">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D1C7C-1B8B-4CEC-9262-159FBC0B5068}" name="PivotTable5"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F30" firstHeaderRow="1" firstDataRow="1" firstDataCol="1" rowPageCount="1" colPageCount="1"/>
  <pivotFields count="46">
    <pivotField showAll="0"/>
    <pivotField showAll="0"/>
    <pivotField showAll="0"/>
    <pivotField axis="axisRow" showAll="0" sortType="ascending">
      <items count="15">
        <item x="6"/>
        <item x="5"/>
        <item x="2"/>
        <item x="3"/>
        <item x="4"/>
        <item x="0"/>
        <item x="1"/>
        <item m="1" x="13"/>
        <item m="1" x="12"/>
        <item m="1" x="9"/>
        <item m="1" x="10"/>
        <item m="1" x="11"/>
        <item m="1" x="7"/>
        <item m="1" x="8"/>
        <item t="default"/>
      </items>
    </pivotField>
    <pivotField axis="axisPage" multipleItemSelectionAllowed="1" showAll="0">
      <items count="6">
        <item h="1" x="0"/>
        <item x="2"/>
        <item h="1" x="3"/>
        <item h="1" x="1"/>
        <item h="1" m="1" x="4"/>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2"/>
    </i>
    <i>
      <x v="3"/>
    </i>
    <i>
      <x v="4"/>
    </i>
    <i>
      <x v="5"/>
    </i>
    <i>
      <x v="6"/>
    </i>
    <i t="grand">
      <x/>
    </i>
  </rowItems>
  <colItems count="1">
    <i/>
  </colItems>
  <pageFields count="1">
    <pageField fld="4" hier="-1"/>
  </pageFields>
  <dataFields count="1">
    <dataField name="Sum of Amount Remaining" fld="11" baseField="0" baseItem="0" numFmtId="164"/>
  </dataFields>
  <formats count="10">
    <format dxfId="65">
      <pivotArea field="3" type="button" dataOnly="0" labelOnly="1" outline="0" axis="axisRow" fieldPosition="0"/>
    </format>
    <format dxfId="66">
      <pivotArea dataOnly="0" labelOnly="1" outline="0" axis="axisValues" fieldPosition="0"/>
    </format>
    <format dxfId="67">
      <pivotArea field="3" type="button" dataOnly="0" labelOnly="1" outline="0" axis="axisRow" fieldPosition="0"/>
    </format>
    <format dxfId="68">
      <pivotArea dataOnly="0" labelOnly="1" outline="0" axis="axisValues" fieldPosition="0"/>
    </format>
    <format dxfId="69">
      <pivotArea grandRow="1" outline="0" collapsedLevelsAreSubtotals="1" fieldPosition="0"/>
    </format>
    <format dxfId="70">
      <pivotArea dataOnly="0" labelOnly="1" grandRow="1" outline="0" fieldPosition="0"/>
    </format>
    <format dxfId="71">
      <pivotArea grandRow="1" outline="0" collapsedLevelsAreSubtotals="1" fieldPosition="0"/>
    </format>
    <format dxfId="72">
      <pivotArea dataOnly="0" labelOnly="1" grandRow="1" outline="0" fieldPosition="0"/>
    </format>
    <format dxfId="55">
      <pivotArea dataOnly="0" labelOnly="1" outline="0" fieldPosition="0">
        <references count="1">
          <reference field="4" count="0"/>
        </references>
      </pivotArea>
    </format>
    <format dxfId="53">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693324-447B-47B6-AA99-E1148E1F9FFB}" name="PivotTable4"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0" firstHeaderRow="1" firstDataRow="1" firstDataCol="1" rowPageCount="1" colPageCount="1"/>
  <pivotFields count="46">
    <pivotField showAll="0"/>
    <pivotField showAll="0"/>
    <pivotField showAll="0"/>
    <pivotField axis="axisRow" showAll="0" sortType="ascending">
      <items count="15">
        <item x="6"/>
        <item x="5"/>
        <item x="2"/>
        <item x="3"/>
        <item x="4"/>
        <item x="0"/>
        <item x="1"/>
        <item m="1" x="13"/>
        <item m="1" x="12"/>
        <item m="1" x="9"/>
        <item m="1" x="10"/>
        <item m="1" x="11"/>
        <item m="1" x="7"/>
        <item m="1" x="8"/>
        <item t="default"/>
      </items>
    </pivotField>
    <pivotField axis="axisPage" multipleItemSelectionAllowed="1" showAll="0">
      <items count="6">
        <item x="0"/>
        <item h="1" x="2"/>
        <item h="1" x="3"/>
        <item h="1" x="1"/>
        <item h="1" m="1" x="4"/>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2"/>
    </i>
    <i>
      <x v="3"/>
    </i>
    <i>
      <x v="4"/>
    </i>
    <i>
      <x v="5"/>
    </i>
    <i>
      <x v="6"/>
    </i>
    <i t="grand">
      <x/>
    </i>
  </rowItems>
  <colItems count="1">
    <i/>
  </colItems>
  <pageFields count="1">
    <pageField fld="4" hier="-1"/>
  </pageFields>
  <dataFields count="1">
    <dataField name="Sum of Amount Remaining" fld="11" baseField="0" baseItem="0" numFmtId="164"/>
  </dataFields>
  <formats count="9">
    <format dxfId="80">
      <pivotArea field="3" type="button" dataOnly="0" labelOnly="1" outline="0" axis="axisRow" fieldPosition="0"/>
    </format>
    <format dxfId="79">
      <pivotArea dataOnly="0" labelOnly="1" outline="0" axis="axisValues" fieldPosition="0"/>
    </format>
    <format dxfId="78">
      <pivotArea field="3" type="button" dataOnly="0" labelOnly="1" outline="0" axis="axisRow" fieldPosition="0"/>
    </format>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 dxfId="54">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F7F45-8175-4BEA-A645-E09D424F3C93}" name="PivotTable3"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16" firstHeaderRow="1" firstDataRow="1" firstDataCol="1"/>
  <pivotFields count="52">
    <pivotField showAll="0"/>
    <pivotField showAll="0"/>
    <pivotField showAll="0"/>
    <pivotField showAll="0"/>
    <pivotField axis="axisRow" showAll="0">
      <items count="6">
        <item x="0"/>
        <item x="2"/>
        <item x="3"/>
        <item h="1" x="1"/>
        <item h="1" m="1" x="4"/>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mount Remaining" fld="11" baseField="0" baseItem="0" numFmtId="164"/>
  </dataFields>
  <formats count="12">
    <format dxfId="85">
      <pivotArea field="4" type="button" dataOnly="0" labelOnly="1" outline="0" axis="axisRow" fieldPosition="0"/>
    </format>
    <format dxfId="86">
      <pivotArea dataOnly="0" labelOnly="1" outline="0" axis="axisValues" fieldPosition="0"/>
    </format>
    <format dxfId="87">
      <pivotArea field="4" type="button" dataOnly="0" labelOnly="1" outline="0" axis="axisRow" fieldPosition="0"/>
    </format>
    <format dxfId="88">
      <pivotArea dataOnly="0" labelOnly="1" outline="0" axis="axisValues" fieldPosition="0"/>
    </format>
    <format dxfId="89">
      <pivotArea grandRow="1" outline="0" collapsedLevelsAreSubtotals="1" fieldPosition="0"/>
    </format>
    <format dxfId="90">
      <pivotArea dataOnly="0" labelOnly="1" grandRow="1" outline="0" fieldPosition="0"/>
    </format>
    <format dxfId="91">
      <pivotArea grandRow="1" outline="0" collapsedLevelsAreSubtotals="1" fieldPosition="0"/>
    </format>
    <format dxfId="92">
      <pivotArea dataOnly="0" labelOnly="1" grandRow="1" outline="0" fieldPosition="0"/>
    </format>
    <format dxfId="84">
      <pivotArea field="4" type="button" dataOnly="0" labelOnly="1" outline="0" axis="axisRow" fieldPosition="0"/>
    </format>
    <format dxfId="83">
      <pivotArea dataOnly="0" labelOnly="1" outline="0" axis="axisValues" fieldPosition="0"/>
    </format>
    <format dxfId="82">
      <pivotArea grandRow="1" outline="0" collapsedLevelsAreSubtotals="1" fieldPosition="0"/>
    </format>
    <format dxfId="8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F89D0-004A-4C70-AD86-91F35371B679}" name="PivotTable2"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52">
    <pivotField showAll="0"/>
    <pivotField showAll="0"/>
    <pivotField showAll="0"/>
    <pivotField showAll="0"/>
    <pivotField axis="axisRow" showAll="0">
      <items count="6">
        <item x="0"/>
        <item x="2"/>
        <item x="3"/>
        <item h="1" x="1"/>
        <item h="1" m="1" x="4"/>
        <item t="default"/>
      </items>
    </pivotField>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mount Remaining" fld="11" baseField="0" baseItem="0" numFmtId="164"/>
  </dataFields>
  <formats count="8">
    <format dxfId="100">
      <pivotArea field="4" type="button" dataOnly="0" labelOnly="1" outline="0" axis="axisRow" fieldPosition="0"/>
    </format>
    <format dxfId="99">
      <pivotArea dataOnly="0" labelOnly="1" outline="0" axis="axisValues" fieldPosition="0"/>
    </format>
    <format dxfId="98">
      <pivotArea field="4" type="button" dataOnly="0" labelOnly="1" outline="0" axis="axisRow" fieldPosition="0"/>
    </format>
    <format dxfId="97">
      <pivotArea dataOnly="0" labelOnly="1" outline="0" axis="axisValues" fieldPosition="0"/>
    </format>
    <format dxfId="96">
      <pivotArea grandRow="1" outline="0" collapsedLevelsAreSubtotals="1" fieldPosition="0"/>
    </format>
    <format dxfId="95">
      <pivotArea dataOnly="0" labelOnly="1" grandRow="1" outline="0" fieldPosition="0"/>
    </format>
    <format dxfId="94">
      <pivotArea grandRow="1" outline="0" collapsedLevelsAreSubtotals="1" fieldPosition="0"/>
    </format>
    <format dxfId="9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idiary" xr10:uid="{3B874AA1-149B-4247-A4BD-3C3E1EAB2211}" sourceName="Subsidiary">
  <pivotTables>
    <pivotTable tabId="3" name="PivotTable4"/>
  </pivotTables>
  <data>
    <tabular pivotCacheId="1715484805">
      <items count="6">
        <i x="0" s="1"/>
        <i x="2"/>
        <i x="3"/>
        <i x="1"/>
        <i x="4"/>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idiary" xr10:uid="{53076731-51EC-4759-87E4-69FB544E1796}" cache="Slicer_Subsidiary" caption="Subsidiary" columnCount="4" rowHeight="1841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80D5-C91E-49B6-95BA-FBD0454F31B6}">
  <sheetPr filterMode="1"/>
  <dimension ref="A14:J30"/>
  <sheetViews>
    <sheetView showGridLines="0" workbookViewId="0">
      <selection activeCell="C28" sqref="C28"/>
    </sheetView>
  </sheetViews>
  <sheetFormatPr defaultRowHeight="10.199999999999999"/>
  <cols>
    <col min="1" max="1" width="14.42578125" bestFit="1" customWidth="1"/>
    <col min="2" max="2" width="26" bestFit="1" customWidth="1"/>
    <col min="6" max="7" width="26" bestFit="1" customWidth="1"/>
    <col min="8" max="8" width="27" customWidth="1"/>
    <col min="10" max="10" width="11.28515625" bestFit="1" customWidth="1"/>
  </cols>
  <sheetData>
    <row r="14" spans="1:10">
      <c r="G14" t="s">
        <v>1494</v>
      </c>
    </row>
    <row r="15" spans="1:10">
      <c r="A15" t="s">
        <v>1495</v>
      </c>
      <c r="G15" s="6" t="s">
        <v>1491</v>
      </c>
      <c r="H15" s="6" t="s">
        <v>1493</v>
      </c>
    </row>
    <row r="16" spans="1:10">
      <c r="A16" s="3" t="s">
        <v>1491</v>
      </c>
      <c r="B16" t="s">
        <v>1493</v>
      </c>
      <c r="G16" s="6" t="s">
        <v>1472</v>
      </c>
      <c r="H16" s="7">
        <v>1964139.4090000005</v>
      </c>
      <c r="J16" s="8">
        <f>GETPIVOTDATA("Amount Remaining",$A$16,"Subsidiary","Americas")-H16</f>
        <v>-835002.11700000032</v>
      </c>
    </row>
    <row r="17" spans="1:8">
      <c r="A17" s="4" t="s">
        <v>1472</v>
      </c>
      <c r="B17" s="5">
        <v>1129137.2920000001</v>
      </c>
      <c r="G17" s="6" t="s">
        <v>1477</v>
      </c>
      <c r="H17" s="7">
        <v>4210.652</v>
      </c>
    </row>
    <row r="18" spans="1:8">
      <c r="A18" s="4" t="s">
        <v>1477</v>
      </c>
      <c r="B18" s="5">
        <v>225886.59400000004</v>
      </c>
      <c r="G18" s="6" t="s">
        <v>1480</v>
      </c>
      <c r="H18" s="7">
        <v>37757.611000000004</v>
      </c>
    </row>
    <row r="19" spans="1:8" ht="11.4" customHeight="1">
      <c r="A19" s="4" t="s">
        <v>1480</v>
      </c>
      <c r="B19" s="5">
        <v>1560344.8789999995</v>
      </c>
      <c r="G19" s="6" t="s">
        <v>1475</v>
      </c>
      <c r="H19" s="7">
        <v>313476.88899999991</v>
      </c>
    </row>
    <row r="20" spans="1:8">
      <c r="A20" s="4" t="s">
        <v>1492</v>
      </c>
      <c r="B20" s="5">
        <v>2915368.7649999997</v>
      </c>
      <c r="G20" s="6" t="s">
        <v>1492</v>
      </c>
      <c r="H20" s="7">
        <v>4792721.2059999993</v>
      </c>
    </row>
    <row r="28" spans="1:8" ht="13.8">
      <c r="A28" s="9"/>
      <c r="F28" s="9" t="s">
        <v>1496</v>
      </c>
    </row>
    <row r="29" spans="1:8">
      <c r="F29" t="s">
        <v>1493</v>
      </c>
    </row>
    <row r="30" spans="1:8">
      <c r="F30" s="5">
        <v>1129137.2920000001</v>
      </c>
    </row>
  </sheetData>
  <autoFilter ref="G14:H20" xr:uid="{3CC280D5-C91E-49B6-95BA-FBD0454F31B6}">
    <filterColumn colId="0">
      <filters>
        <filter val="Americas"/>
        <filter val="APAC"/>
        <filter val="EMEA"/>
        <filter val="Grand Total"/>
        <filter val="Row Labels"/>
      </filters>
    </filterColumn>
  </autoFilter>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F6CB-C429-493E-A4F7-CB6B44C0D6C8}">
  <dimension ref="A12:I30"/>
  <sheetViews>
    <sheetView showGridLines="0" tabSelected="1" workbookViewId="0">
      <selection activeCell="D30" sqref="D30"/>
    </sheetView>
  </sheetViews>
  <sheetFormatPr defaultRowHeight="10.199999999999999"/>
  <cols>
    <col min="1" max="1" width="16.85546875" customWidth="1"/>
    <col min="2" max="2" width="26" bestFit="1" customWidth="1"/>
    <col min="5" max="5" width="14.42578125" bestFit="1" customWidth="1"/>
    <col min="6" max="6" width="26" bestFit="1" customWidth="1"/>
    <col min="8" max="8" width="14.42578125" bestFit="1" customWidth="1"/>
    <col min="9" max="9" width="26" bestFit="1" customWidth="1"/>
  </cols>
  <sheetData>
    <row r="12" spans="1:6">
      <c r="A12" s="28" t="s">
        <v>1491</v>
      </c>
      <c r="B12" s="28" t="s">
        <v>1493</v>
      </c>
      <c r="E12" s="31" t="s">
        <v>1491</v>
      </c>
      <c r="F12" s="31" t="s">
        <v>1493</v>
      </c>
    </row>
    <row r="13" spans="1:6">
      <c r="A13" s="4" t="s">
        <v>1472</v>
      </c>
      <c r="B13" s="5">
        <v>1129137.2920000001</v>
      </c>
      <c r="E13" s="4" t="s">
        <v>1472</v>
      </c>
      <c r="F13" s="5">
        <v>1129137.2920000001</v>
      </c>
    </row>
    <row r="14" spans="1:6">
      <c r="A14" s="4" t="s">
        <v>1477</v>
      </c>
      <c r="B14" s="5">
        <v>225886.59400000004</v>
      </c>
      <c r="E14" s="4" t="s">
        <v>1477</v>
      </c>
      <c r="F14" s="5">
        <v>225886.59400000004</v>
      </c>
    </row>
    <row r="15" spans="1:6">
      <c r="A15" s="4" t="s">
        <v>1480</v>
      </c>
      <c r="B15" s="5">
        <v>1558558.2139999992</v>
      </c>
      <c r="E15" s="4" t="s">
        <v>1480</v>
      </c>
      <c r="F15" s="5">
        <v>1558558.2139999992</v>
      </c>
    </row>
    <row r="16" spans="1:6">
      <c r="A16" s="29" t="s">
        <v>1492</v>
      </c>
      <c r="B16" s="30">
        <v>2913582.0999999996</v>
      </c>
      <c r="E16" s="32" t="s">
        <v>1492</v>
      </c>
      <c r="F16" s="33">
        <v>2913582.0999999996</v>
      </c>
    </row>
    <row r="20" spans="1:9" ht="13.8">
      <c r="A20" s="37" t="s">
        <v>1496</v>
      </c>
    </row>
    <row r="22" spans="1:9">
      <c r="A22" s="3" t="s">
        <v>1773</v>
      </c>
      <c r="B22" s="2" t="s">
        <v>1472</v>
      </c>
      <c r="E22" s="3" t="s">
        <v>1773</v>
      </c>
      <c r="F22" s="38" t="s">
        <v>1477</v>
      </c>
      <c r="H22" s="3" t="s">
        <v>1773</v>
      </c>
      <c r="I22" s="39" t="s">
        <v>1480</v>
      </c>
    </row>
    <row r="24" spans="1:9">
      <c r="A24" s="34" t="s">
        <v>1491</v>
      </c>
      <c r="B24" s="34" t="s">
        <v>1493</v>
      </c>
      <c r="E24" s="34" t="s">
        <v>1491</v>
      </c>
      <c r="F24" s="34" t="s">
        <v>1493</v>
      </c>
      <c r="H24" s="34" t="s">
        <v>1491</v>
      </c>
      <c r="I24" s="34" t="s">
        <v>1493</v>
      </c>
    </row>
    <row r="25" spans="1:9">
      <c r="A25" s="4">
        <v>2022</v>
      </c>
      <c r="B25" s="5">
        <v>247647.77000000005</v>
      </c>
      <c r="E25" s="4">
        <v>2022</v>
      </c>
      <c r="F25" s="5">
        <v>6331.4709999999995</v>
      </c>
      <c r="H25" s="4">
        <v>2022</v>
      </c>
      <c r="I25" s="5">
        <v>136434.15299999999</v>
      </c>
    </row>
    <row r="26" spans="1:9">
      <c r="A26" s="4">
        <v>2023</v>
      </c>
      <c r="B26" s="5">
        <v>161269.47699999996</v>
      </c>
      <c r="E26" s="4">
        <v>2023</v>
      </c>
      <c r="F26" s="5">
        <v>118148.644</v>
      </c>
      <c r="H26" s="4">
        <v>2023</v>
      </c>
      <c r="I26" s="5">
        <v>320347.93999999994</v>
      </c>
    </row>
    <row r="27" spans="1:9">
      <c r="A27" s="4">
        <v>2024</v>
      </c>
      <c r="B27" s="5">
        <v>47448.117999999995</v>
      </c>
      <c r="E27" s="4">
        <v>2024</v>
      </c>
      <c r="F27" s="5">
        <v>20152.823</v>
      </c>
      <c r="H27" s="4">
        <v>2024</v>
      </c>
      <c r="I27" s="5">
        <v>219682.33</v>
      </c>
    </row>
    <row r="28" spans="1:9">
      <c r="A28" s="4">
        <v>2025</v>
      </c>
      <c r="B28" s="5">
        <v>369312.24000000005</v>
      </c>
      <c r="E28" s="4">
        <v>2025</v>
      </c>
      <c r="F28" s="5">
        <v>25616.489999999998</v>
      </c>
      <c r="H28" s="4">
        <v>2025</v>
      </c>
      <c r="I28" s="5">
        <v>341332.86500000005</v>
      </c>
    </row>
    <row r="29" spans="1:9">
      <c r="A29" s="4">
        <v>2026</v>
      </c>
      <c r="B29" s="5">
        <v>303459.68700000003</v>
      </c>
      <c r="E29" s="4">
        <v>2026</v>
      </c>
      <c r="F29" s="5">
        <v>55637.166000000005</v>
      </c>
      <c r="H29" s="4">
        <v>2026</v>
      </c>
      <c r="I29" s="5">
        <v>541621.09400000016</v>
      </c>
    </row>
    <row r="30" spans="1:9">
      <c r="A30" s="35" t="s">
        <v>1492</v>
      </c>
      <c r="B30" s="36">
        <v>1129137.2919999999</v>
      </c>
      <c r="E30" s="35" t="s">
        <v>1492</v>
      </c>
      <c r="F30" s="36">
        <v>225886.59399999998</v>
      </c>
      <c r="H30" s="35" t="s">
        <v>1492</v>
      </c>
      <c r="I30" s="36">
        <v>1559418.3820000002</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7B186-F48C-45A4-8A62-5F14B65B9D95}">
  <dimension ref="A1:AT589"/>
  <sheetViews>
    <sheetView zoomScale="85" zoomScaleNormal="85" workbookViewId="0">
      <selection activeCell="H34" sqref="H34"/>
    </sheetView>
  </sheetViews>
  <sheetFormatPr defaultRowHeight="10.199999999999999"/>
  <cols>
    <col min="1" max="1" width="33.42578125" bestFit="1" customWidth="1"/>
    <col min="2" max="2" width="10.28515625" bestFit="1" customWidth="1"/>
    <col min="3" max="3" width="12.5703125" bestFit="1" customWidth="1"/>
    <col min="4" max="4" width="8.5703125" bestFit="1" customWidth="1"/>
    <col min="5" max="5" width="11.5703125" bestFit="1" customWidth="1"/>
    <col min="6" max="6" width="12.7109375" bestFit="1" customWidth="1"/>
    <col min="7" max="8" width="16.42578125" bestFit="1" customWidth="1"/>
    <col min="9" max="9" width="8.5703125" bestFit="1" customWidth="1"/>
    <col min="10" max="10" width="29" style="26" bestFit="1" customWidth="1"/>
    <col min="11" max="11" width="15.28515625" bestFit="1" customWidth="1"/>
    <col min="12" max="12" width="16.7109375" bestFit="1" customWidth="1"/>
    <col min="13" max="13" width="16.42578125" bestFit="1" customWidth="1"/>
    <col min="14" max="14" width="91.85546875" bestFit="1" customWidth="1"/>
    <col min="15" max="15" width="25.7109375" bestFit="1" customWidth="1"/>
    <col min="16" max="16" width="255.7109375" bestFit="1" customWidth="1"/>
    <col min="17" max="17" width="15.28515625" bestFit="1" customWidth="1"/>
    <col min="18" max="18" width="16.7109375" bestFit="1" customWidth="1"/>
    <col min="19" max="19" width="16.42578125" bestFit="1" customWidth="1"/>
    <col min="20" max="20" width="91.85546875" bestFit="1" customWidth="1"/>
    <col min="21" max="21" width="25.7109375" bestFit="1" customWidth="1"/>
    <col min="22" max="22" width="255.7109375" bestFit="1" customWidth="1"/>
    <col min="23" max="23" width="91.85546875" bestFit="1" customWidth="1"/>
    <col min="24" max="24" width="25.7109375" bestFit="1" customWidth="1"/>
    <col min="25" max="25" width="255.7109375" bestFit="1" customWidth="1"/>
    <col min="26" max="26" width="91.85546875" bestFit="1" customWidth="1"/>
    <col min="27" max="27" width="25.7109375" bestFit="1" customWidth="1"/>
    <col min="28" max="28" width="255.7109375" bestFit="1" customWidth="1"/>
    <col min="29" max="29" width="16.42578125" bestFit="1" customWidth="1"/>
    <col min="30" max="30" width="8.5703125" bestFit="1" customWidth="1"/>
    <col min="31" max="31" width="29" bestFit="1" customWidth="1"/>
    <col min="32" max="32" width="15.28515625" bestFit="1" customWidth="1"/>
    <col min="33" max="33" width="16.7109375" bestFit="1" customWidth="1"/>
    <col min="34" max="34" width="16.42578125" style="27" bestFit="1" customWidth="1"/>
    <col min="35" max="35" width="91.85546875" bestFit="1" customWidth="1"/>
    <col min="36" max="36" width="25.7109375" bestFit="1" customWidth="1"/>
    <col min="37" max="37" width="255.7109375" bestFit="1" customWidth="1"/>
    <col min="38" max="38" width="91.85546875" bestFit="1" customWidth="1"/>
    <col min="39" max="39" width="25.7109375" bestFit="1" customWidth="1"/>
    <col min="40" max="40" width="255.7109375" bestFit="1" customWidth="1"/>
    <col min="41" max="41" width="91.85546875" bestFit="1" customWidth="1"/>
    <col min="42" max="42" width="25.7109375" bestFit="1" customWidth="1"/>
    <col min="43" max="43" width="255.7109375" bestFit="1" customWidth="1"/>
    <col min="44" max="44" width="91.85546875" bestFit="1" customWidth="1"/>
    <col min="45" max="45" width="25.7109375" bestFit="1" customWidth="1"/>
    <col min="46" max="46" width="255.7109375" style="27" bestFit="1" customWidth="1"/>
    <col min="47" max="47" width="91.85546875" bestFit="1" customWidth="1"/>
    <col min="48" max="48" width="25.7109375" bestFit="1" customWidth="1"/>
    <col min="49" max="49" width="255.7109375" bestFit="1" customWidth="1"/>
    <col min="50" max="50" width="91.85546875" bestFit="1" customWidth="1"/>
    <col min="51" max="51" width="25.7109375" bestFit="1" customWidth="1"/>
    <col min="52" max="52" width="255.7109375" bestFit="1" customWidth="1"/>
    <col min="53" max="53" width="91.85546875" bestFit="1" customWidth="1"/>
    <col min="54" max="54" width="25.7109375" bestFit="1" customWidth="1"/>
    <col min="55" max="55" width="255.7109375" bestFit="1" customWidth="1"/>
    <col min="56" max="56" width="25.7109375" bestFit="1" customWidth="1"/>
    <col min="57" max="57" width="255.7109375" bestFit="1" customWidth="1"/>
    <col min="58" max="58" width="25.7109375" bestFit="1" customWidth="1"/>
    <col min="59" max="59" width="255.7109375" bestFit="1" customWidth="1"/>
    <col min="60" max="60" width="25.7109375" bestFit="1" customWidth="1"/>
    <col min="61" max="61" width="255.7109375" bestFit="1" customWidth="1"/>
    <col min="62" max="62" width="25.7109375" bestFit="1" customWidth="1"/>
    <col min="63" max="63" width="255.7109375" bestFit="1" customWidth="1"/>
    <col min="64" max="64" width="25.7109375" bestFit="1" customWidth="1"/>
    <col min="65" max="65" width="255.7109375" bestFit="1" customWidth="1"/>
  </cols>
  <sheetData>
    <row r="1" spans="1:46">
      <c r="A1" s="1" t="s">
        <v>0</v>
      </c>
      <c r="B1" s="1" t="s">
        <v>1</v>
      </c>
      <c r="C1" s="1" t="s">
        <v>1771</v>
      </c>
      <c r="D1" s="1" t="s">
        <v>1772</v>
      </c>
      <c r="E1" s="1" t="s">
        <v>1773</v>
      </c>
      <c r="F1" s="1" t="s">
        <v>2</v>
      </c>
      <c r="G1" s="1" t="s">
        <v>3</v>
      </c>
      <c r="H1" s="1" t="s">
        <v>1734</v>
      </c>
      <c r="I1" s="1" t="s">
        <v>4</v>
      </c>
      <c r="J1" s="1" t="s">
        <v>5</v>
      </c>
      <c r="K1" s="1" t="s">
        <v>6</v>
      </c>
      <c r="L1" s="1" t="s">
        <v>7</v>
      </c>
      <c r="M1" s="1" t="s">
        <v>8</v>
      </c>
      <c r="N1" s="1" t="s">
        <v>9</v>
      </c>
      <c r="O1" s="1" t="s">
        <v>10</v>
      </c>
      <c r="P1" s="1" t="s">
        <v>11</v>
      </c>
      <c r="AH1"/>
      <c r="AT1"/>
    </row>
    <row r="2" spans="1:46">
      <c r="A2" t="s">
        <v>12</v>
      </c>
      <c r="B2" s="10">
        <v>45736</v>
      </c>
      <c r="C2" s="10" t="str">
        <f>UPPER(TEXT(B2, "[$-en-US]mmmm"))</f>
        <v>MARCH</v>
      </c>
      <c r="D2" s="41">
        <f>YEAR(B2)</f>
        <v>2025</v>
      </c>
      <c r="E2" s="10" t="str">
        <f>VLOOKUP(A2,Sheet2!A:B,2,0)</f>
        <v>Americas</v>
      </c>
      <c r="F2" t="s">
        <v>13</v>
      </c>
      <c r="G2" t="s">
        <v>17</v>
      </c>
      <c r="H2" t="s">
        <v>14</v>
      </c>
      <c r="I2" t="s">
        <v>15</v>
      </c>
      <c r="J2" s="11">
        <v>-81229.11</v>
      </c>
      <c r="K2" s="12">
        <v>-81229.11</v>
      </c>
      <c r="L2" s="12">
        <v>81229.11</v>
      </c>
      <c r="M2" s="12">
        <v>-250567.82</v>
      </c>
      <c r="N2" t="s">
        <v>18</v>
      </c>
      <c r="O2" t="s">
        <v>14</v>
      </c>
      <c r="P2" t="s">
        <v>19</v>
      </c>
      <c r="AH2"/>
      <c r="AT2"/>
    </row>
    <row r="3" spans="1:46">
      <c r="A3" t="s">
        <v>12</v>
      </c>
      <c r="B3" s="10">
        <v>45922</v>
      </c>
      <c r="C3" s="10" t="str">
        <f>UPPER(TEXT(B3, "[$-en-US]mmmm"))</f>
        <v>SEPTEMBER</v>
      </c>
      <c r="D3" s="41">
        <f>YEAR(B3)</f>
        <v>2025</v>
      </c>
      <c r="E3" s="10" t="str">
        <f>VLOOKUP(A3,Sheet2!A:B,2,0)</f>
        <v>Americas</v>
      </c>
      <c r="F3" t="s">
        <v>13</v>
      </c>
      <c r="G3" t="s">
        <v>20</v>
      </c>
      <c r="H3" t="s">
        <v>14</v>
      </c>
      <c r="I3" t="s">
        <v>15</v>
      </c>
      <c r="J3" s="11">
        <v>-54445.55</v>
      </c>
      <c r="K3" s="12">
        <v>-54445.55</v>
      </c>
      <c r="L3" s="12">
        <v>54445.55</v>
      </c>
      <c r="M3" s="12">
        <v>-50095.55</v>
      </c>
      <c r="N3" t="s">
        <v>21</v>
      </c>
      <c r="O3" t="s">
        <v>14</v>
      </c>
      <c r="P3" t="s">
        <v>22</v>
      </c>
      <c r="AH3"/>
      <c r="AT3"/>
    </row>
    <row r="4" spans="1:46">
      <c r="A4" t="s">
        <v>12</v>
      </c>
      <c r="B4" s="10">
        <v>46071</v>
      </c>
      <c r="C4" s="10" t="str">
        <f>UPPER(TEXT(B4, "[$-en-US]mmmm"))</f>
        <v>FEBRUARY</v>
      </c>
      <c r="D4" s="41">
        <f>YEAR(B4)</f>
        <v>2026</v>
      </c>
      <c r="E4" s="10" t="str">
        <f>VLOOKUP(A4,Sheet2!A:B,2,0)</f>
        <v>Americas</v>
      </c>
      <c r="F4" t="s">
        <v>13</v>
      </c>
      <c r="G4" t="s">
        <v>23</v>
      </c>
      <c r="H4" t="s">
        <v>14</v>
      </c>
      <c r="I4" t="s">
        <v>15</v>
      </c>
      <c r="J4" s="11">
        <v>-35534</v>
      </c>
      <c r="K4" s="12">
        <v>-35534</v>
      </c>
      <c r="L4" s="12">
        <v>35534</v>
      </c>
      <c r="M4" s="12">
        <v>-35534</v>
      </c>
      <c r="N4" t="s">
        <v>24</v>
      </c>
      <c r="O4" t="s">
        <v>14</v>
      </c>
      <c r="P4" t="s">
        <v>25</v>
      </c>
      <c r="AH4"/>
      <c r="AT4"/>
    </row>
    <row r="5" spans="1:46">
      <c r="A5" t="s">
        <v>12</v>
      </c>
      <c r="B5" s="10">
        <v>45691</v>
      </c>
      <c r="C5" s="10" t="str">
        <f>UPPER(TEXT(B5, "[$-en-US]mmmm"))</f>
        <v>FEBRUARY</v>
      </c>
      <c r="D5" s="41">
        <f>YEAR(B5)</f>
        <v>2025</v>
      </c>
      <c r="E5" s="10" t="str">
        <f>VLOOKUP(A5,Sheet2!A:B,2,0)</f>
        <v>Americas</v>
      </c>
      <c r="F5" t="s">
        <v>13</v>
      </c>
      <c r="G5" t="s">
        <v>26</v>
      </c>
      <c r="H5" t="s">
        <v>14</v>
      </c>
      <c r="I5" t="s">
        <v>15</v>
      </c>
      <c r="J5" s="11">
        <v>-32613.85</v>
      </c>
      <c r="K5" s="12">
        <v>-32613.85</v>
      </c>
      <c r="L5" s="12">
        <v>32613.85</v>
      </c>
      <c r="M5" s="12">
        <v>-250567.82</v>
      </c>
      <c r="N5" t="s">
        <v>18</v>
      </c>
      <c r="O5" t="s">
        <v>14</v>
      </c>
      <c r="P5" t="s">
        <v>27</v>
      </c>
      <c r="AH5"/>
      <c r="AT5"/>
    </row>
    <row r="6" spans="1:46">
      <c r="A6" t="s">
        <v>12</v>
      </c>
      <c r="B6" s="10">
        <v>44851</v>
      </c>
      <c r="C6" s="10" t="str">
        <f>UPPER(TEXT(B6, "[$-en-US]mmmm"))</f>
        <v>OCTOBER</v>
      </c>
      <c r="D6" s="41">
        <f>YEAR(B6)</f>
        <v>2022</v>
      </c>
      <c r="E6" s="10" t="str">
        <f>VLOOKUP(A6,Sheet2!A:B,2,0)</f>
        <v>Americas</v>
      </c>
      <c r="F6" t="s">
        <v>13</v>
      </c>
      <c r="G6" t="s">
        <v>28</v>
      </c>
      <c r="H6" t="s">
        <v>14</v>
      </c>
      <c r="I6" t="s">
        <v>15</v>
      </c>
      <c r="J6" s="11">
        <v>-27218.77</v>
      </c>
      <c r="K6" s="12">
        <v>-27218.77</v>
      </c>
      <c r="L6" s="12">
        <v>27218.77</v>
      </c>
      <c r="M6" s="12">
        <v>-27218.77</v>
      </c>
      <c r="N6" t="s">
        <v>29</v>
      </c>
      <c r="O6" t="s">
        <v>14</v>
      </c>
      <c r="P6" t="s">
        <v>30</v>
      </c>
      <c r="AH6"/>
      <c r="AT6"/>
    </row>
    <row r="7" spans="1:46">
      <c r="A7" t="s">
        <v>12</v>
      </c>
      <c r="B7" s="10">
        <v>45856</v>
      </c>
      <c r="C7" s="10" t="str">
        <f>UPPER(TEXT(B7, "[$-en-US]mmmm"))</f>
        <v>JULY</v>
      </c>
      <c r="D7" s="41">
        <f>YEAR(B7)</f>
        <v>2025</v>
      </c>
      <c r="E7" s="10" t="str">
        <f>VLOOKUP(A7,Sheet2!A:B,2,0)</f>
        <v>Americas</v>
      </c>
      <c r="F7" t="s">
        <v>13</v>
      </c>
      <c r="G7" t="s">
        <v>31</v>
      </c>
      <c r="H7" t="s">
        <v>14</v>
      </c>
      <c r="I7" t="s">
        <v>15</v>
      </c>
      <c r="J7" s="11">
        <v>-25699.72</v>
      </c>
      <c r="K7" s="12">
        <v>-25699.72</v>
      </c>
      <c r="L7" s="12">
        <v>25699.72</v>
      </c>
      <c r="M7" s="12">
        <v>-250567.82</v>
      </c>
      <c r="N7" t="s">
        <v>18</v>
      </c>
      <c r="O7" t="s">
        <v>14</v>
      </c>
      <c r="P7" t="s">
        <v>32</v>
      </c>
      <c r="AH7"/>
      <c r="AT7"/>
    </row>
    <row r="8" spans="1:46">
      <c r="A8" t="s">
        <v>12</v>
      </c>
      <c r="B8" s="10">
        <v>45838</v>
      </c>
      <c r="C8" s="10" t="str">
        <f>UPPER(TEXT(B8, "[$-en-US]mmmm"))</f>
        <v>JUNE</v>
      </c>
      <c r="D8" s="41">
        <f>YEAR(B8)</f>
        <v>2025</v>
      </c>
      <c r="E8" s="10" t="str">
        <f>VLOOKUP(A8,Sheet2!A:B,2,0)</f>
        <v>Americas</v>
      </c>
      <c r="F8" t="s">
        <v>13</v>
      </c>
      <c r="G8" t="s">
        <v>33</v>
      </c>
      <c r="H8" t="s">
        <v>14</v>
      </c>
      <c r="I8" t="s">
        <v>15</v>
      </c>
      <c r="J8" s="11">
        <v>-24128</v>
      </c>
      <c r="K8" s="12">
        <v>-24128</v>
      </c>
      <c r="L8" s="12">
        <v>24128</v>
      </c>
      <c r="M8" s="12">
        <v>-250567.82</v>
      </c>
      <c r="N8" t="s">
        <v>18</v>
      </c>
      <c r="O8" t="s">
        <v>14</v>
      </c>
      <c r="P8" t="s">
        <v>34</v>
      </c>
      <c r="AH8"/>
      <c r="AT8"/>
    </row>
    <row r="9" spans="1:46">
      <c r="A9" t="s">
        <v>12</v>
      </c>
      <c r="B9" s="10">
        <v>46118</v>
      </c>
      <c r="C9" s="10" t="str">
        <f>UPPER(TEXT(B9, "[$-en-US]mmmm"))</f>
        <v>APRIL</v>
      </c>
      <c r="D9" s="41">
        <f>YEAR(B9)</f>
        <v>2026</v>
      </c>
      <c r="E9" s="10" t="str">
        <f>VLOOKUP(A9,Sheet2!A:B,2,0)</f>
        <v>Americas</v>
      </c>
      <c r="F9" t="s">
        <v>13</v>
      </c>
      <c r="G9" t="s">
        <v>35</v>
      </c>
      <c r="H9" t="s">
        <v>14</v>
      </c>
      <c r="I9" t="s">
        <v>15</v>
      </c>
      <c r="J9" s="11">
        <v>-20913.77</v>
      </c>
      <c r="K9" s="12">
        <v>-20913.77</v>
      </c>
      <c r="L9" s="12">
        <v>20913.77</v>
      </c>
      <c r="M9" s="12">
        <v>-20913.77</v>
      </c>
      <c r="N9" t="s">
        <v>36</v>
      </c>
      <c r="O9" t="s">
        <v>14</v>
      </c>
      <c r="P9" t="s">
        <v>37</v>
      </c>
      <c r="AH9"/>
      <c r="AT9"/>
    </row>
    <row r="10" spans="1:46">
      <c r="A10" t="s">
        <v>12</v>
      </c>
      <c r="B10" s="10">
        <v>46127</v>
      </c>
      <c r="C10" s="10" t="str">
        <f>UPPER(TEXT(B10, "[$-en-US]mmmm"))</f>
        <v>APRIL</v>
      </c>
      <c r="D10" s="41">
        <f>YEAR(B10)</f>
        <v>2026</v>
      </c>
      <c r="E10" s="10" t="str">
        <f>VLOOKUP(A10,Sheet2!A:B,2,0)</f>
        <v>Americas</v>
      </c>
      <c r="F10" t="s">
        <v>13</v>
      </c>
      <c r="G10" t="s">
        <v>38</v>
      </c>
      <c r="H10" t="s">
        <v>14</v>
      </c>
      <c r="I10" t="s">
        <v>15</v>
      </c>
      <c r="J10" s="11">
        <v>-20698</v>
      </c>
      <c r="K10" s="12">
        <v>-20698</v>
      </c>
      <c r="L10" s="12">
        <v>20698</v>
      </c>
      <c r="M10" s="12">
        <v>-20698</v>
      </c>
      <c r="N10" t="s">
        <v>39</v>
      </c>
      <c r="O10" t="s">
        <v>14</v>
      </c>
      <c r="P10" t="s">
        <v>40</v>
      </c>
      <c r="AH10"/>
      <c r="AT10"/>
    </row>
    <row r="11" spans="1:46">
      <c r="A11" t="s">
        <v>12</v>
      </c>
      <c r="B11" s="10">
        <v>45889</v>
      </c>
      <c r="C11" s="10" t="str">
        <f>UPPER(TEXT(B11, "[$-en-US]mmmm"))</f>
        <v>AUGUST</v>
      </c>
      <c r="D11" s="41">
        <f>YEAR(B11)</f>
        <v>2025</v>
      </c>
      <c r="E11" s="10" t="str">
        <f>VLOOKUP(A11,Sheet2!A:B,2,0)</f>
        <v>Americas</v>
      </c>
      <c r="F11" t="s">
        <v>13</v>
      </c>
      <c r="G11" t="s">
        <v>41</v>
      </c>
      <c r="H11" t="s">
        <v>14</v>
      </c>
      <c r="I11" t="s">
        <v>15</v>
      </c>
      <c r="J11" s="11">
        <v>-20000</v>
      </c>
      <c r="K11" s="12">
        <v>-20000</v>
      </c>
      <c r="L11" s="12">
        <v>20000</v>
      </c>
      <c r="M11" s="12">
        <v>-50095.55</v>
      </c>
      <c r="N11" t="s">
        <v>21</v>
      </c>
      <c r="O11" t="s">
        <v>14</v>
      </c>
      <c r="P11" t="s">
        <v>42</v>
      </c>
      <c r="AH11"/>
      <c r="AT11"/>
    </row>
    <row r="12" spans="1:46">
      <c r="A12" t="s">
        <v>12</v>
      </c>
      <c r="B12" s="10">
        <v>46108</v>
      </c>
      <c r="C12" s="10" t="str">
        <f>UPPER(TEXT(B12, "[$-en-US]mmmm"))</f>
        <v>MARCH</v>
      </c>
      <c r="D12" s="41">
        <f>YEAR(B12)</f>
        <v>2026</v>
      </c>
      <c r="E12" s="10" t="str">
        <f>VLOOKUP(A12,Sheet2!A:B,2,0)</f>
        <v>Americas</v>
      </c>
      <c r="F12" t="s">
        <v>13</v>
      </c>
      <c r="G12" t="s">
        <v>43</v>
      </c>
      <c r="H12" t="s">
        <v>43</v>
      </c>
      <c r="I12" t="s">
        <v>15</v>
      </c>
      <c r="J12" s="11">
        <v>-39600</v>
      </c>
      <c r="K12" s="12">
        <v>-39600</v>
      </c>
      <c r="L12" s="12">
        <v>19800</v>
      </c>
      <c r="M12" s="12">
        <v>-19800</v>
      </c>
      <c r="N12" t="s">
        <v>44</v>
      </c>
      <c r="O12" t="s">
        <v>14</v>
      </c>
      <c r="P12" t="s">
        <v>45</v>
      </c>
      <c r="AH12"/>
      <c r="AT12"/>
    </row>
    <row r="13" spans="1:46">
      <c r="A13" t="s">
        <v>12</v>
      </c>
      <c r="B13" s="10">
        <v>46139</v>
      </c>
      <c r="C13" s="10" t="str">
        <f>UPPER(TEXT(B13, "[$-en-US]mmmm"))</f>
        <v>APRIL</v>
      </c>
      <c r="D13" s="41">
        <f>YEAR(B13)</f>
        <v>2026</v>
      </c>
      <c r="E13" s="10" t="str">
        <f>VLOOKUP(A13,Sheet2!A:B,2,0)</f>
        <v>Americas</v>
      </c>
      <c r="F13" t="s">
        <v>13</v>
      </c>
      <c r="G13" t="s">
        <v>46</v>
      </c>
      <c r="H13" t="s">
        <v>14</v>
      </c>
      <c r="I13" t="s">
        <v>15</v>
      </c>
      <c r="J13" s="11">
        <v>-19350</v>
      </c>
      <c r="K13" s="12">
        <v>-19350</v>
      </c>
      <c r="L13" s="12">
        <v>19350</v>
      </c>
      <c r="M13" s="12">
        <v>-19350</v>
      </c>
      <c r="N13" t="s">
        <v>47</v>
      </c>
      <c r="O13" t="s">
        <v>14</v>
      </c>
      <c r="P13" t="s">
        <v>14</v>
      </c>
      <c r="AH13"/>
      <c r="AT13"/>
    </row>
    <row r="14" spans="1:46">
      <c r="A14" t="s">
        <v>12</v>
      </c>
      <c r="B14" s="10">
        <v>45049</v>
      </c>
      <c r="C14" s="10" t="str">
        <f>UPPER(TEXT(B14, "[$-en-US]mmmm"))</f>
        <v>MAY</v>
      </c>
      <c r="D14" s="41">
        <f>YEAR(B14)</f>
        <v>2023</v>
      </c>
      <c r="E14" s="10" t="str">
        <f>VLOOKUP(A14,Sheet2!A:B,2,0)</f>
        <v>Americas</v>
      </c>
      <c r="F14" t="s">
        <v>13</v>
      </c>
      <c r="G14" t="s">
        <v>48</v>
      </c>
      <c r="H14" t="s">
        <v>14</v>
      </c>
      <c r="I14" t="s">
        <v>15</v>
      </c>
      <c r="J14" s="11">
        <v>-18060</v>
      </c>
      <c r="K14" s="12">
        <v>-18060</v>
      </c>
      <c r="L14" s="12">
        <v>18060</v>
      </c>
      <c r="M14" s="12">
        <v>-18060</v>
      </c>
      <c r="N14" t="s">
        <v>49</v>
      </c>
      <c r="O14" t="s">
        <v>14</v>
      </c>
      <c r="P14" t="s">
        <v>50</v>
      </c>
      <c r="AH14"/>
      <c r="AT14"/>
    </row>
    <row r="15" spans="1:46">
      <c r="A15" t="s">
        <v>12</v>
      </c>
      <c r="B15" s="10">
        <v>44652</v>
      </c>
      <c r="C15" s="10" t="str">
        <f>UPPER(TEXT(B15, "[$-en-US]mmmm"))</f>
        <v>APRIL</v>
      </c>
      <c r="D15" s="41">
        <f>YEAR(B15)</f>
        <v>2022</v>
      </c>
      <c r="E15" s="10" t="str">
        <f>VLOOKUP(A15,Sheet2!A:B,2,0)</f>
        <v>Americas</v>
      </c>
      <c r="F15" t="s">
        <v>13</v>
      </c>
      <c r="G15" t="s">
        <v>51</v>
      </c>
      <c r="H15" t="s">
        <v>14</v>
      </c>
      <c r="I15" t="s">
        <v>15</v>
      </c>
      <c r="J15" s="11">
        <v>-17850.400000000001</v>
      </c>
      <c r="K15" s="12">
        <v>-17850.400000000001</v>
      </c>
      <c r="L15" s="12">
        <v>17850.400000000001</v>
      </c>
      <c r="M15" s="12">
        <v>-17850.400000000001</v>
      </c>
      <c r="N15" t="s">
        <v>52</v>
      </c>
      <c r="O15" t="s">
        <v>14</v>
      </c>
      <c r="P15" t="s">
        <v>53</v>
      </c>
      <c r="AH15"/>
      <c r="AT15"/>
    </row>
    <row r="16" spans="1:46">
      <c r="A16" t="s">
        <v>12</v>
      </c>
      <c r="B16" s="10">
        <v>46132</v>
      </c>
      <c r="C16" s="10" t="str">
        <f>UPPER(TEXT(B16, "[$-en-US]mmmm"))</f>
        <v>APRIL</v>
      </c>
      <c r="D16" s="41">
        <f>YEAR(B16)</f>
        <v>2026</v>
      </c>
      <c r="E16" s="10" t="str">
        <f>VLOOKUP(A16,Sheet2!A:B,2,0)</f>
        <v>Americas</v>
      </c>
      <c r="F16" t="s">
        <v>13</v>
      </c>
      <c r="G16" t="s">
        <v>54</v>
      </c>
      <c r="H16" t="s">
        <v>14</v>
      </c>
      <c r="I16" t="s">
        <v>15</v>
      </c>
      <c r="J16" s="11">
        <v>-17200</v>
      </c>
      <c r="K16" s="12">
        <v>-17200</v>
      </c>
      <c r="L16" s="12">
        <v>17200</v>
      </c>
      <c r="M16" s="12">
        <v>0</v>
      </c>
      <c r="N16" t="s">
        <v>55</v>
      </c>
      <c r="O16" t="s">
        <v>14</v>
      </c>
      <c r="P16" t="s">
        <v>56</v>
      </c>
      <c r="AH16"/>
      <c r="AT16"/>
    </row>
    <row r="17" spans="1:46">
      <c r="A17" t="s">
        <v>12</v>
      </c>
      <c r="B17" s="10">
        <v>44907</v>
      </c>
      <c r="C17" s="10" t="str">
        <f>UPPER(TEXT(B17, "[$-en-US]mmmm"))</f>
        <v>DECEMBER</v>
      </c>
      <c r="D17" s="41">
        <f>YEAR(B17)</f>
        <v>2022</v>
      </c>
      <c r="E17" s="10" t="str">
        <f>VLOOKUP(A17,Sheet2!A:B,2,0)</f>
        <v>Americas</v>
      </c>
      <c r="F17" t="s">
        <v>13</v>
      </c>
      <c r="G17" t="s">
        <v>57</v>
      </c>
      <c r="H17" t="s">
        <v>14</v>
      </c>
      <c r="I17" t="s">
        <v>15</v>
      </c>
      <c r="J17" s="11">
        <v>-16500</v>
      </c>
      <c r="K17" s="12">
        <v>-16500</v>
      </c>
      <c r="L17" s="12">
        <v>16500</v>
      </c>
      <c r="M17" s="12">
        <v>3500</v>
      </c>
      <c r="N17" t="s">
        <v>58</v>
      </c>
      <c r="O17" t="s">
        <v>14</v>
      </c>
      <c r="P17" t="s">
        <v>50</v>
      </c>
      <c r="AH17"/>
      <c r="AT17"/>
    </row>
    <row r="18" spans="1:46">
      <c r="A18" t="s">
        <v>12</v>
      </c>
      <c r="B18" s="10">
        <v>46143</v>
      </c>
      <c r="C18" s="10" t="str">
        <f>UPPER(TEXT(B18, "[$-en-US]mmmm"))</f>
        <v>MAY</v>
      </c>
      <c r="D18" s="41">
        <f>YEAR(B18)</f>
        <v>2026</v>
      </c>
      <c r="E18" s="10" t="str">
        <f>VLOOKUP(A18,Sheet2!A:B,2,0)</f>
        <v>Americas</v>
      </c>
      <c r="F18" t="s">
        <v>13</v>
      </c>
      <c r="G18" t="s">
        <v>1735</v>
      </c>
      <c r="H18" t="s">
        <v>14</v>
      </c>
      <c r="I18" t="s">
        <v>15</v>
      </c>
      <c r="J18" s="11">
        <v>-16483</v>
      </c>
      <c r="K18" s="12">
        <v>-16483</v>
      </c>
      <c r="L18" s="12">
        <v>16483</v>
      </c>
      <c r="M18" s="12">
        <v>-16483</v>
      </c>
      <c r="N18" t="s">
        <v>1736</v>
      </c>
      <c r="O18" t="s">
        <v>76</v>
      </c>
      <c r="P18" t="s">
        <v>59</v>
      </c>
      <c r="AH18"/>
      <c r="AT18"/>
    </row>
    <row r="19" spans="1:46">
      <c r="A19" t="s">
        <v>12</v>
      </c>
      <c r="B19" s="10">
        <v>46056</v>
      </c>
      <c r="C19" s="10" t="str">
        <f>UPPER(TEXT(B19, "[$-en-US]mmmm"))</f>
        <v>FEBRUARY</v>
      </c>
      <c r="D19" s="41">
        <f>YEAR(B19)</f>
        <v>2026</v>
      </c>
      <c r="E19" s="10" t="str">
        <f>VLOOKUP(A19,Sheet2!A:B,2,0)</f>
        <v>Americas</v>
      </c>
      <c r="F19" t="s">
        <v>13</v>
      </c>
      <c r="G19" t="s">
        <v>60</v>
      </c>
      <c r="H19" t="s">
        <v>1498</v>
      </c>
      <c r="I19" t="s">
        <v>15</v>
      </c>
      <c r="J19" s="11">
        <v>-16000</v>
      </c>
      <c r="K19" s="12">
        <v>-16000</v>
      </c>
      <c r="L19" s="12">
        <v>15999.84</v>
      </c>
      <c r="M19" s="12">
        <v>-15999.84</v>
      </c>
      <c r="N19" t="s">
        <v>61</v>
      </c>
      <c r="O19" t="s">
        <v>62</v>
      </c>
      <c r="P19" t="s">
        <v>14</v>
      </c>
      <c r="AH19"/>
      <c r="AT19"/>
    </row>
    <row r="20" spans="1:46">
      <c r="A20" t="s">
        <v>12</v>
      </c>
      <c r="B20" s="10">
        <v>44680</v>
      </c>
      <c r="C20" s="10" t="str">
        <f>UPPER(TEXT(B20, "[$-en-US]mmmm"))</f>
        <v>APRIL</v>
      </c>
      <c r="D20" s="41">
        <f>YEAR(B20)</f>
        <v>2022</v>
      </c>
      <c r="E20" s="10" t="str">
        <f>VLOOKUP(A20,Sheet2!A:B,2,0)</f>
        <v>Americas</v>
      </c>
      <c r="F20" t="s">
        <v>13</v>
      </c>
      <c r="G20" t="s">
        <v>63</v>
      </c>
      <c r="H20" t="s">
        <v>14</v>
      </c>
      <c r="I20" t="s">
        <v>15</v>
      </c>
      <c r="J20" s="11">
        <v>-15750</v>
      </c>
      <c r="K20" s="12">
        <v>-15750</v>
      </c>
      <c r="L20" s="12">
        <v>15750</v>
      </c>
      <c r="M20" s="12">
        <v>-15750</v>
      </c>
      <c r="N20" t="s">
        <v>64</v>
      </c>
      <c r="O20" t="s">
        <v>65</v>
      </c>
      <c r="P20" t="s">
        <v>14</v>
      </c>
      <c r="AH20"/>
      <c r="AT20"/>
    </row>
    <row r="21" spans="1:46">
      <c r="A21" t="s">
        <v>12</v>
      </c>
      <c r="B21" s="10">
        <v>46139</v>
      </c>
      <c r="C21" s="10" t="str">
        <f>UPPER(TEXT(B21, "[$-en-US]mmmm"))</f>
        <v>APRIL</v>
      </c>
      <c r="D21" s="41">
        <f>YEAR(B21)</f>
        <v>2026</v>
      </c>
      <c r="E21" s="10" t="str">
        <f>VLOOKUP(A21,Sheet2!A:B,2,0)</f>
        <v>Americas</v>
      </c>
      <c r="F21" t="s">
        <v>13</v>
      </c>
      <c r="G21" t="s">
        <v>66</v>
      </c>
      <c r="H21" t="s">
        <v>14</v>
      </c>
      <c r="I21" t="s">
        <v>15</v>
      </c>
      <c r="J21" s="11">
        <v>-15000</v>
      </c>
      <c r="K21" s="12">
        <v>-15000</v>
      </c>
      <c r="L21" s="12">
        <v>15000</v>
      </c>
      <c r="M21" s="12">
        <v>-15000</v>
      </c>
      <c r="N21" t="s">
        <v>67</v>
      </c>
      <c r="O21" t="s">
        <v>14</v>
      </c>
      <c r="P21" t="s">
        <v>68</v>
      </c>
      <c r="AH21"/>
      <c r="AT21"/>
    </row>
    <row r="22" spans="1:46">
      <c r="A22" t="s">
        <v>12</v>
      </c>
      <c r="B22" s="10">
        <v>45996</v>
      </c>
      <c r="C22" s="10" t="str">
        <f>UPPER(TEXT(B22, "[$-en-US]mmmm"))</f>
        <v>DECEMBER</v>
      </c>
      <c r="D22" s="41">
        <f>YEAR(B22)</f>
        <v>2025</v>
      </c>
      <c r="E22" s="10" t="str">
        <f>VLOOKUP(A22,Sheet2!A:B,2,0)</f>
        <v>Americas</v>
      </c>
      <c r="F22" t="s">
        <v>13</v>
      </c>
      <c r="G22" t="s">
        <v>69</v>
      </c>
      <c r="H22" t="s">
        <v>14</v>
      </c>
      <c r="I22" t="s">
        <v>15</v>
      </c>
      <c r="J22" s="11">
        <v>-14145.99</v>
      </c>
      <c r="K22" s="12">
        <v>-14145.99</v>
      </c>
      <c r="L22" s="12">
        <v>14145.99</v>
      </c>
      <c r="M22" s="12">
        <v>154725.09</v>
      </c>
      <c r="N22" t="s">
        <v>70</v>
      </c>
      <c r="O22" t="s">
        <v>14</v>
      </c>
      <c r="P22" t="s">
        <v>71</v>
      </c>
      <c r="AH22"/>
      <c r="AT22"/>
    </row>
    <row r="23" spans="1:46">
      <c r="A23" t="s">
        <v>12</v>
      </c>
      <c r="B23" s="10">
        <v>45614</v>
      </c>
      <c r="C23" s="10" t="str">
        <f>UPPER(TEXT(B23, "[$-en-US]mmmm"))</f>
        <v>NOVEMBER</v>
      </c>
      <c r="D23" s="41">
        <f>YEAR(B23)</f>
        <v>2024</v>
      </c>
      <c r="E23" s="10" t="str">
        <f>VLOOKUP(A23,Sheet2!A:B,2,0)</f>
        <v>Americas</v>
      </c>
      <c r="F23" t="s">
        <v>13</v>
      </c>
      <c r="G23" t="s">
        <v>72</v>
      </c>
      <c r="H23" t="s">
        <v>14</v>
      </c>
      <c r="I23" t="s">
        <v>15</v>
      </c>
      <c r="J23" s="11">
        <v>-13975</v>
      </c>
      <c r="K23" s="12">
        <v>-13975</v>
      </c>
      <c r="L23" s="12">
        <v>13975</v>
      </c>
      <c r="M23" s="12">
        <v>-250567.82</v>
      </c>
      <c r="N23" t="s">
        <v>18</v>
      </c>
      <c r="O23" t="s">
        <v>14</v>
      </c>
      <c r="P23" t="s">
        <v>73</v>
      </c>
      <c r="AH23"/>
      <c r="AT23"/>
    </row>
    <row r="24" spans="1:46">
      <c r="A24" t="s">
        <v>12</v>
      </c>
      <c r="B24" s="10">
        <v>44694</v>
      </c>
      <c r="C24" s="10" t="str">
        <f>UPPER(TEXT(B24, "[$-en-US]mmmm"))</f>
        <v>MAY</v>
      </c>
      <c r="D24" s="41">
        <f>YEAR(B24)</f>
        <v>2022</v>
      </c>
      <c r="E24" s="10" t="str">
        <f>VLOOKUP(A24,Sheet2!A:B,2,0)</f>
        <v>Americas</v>
      </c>
      <c r="F24" t="s">
        <v>13</v>
      </c>
      <c r="G24" t="s">
        <v>74</v>
      </c>
      <c r="H24" t="s">
        <v>14</v>
      </c>
      <c r="I24" t="s">
        <v>15</v>
      </c>
      <c r="J24" s="11">
        <v>-13650</v>
      </c>
      <c r="K24" s="12">
        <v>-13650</v>
      </c>
      <c r="L24" s="12">
        <v>13650</v>
      </c>
      <c r="M24" s="12">
        <v>-13650</v>
      </c>
      <c r="N24" t="s">
        <v>75</v>
      </c>
      <c r="O24" t="s">
        <v>76</v>
      </c>
      <c r="P24" t="s">
        <v>50</v>
      </c>
      <c r="AH24"/>
      <c r="AT24"/>
    </row>
    <row r="25" spans="1:46">
      <c r="A25" t="s">
        <v>12</v>
      </c>
      <c r="B25" s="10">
        <v>45910</v>
      </c>
      <c r="C25" s="10" t="str">
        <f>UPPER(TEXT(B25, "[$-en-US]mmmm"))</f>
        <v>SEPTEMBER</v>
      </c>
      <c r="D25" s="41">
        <f>YEAR(B25)</f>
        <v>2025</v>
      </c>
      <c r="E25" s="10" t="str">
        <f>VLOOKUP(A25,Sheet2!A:B,2,0)</f>
        <v>Americas</v>
      </c>
      <c r="F25" t="s">
        <v>13</v>
      </c>
      <c r="G25" t="s">
        <v>77</v>
      </c>
      <c r="H25" t="s">
        <v>14</v>
      </c>
      <c r="I25" t="s">
        <v>15</v>
      </c>
      <c r="J25" s="11">
        <v>-13564.62</v>
      </c>
      <c r="K25" s="12">
        <v>-13564.62</v>
      </c>
      <c r="L25" s="12">
        <v>13564.62</v>
      </c>
      <c r="M25" s="12">
        <v>-13564.62</v>
      </c>
      <c r="N25" t="s">
        <v>78</v>
      </c>
      <c r="O25" t="s">
        <v>62</v>
      </c>
      <c r="P25" t="s">
        <v>79</v>
      </c>
      <c r="AH25"/>
      <c r="AT25"/>
    </row>
    <row r="26" spans="1:46">
      <c r="A26" t="s">
        <v>12</v>
      </c>
      <c r="B26" s="10">
        <v>45167</v>
      </c>
      <c r="C26" s="10" t="str">
        <f>UPPER(TEXT(B26, "[$-en-US]mmmm"))</f>
        <v>AUGUST</v>
      </c>
      <c r="D26" s="41">
        <f>YEAR(B26)</f>
        <v>2023</v>
      </c>
      <c r="E26" s="10" t="str">
        <f>VLOOKUP(A26,Sheet2!A:B,2,0)</f>
        <v>Americas</v>
      </c>
      <c r="F26" t="s">
        <v>13</v>
      </c>
      <c r="G26" t="s">
        <v>80</v>
      </c>
      <c r="H26" t="s">
        <v>14</v>
      </c>
      <c r="I26" t="s">
        <v>15</v>
      </c>
      <c r="J26" s="11">
        <v>-13500</v>
      </c>
      <c r="K26" s="12">
        <v>-13500</v>
      </c>
      <c r="L26" s="12">
        <v>13500</v>
      </c>
      <c r="M26" s="12">
        <v>-13500</v>
      </c>
      <c r="N26" t="s">
        <v>81</v>
      </c>
      <c r="O26" t="s">
        <v>14</v>
      </c>
      <c r="P26" t="s">
        <v>50</v>
      </c>
      <c r="AH26"/>
      <c r="AT26"/>
    </row>
    <row r="27" spans="1:46">
      <c r="A27" t="s">
        <v>12</v>
      </c>
      <c r="B27" s="10">
        <v>45085</v>
      </c>
      <c r="C27" s="10" t="str">
        <f>UPPER(TEXT(B27, "[$-en-US]mmmm"))</f>
        <v>JUNE</v>
      </c>
      <c r="D27" s="41">
        <f>YEAR(B27)</f>
        <v>2023</v>
      </c>
      <c r="E27" s="10" t="str">
        <f>VLOOKUP(A27,Sheet2!A:B,2,0)</f>
        <v>Americas</v>
      </c>
      <c r="F27" t="s">
        <v>13</v>
      </c>
      <c r="G27" t="s">
        <v>82</v>
      </c>
      <c r="H27" t="s">
        <v>14</v>
      </c>
      <c r="I27" t="s">
        <v>15</v>
      </c>
      <c r="J27" s="11">
        <v>-12980</v>
      </c>
      <c r="K27" s="12">
        <v>-12980</v>
      </c>
      <c r="L27" s="12">
        <v>12980</v>
      </c>
      <c r="M27" s="12">
        <v>-250567.82</v>
      </c>
      <c r="N27" t="s">
        <v>18</v>
      </c>
      <c r="O27" t="s">
        <v>14</v>
      </c>
      <c r="P27" t="s">
        <v>83</v>
      </c>
      <c r="AH27"/>
      <c r="AT27"/>
    </row>
    <row r="28" spans="1:46">
      <c r="A28" t="s">
        <v>12</v>
      </c>
      <c r="B28" s="10">
        <v>44830</v>
      </c>
      <c r="C28" s="10" t="str">
        <f>UPPER(TEXT(B28, "[$-en-US]mmmm"))</f>
        <v>SEPTEMBER</v>
      </c>
      <c r="D28" s="41">
        <f>YEAR(B28)</f>
        <v>2022</v>
      </c>
      <c r="E28" s="10" t="str">
        <f>VLOOKUP(A28,Sheet2!A:B,2,0)</f>
        <v>Americas</v>
      </c>
      <c r="F28" t="s">
        <v>13</v>
      </c>
      <c r="G28" t="s">
        <v>84</v>
      </c>
      <c r="H28" t="s">
        <v>14</v>
      </c>
      <c r="I28" t="s">
        <v>15</v>
      </c>
      <c r="J28" s="11">
        <v>-11550</v>
      </c>
      <c r="K28" s="12">
        <v>-11550</v>
      </c>
      <c r="L28" s="12">
        <v>11550</v>
      </c>
      <c r="M28" s="12">
        <v>-11550</v>
      </c>
      <c r="N28" t="s">
        <v>85</v>
      </c>
      <c r="O28" t="s">
        <v>14</v>
      </c>
      <c r="P28" t="s">
        <v>50</v>
      </c>
      <c r="AH28"/>
      <c r="AT28"/>
    </row>
    <row r="29" spans="1:46">
      <c r="A29" t="s">
        <v>12</v>
      </c>
      <c r="B29" s="10">
        <v>45174</v>
      </c>
      <c r="C29" s="10" t="str">
        <f>UPPER(TEXT(B29, "[$-en-US]mmmm"))</f>
        <v>SEPTEMBER</v>
      </c>
      <c r="D29" s="41">
        <f>YEAR(B29)</f>
        <v>2023</v>
      </c>
      <c r="E29" s="10" t="str">
        <f>VLOOKUP(A29,Sheet2!A:B,2,0)</f>
        <v>Americas</v>
      </c>
      <c r="F29" t="s">
        <v>13</v>
      </c>
      <c r="G29" t="s">
        <v>86</v>
      </c>
      <c r="H29" t="s">
        <v>1499</v>
      </c>
      <c r="I29" t="s">
        <v>15</v>
      </c>
      <c r="J29" s="11">
        <v>-22698.13</v>
      </c>
      <c r="K29" s="12">
        <v>-22698.13</v>
      </c>
      <c r="L29" s="12">
        <v>11349.07</v>
      </c>
      <c r="M29" s="12">
        <v>-11349.07</v>
      </c>
      <c r="N29" t="s">
        <v>87</v>
      </c>
      <c r="O29" t="s">
        <v>88</v>
      </c>
      <c r="P29" t="s">
        <v>89</v>
      </c>
      <c r="AH29"/>
      <c r="AT29"/>
    </row>
    <row r="30" spans="1:46">
      <c r="A30" t="s">
        <v>12</v>
      </c>
      <c r="B30" s="10">
        <v>46136</v>
      </c>
      <c r="C30" s="10" t="str">
        <f>UPPER(TEXT(B30, "[$-en-US]mmmm"))</f>
        <v>APRIL</v>
      </c>
      <c r="D30" s="41">
        <f>YEAR(B30)</f>
        <v>2026</v>
      </c>
      <c r="E30" s="10" t="str">
        <f>VLOOKUP(A30,Sheet2!A:B,2,0)</f>
        <v>Americas</v>
      </c>
      <c r="F30" t="s">
        <v>13</v>
      </c>
      <c r="G30" t="s">
        <v>90</v>
      </c>
      <c r="H30" t="s">
        <v>14</v>
      </c>
      <c r="I30" t="s">
        <v>15</v>
      </c>
      <c r="J30" s="11">
        <v>-9900</v>
      </c>
      <c r="K30" s="12">
        <v>-9900</v>
      </c>
      <c r="L30" s="12">
        <v>9900</v>
      </c>
      <c r="M30" s="12">
        <v>-250567.82</v>
      </c>
      <c r="N30" t="s">
        <v>18</v>
      </c>
      <c r="O30" t="s">
        <v>14</v>
      </c>
      <c r="P30" t="s">
        <v>91</v>
      </c>
      <c r="AH30"/>
      <c r="AT30"/>
    </row>
    <row r="31" spans="1:46">
      <c r="A31" t="s">
        <v>12</v>
      </c>
      <c r="B31" s="10">
        <v>45114</v>
      </c>
      <c r="C31" s="10" t="str">
        <f>UPPER(TEXT(B31, "[$-en-US]mmmm"))</f>
        <v>JULY</v>
      </c>
      <c r="D31" s="41">
        <f>YEAR(B31)</f>
        <v>2023</v>
      </c>
      <c r="E31" s="10" t="str">
        <f>VLOOKUP(A31,Sheet2!A:B,2,0)</f>
        <v>Americas</v>
      </c>
      <c r="F31" t="s">
        <v>13</v>
      </c>
      <c r="G31" t="s">
        <v>92</v>
      </c>
      <c r="H31" t="s">
        <v>14</v>
      </c>
      <c r="I31" t="s">
        <v>15</v>
      </c>
      <c r="J31" s="11">
        <v>-9695</v>
      </c>
      <c r="K31" s="12">
        <v>-9695</v>
      </c>
      <c r="L31" s="12">
        <v>9695</v>
      </c>
      <c r="M31" s="12">
        <v>-10420</v>
      </c>
      <c r="N31" t="s">
        <v>93</v>
      </c>
      <c r="O31" t="s">
        <v>94</v>
      </c>
      <c r="P31" t="s">
        <v>95</v>
      </c>
      <c r="AH31"/>
      <c r="AT31"/>
    </row>
    <row r="32" spans="1:46">
      <c r="A32" t="s">
        <v>12</v>
      </c>
      <c r="B32" s="10">
        <v>45684</v>
      </c>
      <c r="C32" s="10" t="str">
        <f>UPPER(TEXT(B32, "[$-en-US]mmmm"))</f>
        <v>JANUARY</v>
      </c>
      <c r="D32" s="41">
        <f>YEAR(B32)</f>
        <v>2025</v>
      </c>
      <c r="E32" s="10" t="str">
        <f>VLOOKUP(A32,Sheet2!A:B,2,0)</f>
        <v>Americas</v>
      </c>
      <c r="F32" t="s">
        <v>13</v>
      </c>
      <c r="G32" t="s">
        <v>96</v>
      </c>
      <c r="H32" t="s">
        <v>14</v>
      </c>
      <c r="I32" t="s">
        <v>15</v>
      </c>
      <c r="J32" s="11">
        <v>-9680</v>
      </c>
      <c r="K32" s="12">
        <v>-9680</v>
      </c>
      <c r="L32" s="12">
        <v>9680</v>
      </c>
      <c r="M32" s="12">
        <v>-9680</v>
      </c>
      <c r="N32" t="s">
        <v>97</v>
      </c>
      <c r="O32" t="s">
        <v>14</v>
      </c>
      <c r="P32" t="s">
        <v>98</v>
      </c>
      <c r="AH32"/>
      <c r="AT32"/>
    </row>
    <row r="33" spans="1:46">
      <c r="A33" t="s">
        <v>12</v>
      </c>
      <c r="B33" s="10">
        <v>46031</v>
      </c>
      <c r="C33" s="10" t="str">
        <f>UPPER(TEXT(B33, "[$-en-US]mmmm"))</f>
        <v>JANUARY</v>
      </c>
      <c r="D33" s="41">
        <f>YEAR(B33)</f>
        <v>2026</v>
      </c>
      <c r="E33" s="10" t="str">
        <f>VLOOKUP(A33,Sheet2!A:B,2,0)</f>
        <v>Americas</v>
      </c>
      <c r="F33" t="s">
        <v>13</v>
      </c>
      <c r="G33" t="s">
        <v>99</v>
      </c>
      <c r="H33" t="s">
        <v>14</v>
      </c>
      <c r="I33" t="s">
        <v>15</v>
      </c>
      <c r="J33" s="11">
        <v>-9600</v>
      </c>
      <c r="K33" s="12">
        <v>-9600</v>
      </c>
      <c r="L33" s="12">
        <v>9600</v>
      </c>
      <c r="M33" s="12">
        <v>-9600</v>
      </c>
      <c r="N33" t="s">
        <v>100</v>
      </c>
      <c r="O33" t="s">
        <v>14</v>
      </c>
      <c r="P33" t="s">
        <v>101</v>
      </c>
      <c r="AH33"/>
      <c r="AT33"/>
    </row>
    <row r="34" spans="1:46">
      <c r="A34" t="s">
        <v>12</v>
      </c>
      <c r="B34" s="10">
        <v>44852</v>
      </c>
      <c r="C34" s="10" t="str">
        <f>UPPER(TEXT(B34, "[$-en-US]mmmm"))</f>
        <v>OCTOBER</v>
      </c>
      <c r="D34" s="41">
        <f>YEAR(B34)</f>
        <v>2022</v>
      </c>
      <c r="E34" s="10" t="str">
        <f>VLOOKUP(A34,Sheet2!A:B,2,0)</f>
        <v>Americas</v>
      </c>
      <c r="F34" t="s">
        <v>13</v>
      </c>
      <c r="G34" t="s">
        <v>102</v>
      </c>
      <c r="H34" t="s">
        <v>1500</v>
      </c>
      <c r="I34" t="s">
        <v>15</v>
      </c>
      <c r="J34" s="11">
        <v>-14000</v>
      </c>
      <c r="K34" s="12">
        <v>-14000</v>
      </c>
      <c r="L34" s="12">
        <v>9333.33</v>
      </c>
      <c r="M34" s="12">
        <v>-9333.33</v>
      </c>
      <c r="N34" t="s">
        <v>103</v>
      </c>
      <c r="O34" t="s">
        <v>104</v>
      </c>
      <c r="P34" t="s">
        <v>105</v>
      </c>
      <c r="AH34"/>
      <c r="AT34"/>
    </row>
    <row r="35" spans="1:46">
      <c r="A35" t="s">
        <v>12</v>
      </c>
      <c r="B35" s="10">
        <v>44736</v>
      </c>
      <c r="C35" s="10" t="str">
        <f>UPPER(TEXT(B35, "[$-en-US]mmmm"))</f>
        <v>JUNE</v>
      </c>
      <c r="D35" s="41">
        <f>YEAR(B35)</f>
        <v>2022</v>
      </c>
      <c r="E35" s="10" t="str">
        <f>VLOOKUP(A35,Sheet2!A:B,2,0)</f>
        <v>Americas</v>
      </c>
      <c r="F35" t="s">
        <v>13</v>
      </c>
      <c r="G35" t="s">
        <v>106</v>
      </c>
      <c r="H35" t="s">
        <v>14</v>
      </c>
      <c r="I35" t="s">
        <v>15</v>
      </c>
      <c r="J35" s="11">
        <v>-8250</v>
      </c>
      <c r="K35" s="12">
        <v>-8250</v>
      </c>
      <c r="L35" s="12">
        <v>8250</v>
      </c>
      <c r="M35" s="12">
        <v>-8250</v>
      </c>
      <c r="N35" t="s">
        <v>107</v>
      </c>
      <c r="O35" t="s">
        <v>14</v>
      </c>
      <c r="P35" t="s">
        <v>50</v>
      </c>
      <c r="AH35"/>
      <c r="AT35"/>
    </row>
    <row r="36" spans="1:46">
      <c r="A36" t="s">
        <v>12</v>
      </c>
      <c r="B36" s="10">
        <v>44748</v>
      </c>
      <c r="C36" s="10" t="str">
        <f>UPPER(TEXT(B36, "[$-en-US]mmmm"))</f>
        <v>JULY</v>
      </c>
      <c r="D36" s="41">
        <f>YEAR(B36)</f>
        <v>2022</v>
      </c>
      <c r="E36" s="10" t="str">
        <f>VLOOKUP(A36,Sheet2!A:B,2,0)</f>
        <v>Americas</v>
      </c>
      <c r="F36" t="s">
        <v>13</v>
      </c>
      <c r="G36" t="s">
        <v>108</v>
      </c>
      <c r="H36" t="s">
        <v>14</v>
      </c>
      <c r="I36" t="s">
        <v>15</v>
      </c>
      <c r="J36" s="11">
        <v>-8250</v>
      </c>
      <c r="K36" s="12">
        <v>-8250</v>
      </c>
      <c r="L36" s="12">
        <v>8250</v>
      </c>
      <c r="M36" s="12">
        <v>-250567.82</v>
      </c>
      <c r="N36" t="s">
        <v>18</v>
      </c>
      <c r="O36" t="s">
        <v>14</v>
      </c>
      <c r="P36" t="s">
        <v>109</v>
      </c>
      <c r="AH36"/>
      <c r="AT36"/>
    </row>
    <row r="37" spans="1:46">
      <c r="A37" t="s">
        <v>12</v>
      </c>
      <c r="B37" s="10">
        <v>44956</v>
      </c>
      <c r="C37" s="10" t="str">
        <f>UPPER(TEXT(B37, "[$-en-US]mmmm"))</f>
        <v>JANUARY</v>
      </c>
      <c r="D37" s="41">
        <f>YEAR(B37)</f>
        <v>2023</v>
      </c>
      <c r="E37" s="10" t="str">
        <f>VLOOKUP(A37,Sheet2!A:B,2,0)</f>
        <v>Americas</v>
      </c>
      <c r="F37" t="s">
        <v>13</v>
      </c>
      <c r="G37" t="s">
        <v>110</v>
      </c>
      <c r="H37" t="s">
        <v>1501</v>
      </c>
      <c r="I37" t="s">
        <v>15</v>
      </c>
      <c r="J37" s="11">
        <v>-15665.62</v>
      </c>
      <c r="K37" s="12">
        <v>-15665.62</v>
      </c>
      <c r="L37" s="12">
        <v>8165.62</v>
      </c>
      <c r="M37" s="12">
        <v>-8165.62</v>
      </c>
      <c r="N37" t="s">
        <v>111</v>
      </c>
      <c r="O37" t="s">
        <v>14</v>
      </c>
      <c r="P37" t="s">
        <v>112</v>
      </c>
      <c r="AH37"/>
      <c r="AT37"/>
    </row>
    <row r="38" spans="1:46">
      <c r="A38" t="s">
        <v>12</v>
      </c>
      <c r="B38" s="10">
        <v>45856</v>
      </c>
      <c r="C38" s="10" t="str">
        <f>UPPER(TEXT(B38, "[$-en-US]mmmm"))</f>
        <v>JULY</v>
      </c>
      <c r="D38" s="41">
        <f>YEAR(B38)</f>
        <v>2025</v>
      </c>
      <c r="E38" s="10" t="str">
        <f>VLOOKUP(A38,Sheet2!A:B,2,0)</f>
        <v>Americas</v>
      </c>
      <c r="F38" t="s">
        <v>13</v>
      </c>
      <c r="G38" t="s">
        <v>113</v>
      </c>
      <c r="H38" t="s">
        <v>14</v>
      </c>
      <c r="I38" t="s">
        <v>15</v>
      </c>
      <c r="J38" s="11">
        <v>-7720.17</v>
      </c>
      <c r="K38" s="12">
        <v>-7720.17</v>
      </c>
      <c r="L38" s="12">
        <v>7720.17</v>
      </c>
      <c r="M38" s="12">
        <v>-250567.82</v>
      </c>
      <c r="N38" t="s">
        <v>18</v>
      </c>
      <c r="O38" t="s">
        <v>14</v>
      </c>
      <c r="P38" t="s">
        <v>114</v>
      </c>
      <c r="AH38"/>
      <c r="AT38"/>
    </row>
    <row r="39" spans="1:46">
      <c r="A39" t="s">
        <v>12</v>
      </c>
      <c r="B39" s="10">
        <v>45881</v>
      </c>
      <c r="C39" s="10" t="str">
        <f>UPPER(TEXT(B39, "[$-en-US]mmmm"))</f>
        <v>AUGUST</v>
      </c>
      <c r="D39" s="41">
        <f>YEAR(B39)</f>
        <v>2025</v>
      </c>
      <c r="E39" s="10" t="str">
        <f>VLOOKUP(A39,Sheet2!A:B,2,0)</f>
        <v>Americas</v>
      </c>
      <c r="F39" t="s">
        <v>13</v>
      </c>
      <c r="G39" t="s">
        <v>115</v>
      </c>
      <c r="H39" t="s">
        <v>14</v>
      </c>
      <c r="I39" t="s">
        <v>15</v>
      </c>
      <c r="J39" s="11">
        <v>-7652</v>
      </c>
      <c r="K39" s="12">
        <v>-7652</v>
      </c>
      <c r="L39" s="12">
        <v>7652</v>
      </c>
      <c r="M39" s="12">
        <v>-7652</v>
      </c>
      <c r="N39" t="s">
        <v>116</v>
      </c>
      <c r="O39" t="s">
        <v>14</v>
      </c>
      <c r="P39" t="s">
        <v>14</v>
      </c>
      <c r="AH39"/>
      <c r="AT39"/>
    </row>
    <row r="40" spans="1:46">
      <c r="A40" t="s">
        <v>12</v>
      </c>
      <c r="B40" s="10">
        <v>46126</v>
      </c>
      <c r="C40" s="10" t="str">
        <f>UPPER(TEXT(B40, "[$-en-US]mmmm"))</f>
        <v>APRIL</v>
      </c>
      <c r="D40" s="41">
        <f>YEAR(B40)</f>
        <v>2026</v>
      </c>
      <c r="E40" s="10" t="str">
        <f>VLOOKUP(A40,Sheet2!A:B,2,0)</f>
        <v>Americas</v>
      </c>
      <c r="F40" t="s">
        <v>13</v>
      </c>
      <c r="G40" t="s">
        <v>117</v>
      </c>
      <c r="H40" t="s">
        <v>14</v>
      </c>
      <c r="I40" t="s">
        <v>15</v>
      </c>
      <c r="J40" s="11">
        <v>-7500</v>
      </c>
      <c r="K40" s="12">
        <v>-7500</v>
      </c>
      <c r="L40" s="12">
        <v>7500</v>
      </c>
      <c r="M40" s="12">
        <v>-250567.82</v>
      </c>
      <c r="N40" t="s">
        <v>18</v>
      </c>
      <c r="O40" t="s">
        <v>14</v>
      </c>
      <c r="P40" t="s">
        <v>14</v>
      </c>
      <c r="AH40"/>
      <c r="AT40"/>
    </row>
    <row r="41" spans="1:46">
      <c r="A41" t="s">
        <v>12</v>
      </c>
      <c r="B41" s="10">
        <v>45205</v>
      </c>
      <c r="C41" s="10" t="str">
        <f>UPPER(TEXT(B41, "[$-en-US]mmmm"))</f>
        <v>OCTOBER</v>
      </c>
      <c r="D41" s="41">
        <f>YEAR(B41)</f>
        <v>2023</v>
      </c>
      <c r="E41" s="10" t="str">
        <f>VLOOKUP(A41,Sheet2!A:B,2,0)</f>
        <v>Americas</v>
      </c>
      <c r="F41" t="s">
        <v>13</v>
      </c>
      <c r="G41" t="s">
        <v>118</v>
      </c>
      <c r="H41" t="s">
        <v>14</v>
      </c>
      <c r="I41" t="s">
        <v>15</v>
      </c>
      <c r="J41" s="11">
        <v>-7350</v>
      </c>
      <c r="K41" s="12">
        <v>-7350</v>
      </c>
      <c r="L41" s="12">
        <v>7350</v>
      </c>
      <c r="M41" s="12">
        <v>-7350</v>
      </c>
      <c r="N41" t="s">
        <v>119</v>
      </c>
      <c r="O41" t="s">
        <v>14</v>
      </c>
      <c r="P41" t="s">
        <v>120</v>
      </c>
      <c r="AH41"/>
      <c r="AT41"/>
    </row>
    <row r="42" spans="1:46">
      <c r="A42" t="s">
        <v>12</v>
      </c>
      <c r="B42" s="10">
        <v>45688</v>
      </c>
      <c r="C42" s="10" t="str">
        <f>UPPER(TEXT(B42, "[$-en-US]mmmm"))</f>
        <v>JANUARY</v>
      </c>
      <c r="D42" s="41">
        <f>YEAR(B42)</f>
        <v>2025</v>
      </c>
      <c r="E42" s="10" t="str">
        <f>VLOOKUP(A42,Sheet2!A:B,2,0)</f>
        <v>Americas</v>
      </c>
      <c r="F42" t="s">
        <v>13</v>
      </c>
      <c r="G42" t="s">
        <v>121</v>
      </c>
      <c r="H42" t="s">
        <v>14</v>
      </c>
      <c r="I42" t="s">
        <v>15</v>
      </c>
      <c r="J42" s="11">
        <v>-7150</v>
      </c>
      <c r="K42" s="12">
        <v>-7150</v>
      </c>
      <c r="L42" s="12">
        <v>7150</v>
      </c>
      <c r="M42" s="12">
        <v>-250567.82</v>
      </c>
      <c r="N42" t="s">
        <v>18</v>
      </c>
      <c r="O42" t="s">
        <v>14</v>
      </c>
      <c r="P42" t="s">
        <v>122</v>
      </c>
      <c r="AH42"/>
      <c r="AT42"/>
    </row>
    <row r="43" spans="1:46">
      <c r="A43" t="s">
        <v>12</v>
      </c>
      <c r="B43" s="10">
        <v>44838</v>
      </c>
      <c r="C43" s="10" t="str">
        <f>UPPER(TEXT(B43, "[$-en-US]mmmm"))</f>
        <v>OCTOBER</v>
      </c>
      <c r="D43" s="41">
        <f>YEAR(B43)</f>
        <v>2022</v>
      </c>
      <c r="E43" s="10" t="str">
        <f>VLOOKUP(A43,Sheet2!A:B,2,0)</f>
        <v>Americas</v>
      </c>
      <c r="F43" t="s">
        <v>13</v>
      </c>
      <c r="G43" t="s">
        <v>123</v>
      </c>
      <c r="H43" t="s">
        <v>14</v>
      </c>
      <c r="I43" t="s">
        <v>15</v>
      </c>
      <c r="J43" s="11">
        <v>-7000</v>
      </c>
      <c r="K43" s="12">
        <v>-7000</v>
      </c>
      <c r="L43" s="12">
        <v>7000</v>
      </c>
      <c r="M43" s="12">
        <v>-7000</v>
      </c>
      <c r="N43" t="s">
        <v>124</v>
      </c>
      <c r="O43" t="s">
        <v>14</v>
      </c>
      <c r="P43" t="s">
        <v>125</v>
      </c>
      <c r="AH43"/>
      <c r="AT43"/>
    </row>
    <row r="44" spans="1:46">
      <c r="A44" t="s">
        <v>12</v>
      </c>
      <c r="B44" s="10">
        <v>44897</v>
      </c>
      <c r="C44" s="10" t="str">
        <f>UPPER(TEXT(B44, "[$-en-US]mmmm"))</f>
        <v>DECEMBER</v>
      </c>
      <c r="D44" s="41">
        <f>YEAR(B44)</f>
        <v>2022</v>
      </c>
      <c r="E44" s="10" t="str">
        <f>VLOOKUP(A44,Sheet2!A:B,2,0)</f>
        <v>Americas</v>
      </c>
      <c r="F44" t="s">
        <v>13</v>
      </c>
      <c r="G44" t="s">
        <v>126</v>
      </c>
      <c r="H44" t="s">
        <v>1502</v>
      </c>
      <c r="I44" t="s">
        <v>15</v>
      </c>
      <c r="J44" s="11">
        <v>-20000</v>
      </c>
      <c r="K44" s="12">
        <v>-20000</v>
      </c>
      <c r="L44" s="12">
        <v>7000</v>
      </c>
      <c r="M44" s="12">
        <v>-7000</v>
      </c>
      <c r="N44" t="s">
        <v>127</v>
      </c>
      <c r="O44" t="s">
        <v>14</v>
      </c>
      <c r="P44" t="s">
        <v>128</v>
      </c>
      <c r="AH44"/>
      <c r="AT44"/>
    </row>
    <row r="45" spans="1:46">
      <c r="A45" t="s">
        <v>12</v>
      </c>
      <c r="B45" s="10">
        <v>45138</v>
      </c>
      <c r="C45" s="10" t="str">
        <f>UPPER(TEXT(B45, "[$-en-US]mmmm"))</f>
        <v>JULY</v>
      </c>
      <c r="D45" s="41">
        <f>YEAR(B45)</f>
        <v>2023</v>
      </c>
      <c r="E45" s="10" t="str">
        <f>VLOOKUP(A45,Sheet2!A:B,2,0)</f>
        <v>Americas</v>
      </c>
      <c r="F45" t="s">
        <v>13</v>
      </c>
      <c r="G45" t="s">
        <v>129</v>
      </c>
      <c r="H45" t="s">
        <v>1503</v>
      </c>
      <c r="I45" t="s">
        <v>15</v>
      </c>
      <c r="J45" s="11">
        <v>-7750</v>
      </c>
      <c r="K45" s="12">
        <v>-7750</v>
      </c>
      <c r="L45" s="12">
        <v>6975</v>
      </c>
      <c r="M45" s="12">
        <v>-6975</v>
      </c>
      <c r="N45" t="s">
        <v>130</v>
      </c>
      <c r="O45" t="s">
        <v>131</v>
      </c>
      <c r="P45" t="s">
        <v>50</v>
      </c>
      <c r="AH45"/>
      <c r="AT45"/>
    </row>
    <row r="46" spans="1:46">
      <c r="A46" t="s">
        <v>12</v>
      </c>
      <c r="B46" s="10">
        <v>45128</v>
      </c>
      <c r="C46" s="10" t="str">
        <f>UPPER(TEXT(B46, "[$-en-US]mmmm"))</f>
        <v>JULY</v>
      </c>
      <c r="D46" s="41">
        <f>YEAR(B46)</f>
        <v>2023</v>
      </c>
      <c r="E46" s="10" t="str">
        <f>VLOOKUP(A46,Sheet2!A:B,2,0)</f>
        <v>Americas</v>
      </c>
      <c r="F46" t="s">
        <v>13</v>
      </c>
      <c r="G46" t="s">
        <v>132</v>
      </c>
      <c r="H46" t="s">
        <v>14</v>
      </c>
      <c r="I46" t="s">
        <v>15</v>
      </c>
      <c r="J46" s="11">
        <v>-6929</v>
      </c>
      <c r="K46" s="12">
        <v>-6929</v>
      </c>
      <c r="L46" s="12">
        <v>6929</v>
      </c>
      <c r="M46" s="12">
        <v>-6929</v>
      </c>
      <c r="N46" t="s">
        <v>133</v>
      </c>
      <c r="O46" t="s">
        <v>14</v>
      </c>
      <c r="P46" t="s">
        <v>134</v>
      </c>
      <c r="AH46"/>
      <c r="AT46"/>
    </row>
    <row r="47" spans="1:46">
      <c r="A47" t="s">
        <v>12</v>
      </c>
      <c r="B47" s="10">
        <v>46013</v>
      </c>
      <c r="C47" s="10" t="str">
        <f>UPPER(TEXT(B47, "[$-en-US]mmmm"))</f>
        <v>DECEMBER</v>
      </c>
      <c r="D47" s="41">
        <f>YEAR(B47)</f>
        <v>2025</v>
      </c>
      <c r="E47" s="10" t="str">
        <f>VLOOKUP(A47,Sheet2!A:B,2,0)</f>
        <v>Americas</v>
      </c>
      <c r="F47" t="s">
        <v>13</v>
      </c>
      <c r="G47" t="s">
        <v>1737</v>
      </c>
      <c r="H47" t="s">
        <v>1737</v>
      </c>
      <c r="I47" t="s">
        <v>15</v>
      </c>
      <c r="J47" s="11">
        <v>-6655</v>
      </c>
      <c r="K47" s="12">
        <v>-6655</v>
      </c>
      <c r="L47" s="12">
        <v>6655</v>
      </c>
      <c r="M47" s="12">
        <v>-6655</v>
      </c>
      <c r="N47" t="s">
        <v>1738</v>
      </c>
      <c r="O47" t="s">
        <v>14</v>
      </c>
      <c r="P47" t="s">
        <v>1739</v>
      </c>
      <c r="AH47"/>
      <c r="AT47"/>
    </row>
    <row r="48" spans="1:46">
      <c r="A48" t="s">
        <v>12</v>
      </c>
      <c r="B48" s="10">
        <v>44924</v>
      </c>
      <c r="C48" s="10" t="str">
        <f>UPPER(TEXT(B48, "[$-en-US]mmmm"))</f>
        <v>DECEMBER</v>
      </c>
      <c r="D48" s="41">
        <f>YEAR(B48)</f>
        <v>2022</v>
      </c>
      <c r="E48" s="10" t="str">
        <f>VLOOKUP(A48,Sheet2!A:B,2,0)</f>
        <v>Americas</v>
      </c>
      <c r="F48" t="s">
        <v>13</v>
      </c>
      <c r="G48" t="s">
        <v>135</v>
      </c>
      <c r="H48" t="s">
        <v>14</v>
      </c>
      <c r="I48" t="s">
        <v>15</v>
      </c>
      <c r="J48" s="11">
        <v>-6325</v>
      </c>
      <c r="K48" s="12">
        <v>-6325</v>
      </c>
      <c r="L48" s="12">
        <v>6325</v>
      </c>
      <c r="M48" s="12">
        <v>-6325</v>
      </c>
      <c r="N48" t="s">
        <v>136</v>
      </c>
      <c r="O48" t="s">
        <v>14</v>
      </c>
      <c r="P48" t="s">
        <v>50</v>
      </c>
      <c r="AH48"/>
      <c r="AT48"/>
    </row>
    <row r="49" spans="1:46">
      <c r="A49" t="s">
        <v>12</v>
      </c>
      <c r="B49" s="10">
        <v>46136</v>
      </c>
      <c r="C49" s="10" t="str">
        <f>UPPER(TEXT(B49, "[$-en-US]mmmm"))</f>
        <v>APRIL</v>
      </c>
      <c r="D49" s="41">
        <f>YEAR(B49)</f>
        <v>2026</v>
      </c>
      <c r="E49" s="10" t="str">
        <f>VLOOKUP(A49,Sheet2!A:B,2,0)</f>
        <v>Americas</v>
      </c>
      <c r="F49" t="s">
        <v>13</v>
      </c>
      <c r="G49" t="s">
        <v>137</v>
      </c>
      <c r="H49" t="s">
        <v>14</v>
      </c>
      <c r="I49" t="s">
        <v>15</v>
      </c>
      <c r="J49" s="11">
        <v>-6200</v>
      </c>
      <c r="K49" s="12">
        <v>-6200</v>
      </c>
      <c r="L49" s="12">
        <v>6200</v>
      </c>
      <c r="M49" s="12">
        <v>-6200</v>
      </c>
      <c r="N49" t="s">
        <v>138</v>
      </c>
      <c r="O49" t="s">
        <v>131</v>
      </c>
      <c r="P49" t="s">
        <v>14</v>
      </c>
      <c r="AH49"/>
      <c r="AT49"/>
    </row>
    <row r="50" spans="1:46">
      <c r="A50" t="s">
        <v>12</v>
      </c>
      <c r="B50" s="10">
        <v>46146</v>
      </c>
      <c r="C50" s="10" t="str">
        <f>UPPER(TEXT(B50, "[$-en-US]mmmm"))</f>
        <v>MAY</v>
      </c>
      <c r="D50" s="41">
        <f>YEAR(B50)</f>
        <v>2026</v>
      </c>
      <c r="E50" s="10" t="str">
        <f>VLOOKUP(A50,Sheet2!A:B,2,0)</f>
        <v>Americas</v>
      </c>
      <c r="F50" t="s">
        <v>13</v>
      </c>
      <c r="G50" t="s">
        <v>1740</v>
      </c>
      <c r="H50" t="s">
        <v>14</v>
      </c>
      <c r="I50" t="s">
        <v>15</v>
      </c>
      <c r="J50" s="11">
        <v>-5625</v>
      </c>
      <c r="K50" s="12">
        <v>-5625</v>
      </c>
      <c r="L50" s="12">
        <v>5625</v>
      </c>
      <c r="M50" s="12">
        <v>-5625</v>
      </c>
      <c r="N50" t="s">
        <v>1741</v>
      </c>
      <c r="O50" t="s">
        <v>14</v>
      </c>
      <c r="P50" t="s">
        <v>14</v>
      </c>
      <c r="AH50"/>
      <c r="AT50"/>
    </row>
    <row r="51" spans="1:46">
      <c r="A51" t="s">
        <v>12</v>
      </c>
      <c r="B51" s="10">
        <v>44678</v>
      </c>
      <c r="C51" s="10" t="str">
        <f>UPPER(TEXT(B51, "[$-en-US]mmmm"))</f>
        <v>APRIL</v>
      </c>
      <c r="D51" s="41">
        <f>YEAR(B51)</f>
        <v>2022</v>
      </c>
      <c r="E51" s="10" t="str">
        <f>VLOOKUP(A51,Sheet2!A:B,2,0)</f>
        <v>Americas</v>
      </c>
      <c r="F51" t="s">
        <v>13</v>
      </c>
      <c r="G51" t="s">
        <v>139</v>
      </c>
      <c r="H51" t="s">
        <v>14</v>
      </c>
      <c r="I51" t="s">
        <v>15</v>
      </c>
      <c r="J51" s="11">
        <v>-5505</v>
      </c>
      <c r="K51" s="12">
        <v>-5505</v>
      </c>
      <c r="L51" s="12">
        <v>5505</v>
      </c>
      <c r="M51" s="12">
        <v>-5505</v>
      </c>
      <c r="N51" t="s">
        <v>140</v>
      </c>
      <c r="O51" t="s">
        <v>14</v>
      </c>
      <c r="P51" t="s">
        <v>141</v>
      </c>
      <c r="AH51"/>
      <c r="AT51"/>
    </row>
    <row r="52" spans="1:46">
      <c r="A52" t="s">
        <v>12</v>
      </c>
      <c r="B52" s="10">
        <v>45041</v>
      </c>
      <c r="C52" s="10" t="str">
        <f>UPPER(TEXT(B52, "[$-en-US]mmmm"))</f>
        <v>APRIL</v>
      </c>
      <c r="D52" s="41">
        <f>YEAR(B52)</f>
        <v>2023</v>
      </c>
      <c r="E52" s="10" t="str">
        <f>VLOOKUP(A52,Sheet2!A:B,2,0)</f>
        <v>Americas</v>
      </c>
      <c r="F52" t="s">
        <v>13</v>
      </c>
      <c r="G52" t="s">
        <v>142</v>
      </c>
      <c r="H52" t="s">
        <v>14</v>
      </c>
      <c r="I52" t="s">
        <v>15</v>
      </c>
      <c r="J52" s="11">
        <v>-5500</v>
      </c>
      <c r="K52" s="12">
        <v>-5500</v>
      </c>
      <c r="L52" s="12">
        <v>5500</v>
      </c>
      <c r="M52" s="12">
        <v>-5500</v>
      </c>
      <c r="N52" t="s">
        <v>143</v>
      </c>
      <c r="O52" t="s">
        <v>14</v>
      </c>
      <c r="P52" t="s">
        <v>50</v>
      </c>
      <c r="AH52"/>
      <c r="AT52"/>
    </row>
    <row r="53" spans="1:46">
      <c r="A53" t="s">
        <v>12</v>
      </c>
      <c r="B53" s="10">
        <v>45154</v>
      </c>
      <c r="C53" s="10" t="str">
        <f>UPPER(TEXT(B53, "[$-en-US]mmmm"))</f>
        <v>AUGUST</v>
      </c>
      <c r="D53" s="41">
        <f>YEAR(B53)</f>
        <v>2023</v>
      </c>
      <c r="E53" s="10" t="str">
        <f>VLOOKUP(A53,Sheet2!A:B,2,0)</f>
        <v>Americas</v>
      </c>
      <c r="F53" t="s">
        <v>13</v>
      </c>
      <c r="G53" t="s">
        <v>144</v>
      </c>
      <c r="H53" t="s">
        <v>14</v>
      </c>
      <c r="I53" t="s">
        <v>15</v>
      </c>
      <c r="J53" s="11">
        <v>-5500</v>
      </c>
      <c r="K53" s="12">
        <v>-5500</v>
      </c>
      <c r="L53" s="12">
        <v>5500</v>
      </c>
      <c r="M53" s="12">
        <v>-5500</v>
      </c>
      <c r="N53" t="s">
        <v>145</v>
      </c>
      <c r="O53" t="s">
        <v>14</v>
      </c>
      <c r="P53" t="s">
        <v>146</v>
      </c>
      <c r="AH53"/>
      <c r="AT53"/>
    </row>
    <row r="54" spans="1:46">
      <c r="A54" t="s">
        <v>12</v>
      </c>
      <c r="B54" s="10">
        <v>45952</v>
      </c>
      <c r="C54" s="10" t="str">
        <f>UPPER(TEXT(B54, "[$-en-US]mmmm"))</f>
        <v>OCTOBER</v>
      </c>
      <c r="D54" s="41">
        <f>YEAR(B54)</f>
        <v>2025</v>
      </c>
      <c r="E54" s="10" t="str">
        <f>VLOOKUP(A54,Sheet2!A:B,2,0)</f>
        <v>Americas</v>
      </c>
      <c r="F54" t="s">
        <v>13</v>
      </c>
      <c r="G54" t="s">
        <v>147</v>
      </c>
      <c r="H54" t="s">
        <v>14</v>
      </c>
      <c r="I54" t="s">
        <v>15</v>
      </c>
      <c r="J54" s="11">
        <v>-5500</v>
      </c>
      <c r="K54" s="12">
        <v>-5500</v>
      </c>
      <c r="L54" s="12">
        <v>5500</v>
      </c>
      <c r="M54" s="12">
        <v>-5500</v>
      </c>
      <c r="N54" t="s">
        <v>148</v>
      </c>
      <c r="O54" t="s">
        <v>14</v>
      </c>
      <c r="P54" t="s">
        <v>14</v>
      </c>
      <c r="AH54"/>
      <c r="AT54"/>
    </row>
    <row r="55" spans="1:46">
      <c r="A55" t="s">
        <v>12</v>
      </c>
      <c r="B55" s="10">
        <v>44930</v>
      </c>
      <c r="C55" s="10" t="str">
        <f>UPPER(TEXT(B55, "[$-en-US]mmmm"))</f>
        <v>JANUARY</v>
      </c>
      <c r="D55" s="41">
        <f>YEAR(B55)</f>
        <v>2023</v>
      </c>
      <c r="E55" s="10" t="str">
        <f>VLOOKUP(A55,Sheet2!A:B,2,0)</f>
        <v>Americas</v>
      </c>
      <c r="F55" t="s">
        <v>13</v>
      </c>
      <c r="G55" t="s">
        <v>149</v>
      </c>
      <c r="H55" t="s">
        <v>14</v>
      </c>
      <c r="I55" t="s">
        <v>15</v>
      </c>
      <c r="J55" s="11">
        <v>-5457</v>
      </c>
      <c r="K55" s="12">
        <v>-5457</v>
      </c>
      <c r="L55" s="12">
        <v>5457</v>
      </c>
      <c r="M55" s="12">
        <v>-5457</v>
      </c>
      <c r="N55" t="s">
        <v>150</v>
      </c>
      <c r="O55" t="s">
        <v>151</v>
      </c>
      <c r="P55" t="s">
        <v>152</v>
      </c>
      <c r="AH55"/>
      <c r="AT55"/>
    </row>
    <row r="56" spans="1:46">
      <c r="A56" t="s">
        <v>12</v>
      </c>
      <c r="B56" s="10">
        <v>45342</v>
      </c>
      <c r="C56" s="10" t="str">
        <f>UPPER(TEXT(B56, "[$-en-US]mmmm"))</f>
        <v>FEBRUARY</v>
      </c>
      <c r="D56" s="41">
        <f>YEAR(B56)</f>
        <v>2024</v>
      </c>
      <c r="E56" s="10" t="str">
        <f>VLOOKUP(A56,Sheet2!A:B,2,0)</f>
        <v>Americas</v>
      </c>
      <c r="F56" t="s">
        <v>13</v>
      </c>
      <c r="G56" t="s">
        <v>153</v>
      </c>
      <c r="H56" t="s">
        <v>14</v>
      </c>
      <c r="I56" t="s">
        <v>15</v>
      </c>
      <c r="J56" s="11">
        <v>-5400</v>
      </c>
      <c r="K56" s="12">
        <v>-5400</v>
      </c>
      <c r="L56" s="12">
        <v>5400</v>
      </c>
      <c r="M56" s="12">
        <v>-5400</v>
      </c>
      <c r="N56" t="s">
        <v>154</v>
      </c>
      <c r="O56" t="s">
        <v>155</v>
      </c>
      <c r="P56" t="s">
        <v>156</v>
      </c>
      <c r="AH56"/>
      <c r="AT56"/>
    </row>
    <row r="57" spans="1:46">
      <c r="A57" t="s">
        <v>12</v>
      </c>
      <c r="B57" s="10">
        <v>45763</v>
      </c>
      <c r="C57" s="10" t="str">
        <f>UPPER(TEXT(B57, "[$-en-US]mmmm"))</f>
        <v>APRIL</v>
      </c>
      <c r="D57" s="41">
        <f>YEAR(B57)</f>
        <v>2025</v>
      </c>
      <c r="E57" s="10" t="str">
        <f>VLOOKUP(A57,Sheet2!A:B,2,0)</f>
        <v>Americas</v>
      </c>
      <c r="F57" t="s">
        <v>13</v>
      </c>
      <c r="G57" t="s">
        <v>157</v>
      </c>
      <c r="H57" t="s">
        <v>14</v>
      </c>
      <c r="I57" t="s">
        <v>15</v>
      </c>
      <c r="J57" s="11">
        <v>-5375</v>
      </c>
      <c r="K57" s="12">
        <v>-5375</v>
      </c>
      <c r="L57" s="12">
        <v>5375</v>
      </c>
      <c r="M57" s="12">
        <v>-5375</v>
      </c>
      <c r="N57" t="s">
        <v>158</v>
      </c>
      <c r="O57" t="s">
        <v>14</v>
      </c>
      <c r="P57" t="s">
        <v>159</v>
      </c>
      <c r="AH57"/>
      <c r="AT57"/>
    </row>
    <row r="58" spans="1:46">
      <c r="A58" t="s">
        <v>12</v>
      </c>
      <c r="B58" s="10">
        <v>45195</v>
      </c>
      <c r="C58" s="10" t="str">
        <f>UPPER(TEXT(B58, "[$-en-US]mmmm"))</f>
        <v>SEPTEMBER</v>
      </c>
      <c r="D58" s="41">
        <f>YEAR(B58)</f>
        <v>2023</v>
      </c>
      <c r="E58" s="10" t="str">
        <f>VLOOKUP(A58,Sheet2!A:B,2,0)</f>
        <v>Americas</v>
      </c>
      <c r="F58" t="s">
        <v>13</v>
      </c>
      <c r="G58" t="s">
        <v>160</v>
      </c>
      <c r="H58" t="s">
        <v>1504</v>
      </c>
      <c r="I58" t="s">
        <v>15</v>
      </c>
      <c r="J58" s="11">
        <v>-9717.1200000000008</v>
      </c>
      <c r="K58" s="12">
        <v>-9717.1200000000008</v>
      </c>
      <c r="L58" s="12">
        <v>5254.62</v>
      </c>
      <c r="M58" s="12">
        <v>-5254.62</v>
      </c>
      <c r="N58" t="s">
        <v>161</v>
      </c>
      <c r="O58" t="s">
        <v>14</v>
      </c>
      <c r="P58" t="s">
        <v>162</v>
      </c>
      <c r="AH58"/>
      <c r="AT58"/>
    </row>
    <row r="59" spans="1:46">
      <c r="A59" t="s">
        <v>12</v>
      </c>
      <c r="B59" s="10">
        <v>45828</v>
      </c>
      <c r="C59" s="10" t="str">
        <f>UPPER(TEXT(B59, "[$-en-US]mmmm"))</f>
        <v>JUNE</v>
      </c>
      <c r="D59" s="41">
        <f>YEAR(B59)</f>
        <v>2025</v>
      </c>
      <c r="E59" s="10" t="str">
        <f>VLOOKUP(A59,Sheet2!A:B,2,0)</f>
        <v>Americas</v>
      </c>
      <c r="F59" t="s">
        <v>13</v>
      </c>
      <c r="G59" t="s">
        <v>163</v>
      </c>
      <c r="H59" t="s">
        <v>1505</v>
      </c>
      <c r="I59" t="s">
        <v>15</v>
      </c>
      <c r="J59" s="11">
        <v>-55150</v>
      </c>
      <c r="K59" s="12">
        <v>-55150</v>
      </c>
      <c r="L59" s="12">
        <v>5150</v>
      </c>
      <c r="M59" s="12">
        <v>-50095.55</v>
      </c>
      <c r="N59" t="s">
        <v>21</v>
      </c>
      <c r="O59" t="s">
        <v>14</v>
      </c>
      <c r="P59" t="s">
        <v>164</v>
      </c>
      <c r="AH59"/>
      <c r="AT59"/>
    </row>
    <row r="60" spans="1:46">
      <c r="A60" t="s">
        <v>12</v>
      </c>
      <c r="B60" s="10">
        <v>45957</v>
      </c>
      <c r="C60" s="10" t="str">
        <f>UPPER(TEXT(B60, "[$-en-US]mmmm"))</f>
        <v>OCTOBER</v>
      </c>
      <c r="D60" s="41">
        <f>YEAR(B60)</f>
        <v>2025</v>
      </c>
      <c r="E60" s="10" t="str">
        <f>VLOOKUP(A60,Sheet2!A:B,2,0)</f>
        <v>Americas</v>
      </c>
      <c r="F60" t="s">
        <v>13</v>
      </c>
      <c r="G60" t="s">
        <v>165</v>
      </c>
      <c r="H60" t="s">
        <v>14</v>
      </c>
      <c r="I60" t="s">
        <v>15</v>
      </c>
      <c r="J60" s="11">
        <v>-5000</v>
      </c>
      <c r="K60" s="12">
        <v>-5000</v>
      </c>
      <c r="L60" s="12">
        <v>5000</v>
      </c>
      <c r="M60" s="12">
        <v>-5000</v>
      </c>
      <c r="N60" t="s">
        <v>166</v>
      </c>
      <c r="O60" t="s">
        <v>14</v>
      </c>
      <c r="P60" t="s">
        <v>14</v>
      </c>
      <c r="AH60"/>
      <c r="AT60"/>
    </row>
    <row r="61" spans="1:46">
      <c r="A61" t="s">
        <v>12</v>
      </c>
      <c r="B61" s="10">
        <v>45980</v>
      </c>
      <c r="C61" s="10" t="str">
        <f>UPPER(TEXT(B61, "[$-en-US]mmmm"))</f>
        <v>NOVEMBER</v>
      </c>
      <c r="D61" s="41">
        <f>YEAR(B61)</f>
        <v>2025</v>
      </c>
      <c r="E61" s="10" t="str">
        <f>VLOOKUP(A61,Sheet2!A:B,2,0)</f>
        <v>Americas</v>
      </c>
      <c r="F61" t="s">
        <v>13</v>
      </c>
      <c r="G61" t="s">
        <v>167</v>
      </c>
      <c r="H61" t="s">
        <v>14</v>
      </c>
      <c r="I61" t="s">
        <v>15</v>
      </c>
      <c r="J61" s="11">
        <v>-5000</v>
      </c>
      <c r="K61" s="12">
        <v>-5000</v>
      </c>
      <c r="L61" s="12">
        <v>5000</v>
      </c>
      <c r="M61" s="12">
        <v>-5000</v>
      </c>
      <c r="N61" t="s">
        <v>168</v>
      </c>
      <c r="O61" t="s">
        <v>14</v>
      </c>
      <c r="P61" t="s">
        <v>14</v>
      </c>
      <c r="AH61"/>
      <c r="AT61"/>
    </row>
    <row r="62" spans="1:46">
      <c r="A62" t="s">
        <v>12</v>
      </c>
      <c r="B62" s="10">
        <v>44673</v>
      </c>
      <c r="C62" s="10" t="str">
        <f>UPPER(TEXT(B62, "[$-en-US]mmmm"))</f>
        <v>APRIL</v>
      </c>
      <c r="D62" s="41">
        <f>YEAR(B62)</f>
        <v>2022</v>
      </c>
      <c r="E62" s="10" t="str">
        <f>VLOOKUP(A62,Sheet2!A:B,2,0)</f>
        <v>Americas</v>
      </c>
      <c r="F62" t="s">
        <v>13</v>
      </c>
      <c r="G62" t="s">
        <v>169</v>
      </c>
      <c r="H62" t="s">
        <v>14</v>
      </c>
      <c r="I62" t="s">
        <v>15</v>
      </c>
      <c r="J62" s="11">
        <v>-4800</v>
      </c>
      <c r="K62" s="12">
        <v>-4800</v>
      </c>
      <c r="L62" s="12">
        <v>4800</v>
      </c>
      <c r="M62" s="12">
        <v>-4800</v>
      </c>
      <c r="N62" t="s">
        <v>170</v>
      </c>
      <c r="O62" t="s">
        <v>14</v>
      </c>
      <c r="P62" t="s">
        <v>50</v>
      </c>
      <c r="AH62"/>
      <c r="AT62"/>
    </row>
    <row r="63" spans="1:46">
      <c r="A63" t="s">
        <v>12</v>
      </c>
      <c r="B63" s="10">
        <v>46135</v>
      </c>
      <c r="C63" s="10" t="str">
        <f>UPPER(TEXT(B63, "[$-en-US]mmmm"))</f>
        <v>APRIL</v>
      </c>
      <c r="D63" s="41">
        <f>YEAR(B63)</f>
        <v>2026</v>
      </c>
      <c r="E63" s="10" t="str">
        <f>VLOOKUP(A63,Sheet2!A:B,2,0)</f>
        <v>Americas</v>
      </c>
      <c r="F63" t="s">
        <v>13</v>
      </c>
      <c r="G63" t="s">
        <v>171</v>
      </c>
      <c r="H63" t="s">
        <v>14</v>
      </c>
      <c r="I63" t="s">
        <v>15</v>
      </c>
      <c r="J63" s="11">
        <v>-4265.16</v>
      </c>
      <c r="K63" s="12">
        <v>-4265.16</v>
      </c>
      <c r="L63" s="12">
        <v>4265.16</v>
      </c>
      <c r="M63" s="12">
        <v>-4265.16</v>
      </c>
      <c r="N63" t="s">
        <v>172</v>
      </c>
      <c r="O63" t="s">
        <v>14</v>
      </c>
      <c r="P63" t="s">
        <v>173</v>
      </c>
      <c r="AH63"/>
      <c r="AT63"/>
    </row>
    <row r="64" spans="1:46">
      <c r="A64" t="s">
        <v>12</v>
      </c>
      <c r="B64" s="10">
        <v>44652</v>
      </c>
      <c r="C64" s="10" t="str">
        <f>UPPER(TEXT(B64, "[$-en-US]mmmm"))</f>
        <v>APRIL</v>
      </c>
      <c r="D64" s="41">
        <f>YEAR(B64)</f>
        <v>2022</v>
      </c>
      <c r="E64" s="10" t="str">
        <f>VLOOKUP(A64,Sheet2!A:B,2,0)</f>
        <v>Americas</v>
      </c>
      <c r="F64" t="s">
        <v>13</v>
      </c>
      <c r="G64" t="s">
        <v>174</v>
      </c>
      <c r="H64" t="s">
        <v>14</v>
      </c>
      <c r="I64" t="s">
        <v>15</v>
      </c>
      <c r="J64" s="11">
        <v>-4225</v>
      </c>
      <c r="K64" s="12">
        <v>-4225</v>
      </c>
      <c r="L64" s="12">
        <v>4225</v>
      </c>
      <c r="M64" s="12">
        <v>-4225</v>
      </c>
      <c r="N64" t="s">
        <v>175</v>
      </c>
      <c r="O64" t="s">
        <v>14</v>
      </c>
      <c r="P64" t="s">
        <v>176</v>
      </c>
      <c r="AH64"/>
      <c r="AT64"/>
    </row>
    <row r="65" spans="1:46">
      <c r="A65" t="s">
        <v>12</v>
      </c>
      <c r="B65" s="10">
        <v>45834</v>
      </c>
      <c r="C65" s="10" t="str">
        <f>UPPER(TEXT(B65, "[$-en-US]mmmm"))</f>
        <v>JUNE</v>
      </c>
      <c r="D65" s="41">
        <f>YEAR(B65)</f>
        <v>2025</v>
      </c>
      <c r="E65" s="10" t="str">
        <f>VLOOKUP(A65,Sheet2!A:B,2,0)</f>
        <v>Americas</v>
      </c>
      <c r="F65" t="s">
        <v>13</v>
      </c>
      <c r="G65" t="s">
        <v>177</v>
      </c>
      <c r="H65" t="s">
        <v>14</v>
      </c>
      <c r="I65" t="s">
        <v>15</v>
      </c>
      <c r="J65" s="11">
        <v>-4087.75</v>
      </c>
      <c r="K65" s="12">
        <v>-4087.75</v>
      </c>
      <c r="L65" s="12">
        <v>4087.75</v>
      </c>
      <c r="M65" s="12">
        <v>-4087.75</v>
      </c>
      <c r="N65" t="s">
        <v>178</v>
      </c>
      <c r="O65" t="s">
        <v>14</v>
      </c>
      <c r="P65" t="s">
        <v>179</v>
      </c>
      <c r="AH65"/>
      <c r="AT65"/>
    </row>
    <row r="66" spans="1:46">
      <c r="A66" t="s">
        <v>12</v>
      </c>
      <c r="B66" s="10">
        <v>46143</v>
      </c>
      <c r="C66" s="10" t="str">
        <f>UPPER(TEXT(B66, "[$-en-US]mmmm"))</f>
        <v>MAY</v>
      </c>
      <c r="D66" s="41">
        <f>YEAR(B66)</f>
        <v>2026</v>
      </c>
      <c r="E66" s="10" t="str">
        <f>VLOOKUP(A66,Sheet2!A:B,2,0)</f>
        <v>Americas</v>
      </c>
      <c r="F66" t="s">
        <v>13</v>
      </c>
      <c r="G66" t="s">
        <v>1742</v>
      </c>
      <c r="H66" t="s">
        <v>14</v>
      </c>
      <c r="I66" t="s">
        <v>15</v>
      </c>
      <c r="J66" s="11">
        <v>-4026</v>
      </c>
      <c r="K66" s="12">
        <v>-4026</v>
      </c>
      <c r="L66" s="12">
        <v>4026</v>
      </c>
      <c r="M66" s="12">
        <v>0</v>
      </c>
      <c r="N66" t="s">
        <v>1743</v>
      </c>
      <c r="O66" t="s">
        <v>131</v>
      </c>
      <c r="P66" t="s">
        <v>14</v>
      </c>
      <c r="AH66"/>
      <c r="AT66"/>
    </row>
    <row r="67" spans="1:46">
      <c r="A67" t="s">
        <v>12</v>
      </c>
      <c r="B67" s="10">
        <v>45457</v>
      </c>
      <c r="C67" s="10" t="str">
        <f>UPPER(TEXT(B67, "[$-en-US]mmmm"))</f>
        <v>JUNE</v>
      </c>
      <c r="D67" s="41">
        <f>YEAR(B67)</f>
        <v>2024</v>
      </c>
      <c r="E67" s="10" t="str">
        <f>VLOOKUP(A67,Sheet2!A:B,2,0)</f>
        <v>Americas</v>
      </c>
      <c r="F67" t="s">
        <v>13</v>
      </c>
      <c r="G67" t="s">
        <v>180</v>
      </c>
      <c r="H67" t="s">
        <v>1506</v>
      </c>
      <c r="I67" t="s">
        <v>15</v>
      </c>
      <c r="J67" s="11">
        <v>-7983</v>
      </c>
      <c r="K67" s="12">
        <v>-7983</v>
      </c>
      <c r="L67" s="12">
        <v>3991.5</v>
      </c>
      <c r="M67" s="12">
        <v>-3991.5</v>
      </c>
      <c r="N67" t="s">
        <v>181</v>
      </c>
      <c r="O67" t="s">
        <v>14</v>
      </c>
      <c r="P67" t="s">
        <v>182</v>
      </c>
      <c r="AH67"/>
      <c r="AT67"/>
    </row>
    <row r="68" spans="1:46">
      <c r="A68" t="s">
        <v>12</v>
      </c>
      <c r="B68" s="10">
        <v>45786</v>
      </c>
      <c r="C68" s="10" t="str">
        <f>UPPER(TEXT(B68, "[$-en-US]mmmm"))</f>
        <v>MAY</v>
      </c>
      <c r="D68" s="41">
        <f>YEAR(B68)</f>
        <v>2025</v>
      </c>
      <c r="E68" s="10" t="str">
        <f>VLOOKUP(A68,Sheet2!A:B,2,0)</f>
        <v>Americas</v>
      </c>
      <c r="F68" t="s">
        <v>13</v>
      </c>
      <c r="G68" t="s">
        <v>183</v>
      </c>
      <c r="H68" t="s">
        <v>14</v>
      </c>
      <c r="I68" t="s">
        <v>15</v>
      </c>
      <c r="J68" s="11">
        <v>-3990</v>
      </c>
      <c r="K68" s="12">
        <v>-3990</v>
      </c>
      <c r="L68" s="12">
        <v>3990</v>
      </c>
      <c r="M68" s="12">
        <v>-3990</v>
      </c>
      <c r="N68" t="s">
        <v>184</v>
      </c>
      <c r="O68" t="s">
        <v>14</v>
      </c>
      <c r="P68" t="s">
        <v>185</v>
      </c>
      <c r="AH68"/>
      <c r="AT68"/>
    </row>
    <row r="69" spans="1:46">
      <c r="A69" t="s">
        <v>12</v>
      </c>
      <c r="B69" s="10">
        <v>44945</v>
      </c>
      <c r="C69" s="10" t="str">
        <f>UPPER(TEXT(B69, "[$-en-US]mmmm"))</f>
        <v>JANUARY</v>
      </c>
      <c r="D69" s="41">
        <f>YEAR(B69)</f>
        <v>2023</v>
      </c>
      <c r="E69" s="10" t="str">
        <f>VLOOKUP(A69,Sheet2!A:B,2,0)</f>
        <v>Americas</v>
      </c>
      <c r="F69" t="s">
        <v>13</v>
      </c>
      <c r="G69" t="s">
        <v>186</v>
      </c>
      <c r="H69" t="s">
        <v>14</v>
      </c>
      <c r="I69" t="s">
        <v>15</v>
      </c>
      <c r="J69" s="11">
        <v>-3950</v>
      </c>
      <c r="K69" s="12">
        <v>-3950</v>
      </c>
      <c r="L69" s="12">
        <v>3950</v>
      </c>
      <c r="M69" s="12">
        <v>-3950</v>
      </c>
      <c r="N69" t="s">
        <v>187</v>
      </c>
      <c r="O69" t="s">
        <v>14</v>
      </c>
      <c r="P69" t="s">
        <v>188</v>
      </c>
      <c r="AH69"/>
      <c r="AT69"/>
    </row>
    <row r="70" spans="1:46">
      <c r="A70" t="s">
        <v>12</v>
      </c>
      <c r="B70" s="10">
        <v>45987</v>
      </c>
      <c r="C70" s="10" t="str">
        <f>UPPER(TEXT(B70, "[$-en-US]mmmm"))</f>
        <v>NOVEMBER</v>
      </c>
      <c r="D70" s="41">
        <f>YEAR(B70)</f>
        <v>2025</v>
      </c>
      <c r="E70" s="10" t="str">
        <f>VLOOKUP(A70,Sheet2!A:B,2,0)</f>
        <v>Americas</v>
      </c>
      <c r="F70" t="s">
        <v>13</v>
      </c>
      <c r="G70" t="s">
        <v>189</v>
      </c>
      <c r="H70" t="s">
        <v>14</v>
      </c>
      <c r="I70" t="s">
        <v>15</v>
      </c>
      <c r="J70" s="11">
        <v>-3841.2</v>
      </c>
      <c r="K70" s="12">
        <v>-3841.2</v>
      </c>
      <c r="L70" s="12">
        <v>3841.2</v>
      </c>
      <c r="M70" s="12">
        <v>154725.09</v>
      </c>
      <c r="N70" t="s">
        <v>70</v>
      </c>
      <c r="O70" t="s">
        <v>14</v>
      </c>
      <c r="P70" t="s">
        <v>190</v>
      </c>
      <c r="AH70"/>
      <c r="AT70"/>
    </row>
    <row r="71" spans="1:46">
      <c r="A71" t="s">
        <v>12</v>
      </c>
      <c r="B71" s="10">
        <v>44823</v>
      </c>
      <c r="C71" s="10" t="str">
        <f>UPPER(TEXT(B71, "[$-en-US]mmmm"))</f>
        <v>SEPTEMBER</v>
      </c>
      <c r="D71" s="41">
        <f>YEAR(B71)</f>
        <v>2022</v>
      </c>
      <c r="E71" s="10" t="str">
        <f>VLOOKUP(A71,Sheet2!A:B,2,0)</f>
        <v>Americas</v>
      </c>
      <c r="F71" t="s">
        <v>13</v>
      </c>
      <c r="G71" t="s">
        <v>191</v>
      </c>
      <c r="H71" t="s">
        <v>1507</v>
      </c>
      <c r="I71" t="s">
        <v>15</v>
      </c>
      <c r="J71" s="11">
        <v>-30844.22</v>
      </c>
      <c r="K71" s="12">
        <v>-30844.22</v>
      </c>
      <c r="L71" s="12">
        <v>3520.22</v>
      </c>
      <c r="M71" s="12">
        <v>-3520.22</v>
      </c>
      <c r="N71" t="s">
        <v>192</v>
      </c>
      <c r="O71" t="s">
        <v>104</v>
      </c>
      <c r="P71" t="s">
        <v>193</v>
      </c>
      <c r="AH71"/>
      <c r="AT71"/>
    </row>
    <row r="72" spans="1:46">
      <c r="A72" t="s">
        <v>12</v>
      </c>
      <c r="B72" s="10">
        <v>46108</v>
      </c>
      <c r="C72" s="10" t="str">
        <f>UPPER(TEXT(B72, "[$-en-US]mmmm"))</f>
        <v>MARCH</v>
      </c>
      <c r="D72" s="41">
        <f>YEAR(B72)</f>
        <v>2026</v>
      </c>
      <c r="E72" s="10" t="str">
        <f>VLOOKUP(A72,Sheet2!A:B,2,0)</f>
        <v>Americas</v>
      </c>
      <c r="F72" t="s">
        <v>13</v>
      </c>
      <c r="G72" t="s">
        <v>194</v>
      </c>
      <c r="H72" t="s">
        <v>14</v>
      </c>
      <c r="I72" t="s">
        <v>15</v>
      </c>
      <c r="J72" s="11">
        <v>-3500</v>
      </c>
      <c r="K72" s="12">
        <v>-3500</v>
      </c>
      <c r="L72" s="12">
        <v>3500</v>
      </c>
      <c r="M72" s="12">
        <v>-250567.82</v>
      </c>
      <c r="N72" t="s">
        <v>18</v>
      </c>
      <c r="O72" t="s">
        <v>14</v>
      </c>
      <c r="P72" t="s">
        <v>195</v>
      </c>
      <c r="AH72"/>
      <c r="AT72"/>
    </row>
    <row r="73" spans="1:46">
      <c r="A73" t="s">
        <v>12</v>
      </c>
      <c r="B73" s="10">
        <v>44715</v>
      </c>
      <c r="C73" s="10" t="str">
        <f>UPPER(TEXT(B73, "[$-en-US]mmmm"))</f>
        <v>JUNE</v>
      </c>
      <c r="D73" s="41">
        <f>YEAR(B73)</f>
        <v>2022</v>
      </c>
      <c r="E73" s="10" t="str">
        <f>VLOOKUP(A73,Sheet2!A:B,2,0)</f>
        <v>Americas</v>
      </c>
      <c r="F73" t="s">
        <v>13</v>
      </c>
      <c r="G73" t="s">
        <v>196</v>
      </c>
      <c r="H73" t="s">
        <v>14</v>
      </c>
      <c r="I73" t="s">
        <v>15</v>
      </c>
      <c r="J73" s="11">
        <v>-3450.01</v>
      </c>
      <c r="K73" s="12">
        <v>-3450.01</v>
      </c>
      <c r="L73" s="12">
        <v>3450.01</v>
      </c>
      <c r="M73" s="12">
        <v>-3450.01</v>
      </c>
      <c r="N73" t="s">
        <v>197</v>
      </c>
      <c r="O73" t="s">
        <v>14</v>
      </c>
      <c r="P73" t="s">
        <v>198</v>
      </c>
      <c r="AH73"/>
      <c r="AT73"/>
    </row>
    <row r="74" spans="1:46">
      <c r="A74" t="s">
        <v>12</v>
      </c>
      <c r="B74" s="10">
        <v>44778</v>
      </c>
      <c r="C74" s="10" t="str">
        <f>UPPER(TEXT(B74, "[$-en-US]mmmm"))</f>
        <v>AUGUST</v>
      </c>
      <c r="D74" s="41">
        <f>YEAR(B74)</f>
        <v>2022</v>
      </c>
      <c r="E74" s="10" t="str">
        <f>VLOOKUP(A74,Sheet2!A:B,2,0)</f>
        <v>Americas</v>
      </c>
      <c r="F74" t="s">
        <v>13</v>
      </c>
      <c r="G74" t="s">
        <v>199</v>
      </c>
      <c r="H74" t="s">
        <v>14</v>
      </c>
      <c r="I74" t="s">
        <v>15</v>
      </c>
      <c r="J74" s="11">
        <v>-3400</v>
      </c>
      <c r="K74" s="12">
        <v>-3400</v>
      </c>
      <c r="L74" s="12">
        <v>3400</v>
      </c>
      <c r="M74" s="12">
        <v>-3400</v>
      </c>
      <c r="N74" t="s">
        <v>200</v>
      </c>
      <c r="O74" t="s">
        <v>201</v>
      </c>
      <c r="P74" t="s">
        <v>202</v>
      </c>
      <c r="AH74"/>
      <c r="AT74"/>
    </row>
    <row r="75" spans="1:46">
      <c r="A75" t="s">
        <v>12</v>
      </c>
      <c r="B75" s="10">
        <v>44679</v>
      </c>
      <c r="C75" s="10" t="str">
        <f>UPPER(TEXT(B75, "[$-en-US]mmmm"))</f>
        <v>APRIL</v>
      </c>
      <c r="D75" s="41">
        <f>YEAR(B75)</f>
        <v>2022</v>
      </c>
      <c r="E75" s="10" t="str">
        <f>VLOOKUP(A75,Sheet2!A:B,2,0)</f>
        <v>Americas</v>
      </c>
      <c r="F75" t="s">
        <v>13</v>
      </c>
      <c r="G75" t="s">
        <v>203</v>
      </c>
      <c r="H75" t="s">
        <v>1508</v>
      </c>
      <c r="I75" t="s">
        <v>15</v>
      </c>
      <c r="J75" s="11">
        <v>-6750</v>
      </c>
      <c r="K75" s="12">
        <v>-6750</v>
      </c>
      <c r="L75" s="12">
        <v>3375</v>
      </c>
      <c r="M75" s="12">
        <v>-3375</v>
      </c>
      <c r="N75" t="s">
        <v>204</v>
      </c>
      <c r="O75" t="s">
        <v>62</v>
      </c>
      <c r="P75" t="s">
        <v>205</v>
      </c>
      <c r="AH75"/>
      <c r="AT75"/>
    </row>
    <row r="76" spans="1:46">
      <c r="A76" t="s">
        <v>12</v>
      </c>
      <c r="B76" s="10">
        <v>44750</v>
      </c>
      <c r="C76" s="10" t="str">
        <f>UPPER(TEXT(B76, "[$-en-US]mmmm"))</f>
        <v>JULY</v>
      </c>
      <c r="D76" s="41">
        <f>YEAR(B76)</f>
        <v>2022</v>
      </c>
      <c r="E76" s="10" t="str">
        <f>VLOOKUP(A76,Sheet2!A:B,2,0)</f>
        <v>Americas</v>
      </c>
      <c r="F76" t="s">
        <v>13</v>
      </c>
      <c r="G76" t="s">
        <v>206</v>
      </c>
      <c r="H76" t="s">
        <v>14</v>
      </c>
      <c r="I76" t="s">
        <v>15</v>
      </c>
      <c r="J76" s="11">
        <v>-3300</v>
      </c>
      <c r="K76" s="12">
        <v>-3300</v>
      </c>
      <c r="L76" s="12">
        <v>3300</v>
      </c>
      <c r="M76" s="12">
        <v>-3300</v>
      </c>
      <c r="N76" t="s">
        <v>207</v>
      </c>
      <c r="O76" t="s">
        <v>62</v>
      </c>
      <c r="P76" t="s">
        <v>50</v>
      </c>
      <c r="AH76"/>
      <c r="AT76"/>
    </row>
    <row r="77" spans="1:46">
      <c r="A77" t="s">
        <v>12</v>
      </c>
      <c r="B77" s="10">
        <v>46146</v>
      </c>
      <c r="C77" s="10" t="str">
        <f>UPPER(TEXT(B77, "[$-en-US]mmmm"))</f>
        <v>MAY</v>
      </c>
      <c r="D77" s="41">
        <f>YEAR(B77)</f>
        <v>2026</v>
      </c>
      <c r="E77" s="10" t="str">
        <f>VLOOKUP(A77,Sheet2!A:B,2,0)</f>
        <v>Americas</v>
      </c>
      <c r="F77" t="s">
        <v>13</v>
      </c>
      <c r="G77" t="s">
        <v>1744</v>
      </c>
      <c r="H77" t="s">
        <v>14</v>
      </c>
      <c r="I77" t="s">
        <v>15</v>
      </c>
      <c r="J77" s="11">
        <v>-3187.5</v>
      </c>
      <c r="K77" s="12">
        <v>-3187.5</v>
      </c>
      <c r="L77" s="12">
        <v>3187.5</v>
      </c>
      <c r="M77" s="12">
        <v>-3187.5</v>
      </c>
      <c r="N77" t="s">
        <v>1745</v>
      </c>
      <c r="O77" t="s">
        <v>14</v>
      </c>
      <c r="P77" t="s">
        <v>14</v>
      </c>
      <c r="AH77"/>
      <c r="AT77"/>
    </row>
    <row r="78" spans="1:46">
      <c r="A78" t="s">
        <v>12</v>
      </c>
      <c r="B78" s="10">
        <v>44694</v>
      </c>
      <c r="C78" s="10" t="str">
        <f>UPPER(TEXT(B78, "[$-en-US]mmmm"))</f>
        <v>MAY</v>
      </c>
      <c r="D78" s="41">
        <f>YEAR(B78)</f>
        <v>2022</v>
      </c>
      <c r="E78" s="10" t="str">
        <f>VLOOKUP(A78,Sheet2!A:B,2,0)</f>
        <v>Americas</v>
      </c>
      <c r="F78" t="s">
        <v>13</v>
      </c>
      <c r="G78" t="s">
        <v>208</v>
      </c>
      <c r="H78" t="s">
        <v>1509</v>
      </c>
      <c r="I78" t="s">
        <v>15</v>
      </c>
      <c r="J78" s="11">
        <v>-6000</v>
      </c>
      <c r="K78" s="12">
        <v>-6000</v>
      </c>
      <c r="L78" s="12">
        <v>3000</v>
      </c>
      <c r="M78" s="12">
        <v>-3000</v>
      </c>
      <c r="N78" t="s">
        <v>209</v>
      </c>
      <c r="O78" t="s">
        <v>131</v>
      </c>
      <c r="P78" t="s">
        <v>50</v>
      </c>
      <c r="AH78"/>
      <c r="AT78"/>
    </row>
    <row r="79" spans="1:46">
      <c r="A79" t="s">
        <v>12</v>
      </c>
      <c r="B79" s="10">
        <v>45084</v>
      </c>
      <c r="C79" s="10" t="str">
        <f>UPPER(TEXT(B79, "[$-en-US]mmmm"))</f>
        <v>JUNE</v>
      </c>
      <c r="D79" s="41">
        <f>YEAR(B79)</f>
        <v>2023</v>
      </c>
      <c r="E79" s="10" t="str">
        <f>VLOOKUP(A79,Sheet2!A:B,2,0)</f>
        <v>Americas</v>
      </c>
      <c r="F79" t="s">
        <v>13</v>
      </c>
      <c r="G79" t="s">
        <v>210</v>
      </c>
      <c r="H79" t="s">
        <v>14</v>
      </c>
      <c r="I79" t="s">
        <v>15</v>
      </c>
      <c r="J79" s="11">
        <v>-2979</v>
      </c>
      <c r="K79" s="12">
        <v>-2979</v>
      </c>
      <c r="L79" s="12">
        <v>2979</v>
      </c>
      <c r="M79" s="12">
        <v>-250567.82</v>
      </c>
      <c r="N79" t="s">
        <v>18</v>
      </c>
      <c r="O79" t="s">
        <v>14</v>
      </c>
      <c r="P79" t="s">
        <v>211</v>
      </c>
      <c r="AH79"/>
      <c r="AT79"/>
    </row>
    <row r="80" spans="1:46">
      <c r="A80" t="s">
        <v>12</v>
      </c>
      <c r="B80" s="10">
        <v>45883</v>
      </c>
      <c r="C80" s="10" t="str">
        <f>UPPER(TEXT(B80, "[$-en-US]mmmm"))</f>
        <v>AUGUST</v>
      </c>
      <c r="D80" s="41">
        <f>YEAR(B80)</f>
        <v>2025</v>
      </c>
      <c r="E80" s="10" t="str">
        <f>VLOOKUP(A80,Sheet2!A:B,2,0)</f>
        <v>Americas</v>
      </c>
      <c r="F80" t="s">
        <v>13</v>
      </c>
      <c r="G80" t="s">
        <v>212</v>
      </c>
      <c r="H80" t="s">
        <v>1510</v>
      </c>
      <c r="I80" t="s">
        <v>15</v>
      </c>
      <c r="J80" s="11">
        <v>-36131.26</v>
      </c>
      <c r="K80" s="12">
        <v>-36131.26</v>
      </c>
      <c r="L80" s="12">
        <v>2963.26</v>
      </c>
      <c r="M80" s="12">
        <v>-2963.26</v>
      </c>
      <c r="N80" t="s">
        <v>213</v>
      </c>
      <c r="O80" t="s">
        <v>62</v>
      </c>
      <c r="P80" t="s">
        <v>214</v>
      </c>
      <c r="AH80"/>
      <c r="AT80"/>
    </row>
    <row r="81" spans="1:46">
      <c r="A81" t="s">
        <v>12</v>
      </c>
      <c r="B81" s="10">
        <v>45866</v>
      </c>
      <c r="C81" s="10" t="str">
        <f>UPPER(TEXT(B81, "[$-en-US]mmmm"))</f>
        <v>JULY</v>
      </c>
      <c r="D81" s="41">
        <f>YEAR(B81)</f>
        <v>2025</v>
      </c>
      <c r="E81" s="10" t="str">
        <f>VLOOKUP(A81,Sheet2!A:B,2,0)</f>
        <v>Americas</v>
      </c>
      <c r="F81" t="s">
        <v>13</v>
      </c>
      <c r="G81" t="s">
        <v>215</v>
      </c>
      <c r="H81" t="s">
        <v>14</v>
      </c>
      <c r="I81" t="s">
        <v>15</v>
      </c>
      <c r="J81" s="11">
        <v>-2636.66</v>
      </c>
      <c r="K81" s="12">
        <v>-2636.66</v>
      </c>
      <c r="L81" s="12">
        <v>2636.66</v>
      </c>
      <c r="M81" s="12">
        <v>-2636.66</v>
      </c>
      <c r="N81" t="s">
        <v>216</v>
      </c>
      <c r="O81" t="s">
        <v>14</v>
      </c>
      <c r="P81" t="s">
        <v>14</v>
      </c>
      <c r="AH81"/>
      <c r="AT81"/>
    </row>
    <row r="82" spans="1:46">
      <c r="A82" t="s">
        <v>12</v>
      </c>
      <c r="B82" s="10">
        <v>45884</v>
      </c>
      <c r="C82" s="10" t="str">
        <f>UPPER(TEXT(B82, "[$-en-US]mmmm"))</f>
        <v>AUGUST</v>
      </c>
      <c r="D82" s="41">
        <f>YEAR(B82)</f>
        <v>2025</v>
      </c>
      <c r="E82" s="10" t="str">
        <f>VLOOKUP(A82,Sheet2!A:B,2,0)</f>
        <v>Americas</v>
      </c>
      <c r="F82" t="s">
        <v>13</v>
      </c>
      <c r="G82" t="s">
        <v>217</v>
      </c>
      <c r="H82" t="s">
        <v>14</v>
      </c>
      <c r="I82" t="s">
        <v>15</v>
      </c>
      <c r="J82" s="11">
        <v>-2625</v>
      </c>
      <c r="K82" s="12">
        <v>-2625</v>
      </c>
      <c r="L82" s="12">
        <v>2625</v>
      </c>
      <c r="M82" s="12">
        <v>-2625</v>
      </c>
      <c r="N82" t="s">
        <v>218</v>
      </c>
      <c r="O82" t="s">
        <v>14</v>
      </c>
      <c r="P82" t="s">
        <v>219</v>
      </c>
      <c r="AH82"/>
      <c r="AT82"/>
    </row>
    <row r="83" spans="1:46">
      <c r="A83" t="s">
        <v>12</v>
      </c>
      <c r="B83" s="10">
        <v>44992</v>
      </c>
      <c r="C83" s="10" t="str">
        <f>UPPER(TEXT(B83, "[$-en-US]mmmm"))</f>
        <v>MARCH</v>
      </c>
      <c r="D83" s="41">
        <f>YEAR(B83)</f>
        <v>2023</v>
      </c>
      <c r="E83" s="10" t="str">
        <f>VLOOKUP(A83,Sheet2!A:B,2,0)</f>
        <v>Americas</v>
      </c>
      <c r="F83" t="s">
        <v>13</v>
      </c>
      <c r="G83" t="s">
        <v>220</v>
      </c>
      <c r="H83" t="s">
        <v>14</v>
      </c>
      <c r="I83" t="s">
        <v>15</v>
      </c>
      <c r="J83" s="11">
        <v>-2550</v>
      </c>
      <c r="K83" s="12">
        <v>-2550</v>
      </c>
      <c r="L83" s="12">
        <v>2550</v>
      </c>
      <c r="M83" s="12">
        <v>-250567.82</v>
      </c>
      <c r="N83" t="s">
        <v>18</v>
      </c>
      <c r="O83" t="s">
        <v>14</v>
      </c>
      <c r="P83" t="s">
        <v>221</v>
      </c>
      <c r="AH83"/>
      <c r="AT83"/>
    </row>
    <row r="84" spans="1:46">
      <c r="A84" t="s">
        <v>12</v>
      </c>
      <c r="B84" s="10">
        <v>44733</v>
      </c>
      <c r="C84" s="10" t="str">
        <f>UPPER(TEXT(B84, "[$-en-US]mmmm"))</f>
        <v>JUNE</v>
      </c>
      <c r="D84" s="41">
        <f>YEAR(B84)</f>
        <v>2022</v>
      </c>
      <c r="E84" s="10" t="str">
        <f>VLOOKUP(A84,Sheet2!A:B,2,0)</f>
        <v>Americas</v>
      </c>
      <c r="F84" t="s">
        <v>13</v>
      </c>
      <c r="G84" t="s">
        <v>222</v>
      </c>
      <c r="H84" t="s">
        <v>14</v>
      </c>
      <c r="I84" t="s">
        <v>15</v>
      </c>
      <c r="J84" s="11">
        <v>-2425</v>
      </c>
      <c r="K84" s="12">
        <v>-2425</v>
      </c>
      <c r="L84" s="12">
        <v>2425</v>
      </c>
      <c r="M84" s="12">
        <v>-2425</v>
      </c>
      <c r="N84" t="s">
        <v>223</v>
      </c>
      <c r="O84" t="s">
        <v>14</v>
      </c>
      <c r="P84" t="s">
        <v>50</v>
      </c>
      <c r="AH84"/>
      <c r="AT84"/>
    </row>
    <row r="85" spans="1:46">
      <c r="A85" t="s">
        <v>12</v>
      </c>
      <c r="B85" s="10">
        <v>45933</v>
      </c>
      <c r="C85" s="10" t="str">
        <f>UPPER(TEXT(B85, "[$-en-US]mmmm"))</f>
        <v>OCTOBER</v>
      </c>
      <c r="D85" s="41">
        <f>YEAR(B85)</f>
        <v>2025</v>
      </c>
      <c r="E85" s="10" t="str">
        <f>VLOOKUP(A85,Sheet2!A:B,2,0)</f>
        <v>Americas</v>
      </c>
      <c r="F85" t="s">
        <v>13</v>
      </c>
      <c r="G85" t="s">
        <v>224</v>
      </c>
      <c r="H85" t="s">
        <v>1511</v>
      </c>
      <c r="I85" t="s">
        <v>15</v>
      </c>
      <c r="J85" s="11">
        <v>-2500</v>
      </c>
      <c r="K85" s="12">
        <v>-2500</v>
      </c>
      <c r="L85" s="12">
        <v>2300</v>
      </c>
      <c r="M85" s="12">
        <v>-2300</v>
      </c>
      <c r="N85" t="s">
        <v>225</v>
      </c>
      <c r="O85" t="s">
        <v>14</v>
      </c>
      <c r="P85" t="s">
        <v>226</v>
      </c>
      <c r="AH85"/>
      <c r="AT85"/>
    </row>
    <row r="86" spans="1:46">
      <c r="A86" t="s">
        <v>12</v>
      </c>
      <c r="B86" s="10">
        <v>45209</v>
      </c>
      <c r="C86" s="10" t="str">
        <f>UPPER(TEXT(B86, "[$-en-US]mmmm"))</f>
        <v>OCTOBER</v>
      </c>
      <c r="D86" s="41">
        <f>YEAR(B86)</f>
        <v>2023</v>
      </c>
      <c r="E86" s="10" t="str">
        <f>VLOOKUP(A86,Sheet2!A:B,2,0)</f>
        <v>Americas</v>
      </c>
      <c r="F86" t="s">
        <v>13</v>
      </c>
      <c r="G86" t="s">
        <v>227</v>
      </c>
      <c r="H86" t="s">
        <v>1512</v>
      </c>
      <c r="I86" t="s">
        <v>15</v>
      </c>
      <c r="J86" s="11">
        <v>-6360.82</v>
      </c>
      <c r="K86" s="12">
        <v>-6360.82</v>
      </c>
      <c r="L86" s="12">
        <v>2259.39</v>
      </c>
      <c r="M86" s="12">
        <v>-2259.39</v>
      </c>
      <c r="N86" t="s">
        <v>228</v>
      </c>
      <c r="O86" t="s">
        <v>14</v>
      </c>
      <c r="P86" t="s">
        <v>50</v>
      </c>
      <c r="AH86"/>
      <c r="AT86"/>
    </row>
    <row r="87" spans="1:46">
      <c r="A87" t="s">
        <v>12</v>
      </c>
      <c r="B87" s="10">
        <v>45202</v>
      </c>
      <c r="C87" s="10" t="str">
        <f>UPPER(TEXT(B87, "[$-en-US]mmmm"))</f>
        <v>OCTOBER</v>
      </c>
      <c r="D87" s="41">
        <f>YEAR(B87)</f>
        <v>2023</v>
      </c>
      <c r="E87" s="10" t="str">
        <f>VLOOKUP(A87,Sheet2!A:B,2,0)</f>
        <v>Americas</v>
      </c>
      <c r="F87" t="s">
        <v>13</v>
      </c>
      <c r="G87" t="s">
        <v>229</v>
      </c>
      <c r="H87" t="s">
        <v>14</v>
      </c>
      <c r="I87" t="s">
        <v>15</v>
      </c>
      <c r="J87" s="11">
        <v>-2177.5100000000002</v>
      </c>
      <c r="K87" s="12">
        <v>-2177.5100000000002</v>
      </c>
      <c r="L87" s="12">
        <v>2177.5100000000002</v>
      </c>
      <c r="M87" s="12">
        <v>-2177.5100000000002</v>
      </c>
      <c r="N87" t="s">
        <v>230</v>
      </c>
      <c r="O87" t="s">
        <v>151</v>
      </c>
      <c r="P87" t="s">
        <v>231</v>
      </c>
      <c r="AH87"/>
      <c r="AT87"/>
    </row>
    <row r="88" spans="1:46">
      <c r="A88" t="s">
        <v>12</v>
      </c>
      <c r="B88" s="10">
        <v>46098</v>
      </c>
      <c r="C88" s="10" t="str">
        <f>UPPER(TEXT(B88, "[$-en-US]mmmm"))</f>
        <v>MARCH</v>
      </c>
      <c r="D88" s="41">
        <f>YEAR(B88)</f>
        <v>2026</v>
      </c>
      <c r="E88" s="10" t="str">
        <f>VLOOKUP(A88,Sheet2!A:B,2,0)</f>
        <v>Americas</v>
      </c>
      <c r="F88" t="s">
        <v>13</v>
      </c>
      <c r="G88" t="s">
        <v>232</v>
      </c>
      <c r="H88" t="s">
        <v>14</v>
      </c>
      <c r="I88" t="s">
        <v>15</v>
      </c>
      <c r="J88" s="11">
        <v>-2150</v>
      </c>
      <c r="K88" s="12">
        <v>-2150</v>
      </c>
      <c r="L88" s="12">
        <v>2150</v>
      </c>
      <c r="M88" s="12">
        <v>-250567.82</v>
      </c>
      <c r="N88" t="s">
        <v>18</v>
      </c>
      <c r="O88" t="s">
        <v>14</v>
      </c>
      <c r="P88" t="s">
        <v>233</v>
      </c>
      <c r="AH88"/>
      <c r="AT88"/>
    </row>
    <row r="89" spans="1:46">
      <c r="A89" t="s">
        <v>12</v>
      </c>
      <c r="B89" s="10">
        <v>44869</v>
      </c>
      <c r="C89" s="10" t="str">
        <f>UPPER(TEXT(B89, "[$-en-US]mmmm"))</f>
        <v>NOVEMBER</v>
      </c>
      <c r="D89" s="41">
        <f>YEAR(B89)</f>
        <v>2022</v>
      </c>
      <c r="E89" s="10" t="str">
        <f>VLOOKUP(A89,Sheet2!A:B,2,0)</f>
        <v>Americas</v>
      </c>
      <c r="F89" t="s">
        <v>13</v>
      </c>
      <c r="G89" t="s">
        <v>234</v>
      </c>
      <c r="H89" t="s">
        <v>14</v>
      </c>
      <c r="I89" t="s">
        <v>15</v>
      </c>
      <c r="J89" s="11">
        <v>-2085</v>
      </c>
      <c r="K89" s="12">
        <v>-2085</v>
      </c>
      <c r="L89" s="12">
        <v>2085</v>
      </c>
      <c r="M89" s="12">
        <v>-250567.82</v>
      </c>
      <c r="N89" t="s">
        <v>18</v>
      </c>
      <c r="O89" t="s">
        <v>14</v>
      </c>
      <c r="P89" t="s">
        <v>235</v>
      </c>
      <c r="AH89"/>
      <c r="AT89"/>
    </row>
    <row r="90" spans="1:46">
      <c r="A90" t="s">
        <v>12</v>
      </c>
      <c r="B90" s="10">
        <v>44848</v>
      </c>
      <c r="C90" s="10" t="str">
        <f>UPPER(TEXT(B90, "[$-en-US]mmmm"))</f>
        <v>OCTOBER</v>
      </c>
      <c r="D90" s="41">
        <f>YEAR(B90)</f>
        <v>2022</v>
      </c>
      <c r="E90" s="10" t="str">
        <f>VLOOKUP(A90,Sheet2!A:B,2,0)</f>
        <v>Americas</v>
      </c>
      <c r="F90" t="s">
        <v>13</v>
      </c>
      <c r="G90" t="s">
        <v>236</v>
      </c>
      <c r="H90" t="s">
        <v>14</v>
      </c>
      <c r="I90" t="s">
        <v>15</v>
      </c>
      <c r="J90" s="11">
        <v>-2032.49</v>
      </c>
      <c r="K90" s="12">
        <v>-2032.49</v>
      </c>
      <c r="L90" s="12">
        <v>2032.49</v>
      </c>
      <c r="M90" s="12">
        <v>-2032.49</v>
      </c>
      <c r="N90" t="s">
        <v>237</v>
      </c>
      <c r="O90" t="s">
        <v>14</v>
      </c>
      <c r="P90" t="s">
        <v>50</v>
      </c>
      <c r="AH90"/>
      <c r="AT90"/>
    </row>
    <row r="91" spans="1:46">
      <c r="A91" t="s">
        <v>12</v>
      </c>
      <c r="B91" s="10">
        <v>45194</v>
      </c>
      <c r="C91" s="10" t="str">
        <f>UPPER(TEXT(B91, "[$-en-US]mmmm"))</f>
        <v>SEPTEMBER</v>
      </c>
      <c r="D91" s="41">
        <f>YEAR(B91)</f>
        <v>2023</v>
      </c>
      <c r="E91" s="10" t="str">
        <f>VLOOKUP(A91,Sheet2!A:B,2,0)</f>
        <v>Americas</v>
      </c>
      <c r="F91" t="s">
        <v>13</v>
      </c>
      <c r="G91" t="s">
        <v>238</v>
      </c>
      <c r="H91" t="s">
        <v>1513</v>
      </c>
      <c r="I91" t="s">
        <v>15</v>
      </c>
      <c r="J91" s="11">
        <v>-4000</v>
      </c>
      <c r="K91" s="12">
        <v>-4000</v>
      </c>
      <c r="L91" s="12">
        <v>2000</v>
      </c>
      <c r="M91" s="12">
        <v>-2000</v>
      </c>
      <c r="N91" t="s">
        <v>239</v>
      </c>
      <c r="O91" t="s">
        <v>14</v>
      </c>
      <c r="P91" t="s">
        <v>240</v>
      </c>
      <c r="AH91"/>
      <c r="AT91"/>
    </row>
    <row r="92" spans="1:46">
      <c r="A92" t="s">
        <v>12</v>
      </c>
      <c r="B92" s="10">
        <v>45593</v>
      </c>
      <c r="C92" s="10" t="str">
        <f>UPPER(TEXT(B92, "[$-en-US]mmmm"))</f>
        <v>OCTOBER</v>
      </c>
      <c r="D92" s="41">
        <f>YEAR(B92)</f>
        <v>2024</v>
      </c>
      <c r="E92" s="10" t="str">
        <f>VLOOKUP(A92,Sheet2!A:B,2,0)</f>
        <v>Americas</v>
      </c>
      <c r="F92" t="s">
        <v>13</v>
      </c>
      <c r="G92" t="s">
        <v>241</v>
      </c>
      <c r="H92" t="s">
        <v>1514</v>
      </c>
      <c r="I92" t="s">
        <v>15</v>
      </c>
      <c r="J92" s="11">
        <v>-22000</v>
      </c>
      <c r="K92" s="12">
        <v>-22000</v>
      </c>
      <c r="L92" s="12">
        <v>2000</v>
      </c>
      <c r="M92" s="12">
        <v>-2000</v>
      </c>
      <c r="N92" t="s">
        <v>242</v>
      </c>
      <c r="O92" t="s">
        <v>14</v>
      </c>
      <c r="P92" t="s">
        <v>243</v>
      </c>
      <c r="AH92"/>
      <c r="AT92"/>
    </row>
    <row r="93" spans="1:46">
      <c r="A93" t="s">
        <v>12</v>
      </c>
      <c r="B93" s="10">
        <v>44872</v>
      </c>
      <c r="C93" s="10" t="str">
        <f>UPPER(TEXT(B93, "[$-en-US]mmmm"))</f>
        <v>NOVEMBER</v>
      </c>
      <c r="D93" s="41">
        <f>YEAR(B93)</f>
        <v>2022</v>
      </c>
      <c r="E93" s="10" t="str">
        <f>VLOOKUP(A93,Sheet2!A:B,2,0)</f>
        <v>Americas</v>
      </c>
      <c r="F93" t="s">
        <v>13</v>
      </c>
      <c r="G93" t="s">
        <v>244</v>
      </c>
      <c r="H93" t="s">
        <v>14</v>
      </c>
      <c r="I93" t="s">
        <v>15</v>
      </c>
      <c r="J93" s="11">
        <v>-1800</v>
      </c>
      <c r="K93" s="12">
        <v>-1800</v>
      </c>
      <c r="L93" s="12">
        <v>1800</v>
      </c>
      <c r="M93" s="12">
        <v>-1800</v>
      </c>
      <c r="N93" t="s">
        <v>245</v>
      </c>
      <c r="O93" t="s">
        <v>104</v>
      </c>
      <c r="P93" t="s">
        <v>246</v>
      </c>
      <c r="AH93"/>
      <c r="AT93"/>
    </row>
    <row r="94" spans="1:46">
      <c r="A94" t="s">
        <v>12</v>
      </c>
      <c r="B94" s="10">
        <v>46003</v>
      </c>
      <c r="C94" s="10" t="str">
        <f>UPPER(TEXT(B94, "[$-en-US]mmmm"))</f>
        <v>DECEMBER</v>
      </c>
      <c r="D94" s="41">
        <f>YEAR(B94)</f>
        <v>2025</v>
      </c>
      <c r="E94" s="10" t="str">
        <f>VLOOKUP(A94,Sheet2!A:B,2,0)</f>
        <v>Americas</v>
      </c>
      <c r="F94" t="s">
        <v>13</v>
      </c>
      <c r="G94" t="s">
        <v>247</v>
      </c>
      <c r="H94" t="s">
        <v>14</v>
      </c>
      <c r="I94" t="s">
        <v>15</v>
      </c>
      <c r="J94" s="11">
        <v>-1750</v>
      </c>
      <c r="K94" s="12">
        <v>-1750</v>
      </c>
      <c r="L94" s="12">
        <v>1750</v>
      </c>
      <c r="M94" s="12">
        <v>-250567.82</v>
      </c>
      <c r="N94" t="s">
        <v>18</v>
      </c>
      <c r="O94" t="s">
        <v>14</v>
      </c>
      <c r="P94" t="s">
        <v>248</v>
      </c>
      <c r="AH94"/>
      <c r="AT94"/>
    </row>
    <row r="95" spans="1:46">
      <c r="A95" t="s">
        <v>12</v>
      </c>
      <c r="B95" s="10">
        <v>44862</v>
      </c>
      <c r="C95" s="10" t="str">
        <f>UPPER(TEXT(B95, "[$-en-US]mmmm"))</f>
        <v>OCTOBER</v>
      </c>
      <c r="D95" s="41">
        <f>YEAR(B95)</f>
        <v>2022</v>
      </c>
      <c r="E95" s="10" t="str">
        <f>VLOOKUP(A95,Sheet2!A:B,2,0)</f>
        <v>Americas</v>
      </c>
      <c r="F95" t="s">
        <v>13</v>
      </c>
      <c r="G95" t="s">
        <v>249</v>
      </c>
      <c r="H95" t="s">
        <v>14</v>
      </c>
      <c r="I95" t="s">
        <v>15</v>
      </c>
      <c r="J95" s="11">
        <v>-1500</v>
      </c>
      <c r="K95" s="12">
        <v>-1500</v>
      </c>
      <c r="L95" s="12">
        <v>1500</v>
      </c>
      <c r="M95" s="12">
        <v>-250567.82</v>
      </c>
      <c r="N95" t="s">
        <v>18</v>
      </c>
      <c r="O95" t="s">
        <v>14</v>
      </c>
      <c r="P95" t="s">
        <v>250</v>
      </c>
      <c r="AH95"/>
      <c r="AT95"/>
    </row>
    <row r="96" spans="1:46">
      <c r="A96" t="s">
        <v>12</v>
      </c>
      <c r="B96" s="10">
        <v>45960</v>
      </c>
      <c r="C96" s="10" t="str">
        <f>UPPER(TEXT(B96, "[$-en-US]mmmm"))</f>
        <v>OCTOBER</v>
      </c>
      <c r="D96" s="41">
        <f>YEAR(B96)</f>
        <v>2025</v>
      </c>
      <c r="E96" s="10" t="str">
        <f>VLOOKUP(A96,Sheet2!A:B,2,0)</f>
        <v>Americas</v>
      </c>
      <c r="F96" t="s">
        <v>13</v>
      </c>
      <c r="G96" t="s">
        <v>251</v>
      </c>
      <c r="H96" t="s">
        <v>14</v>
      </c>
      <c r="I96" t="s">
        <v>15</v>
      </c>
      <c r="J96" s="11">
        <v>-1500</v>
      </c>
      <c r="K96" s="12">
        <v>-1500</v>
      </c>
      <c r="L96" s="12">
        <v>1500</v>
      </c>
      <c r="M96" s="12">
        <v>-1500</v>
      </c>
      <c r="N96" t="s">
        <v>252</v>
      </c>
      <c r="O96" t="s">
        <v>88</v>
      </c>
      <c r="P96" t="s">
        <v>253</v>
      </c>
      <c r="AH96"/>
      <c r="AT96"/>
    </row>
    <row r="97" spans="1:46">
      <c r="A97" t="s">
        <v>12</v>
      </c>
      <c r="B97" s="10">
        <v>46038</v>
      </c>
      <c r="C97" s="10" t="str">
        <f>UPPER(TEXT(B97, "[$-en-US]mmmm"))</f>
        <v>JANUARY</v>
      </c>
      <c r="D97" s="41">
        <f>YEAR(B97)</f>
        <v>2026</v>
      </c>
      <c r="E97" s="10" t="str">
        <f>VLOOKUP(A97,Sheet2!A:B,2,0)</f>
        <v>Americas</v>
      </c>
      <c r="F97" t="s">
        <v>13</v>
      </c>
      <c r="G97" t="s">
        <v>254</v>
      </c>
      <c r="H97" t="s">
        <v>14</v>
      </c>
      <c r="I97" t="s">
        <v>15</v>
      </c>
      <c r="J97" s="11">
        <v>-1498.72</v>
      </c>
      <c r="K97" s="12">
        <v>-1498.72</v>
      </c>
      <c r="L97" s="12">
        <v>1498.72</v>
      </c>
      <c r="M97" s="12">
        <v>-1498.72</v>
      </c>
      <c r="N97" t="s">
        <v>255</v>
      </c>
      <c r="O97" t="s">
        <v>14</v>
      </c>
      <c r="P97" t="s">
        <v>256</v>
      </c>
      <c r="AH97"/>
      <c r="AT97"/>
    </row>
    <row r="98" spans="1:46">
      <c r="A98" t="s">
        <v>12</v>
      </c>
      <c r="B98" s="10">
        <v>46143</v>
      </c>
      <c r="C98" s="10" t="str">
        <f>UPPER(TEXT(B98, "[$-en-US]mmmm"))</f>
        <v>MAY</v>
      </c>
      <c r="D98" s="41">
        <f>YEAR(B98)</f>
        <v>2026</v>
      </c>
      <c r="E98" s="10" t="str">
        <f>VLOOKUP(A98,Sheet2!A:B,2,0)</f>
        <v>Americas</v>
      </c>
      <c r="F98" t="s">
        <v>13</v>
      </c>
      <c r="G98" t="s">
        <v>1746</v>
      </c>
      <c r="H98" t="s">
        <v>14</v>
      </c>
      <c r="I98" t="s">
        <v>15</v>
      </c>
      <c r="J98" s="11">
        <v>-1450</v>
      </c>
      <c r="K98" s="12">
        <v>-1450</v>
      </c>
      <c r="L98" s="12">
        <v>1450</v>
      </c>
      <c r="M98" s="12">
        <v>-1450</v>
      </c>
      <c r="N98" t="s">
        <v>16</v>
      </c>
      <c r="O98" t="s">
        <v>14</v>
      </c>
      <c r="P98" t="s">
        <v>14</v>
      </c>
      <c r="AH98"/>
      <c r="AT98"/>
    </row>
    <row r="99" spans="1:46">
      <c r="A99" t="s">
        <v>12</v>
      </c>
      <c r="B99" s="10">
        <v>45533</v>
      </c>
      <c r="C99" s="10" t="str">
        <f>UPPER(TEXT(B99, "[$-en-US]mmmm"))</f>
        <v>AUGUST</v>
      </c>
      <c r="D99" s="41">
        <f>YEAR(B99)</f>
        <v>2024</v>
      </c>
      <c r="E99" s="10" t="str">
        <f>VLOOKUP(A99,Sheet2!A:B,2,0)</f>
        <v>Americas</v>
      </c>
      <c r="F99" t="s">
        <v>13</v>
      </c>
      <c r="G99" t="s">
        <v>257</v>
      </c>
      <c r="H99" t="s">
        <v>14</v>
      </c>
      <c r="I99" t="s">
        <v>15</v>
      </c>
      <c r="J99" s="11">
        <v>-1379.91</v>
      </c>
      <c r="K99" s="12">
        <v>-1379.91</v>
      </c>
      <c r="L99" s="12">
        <v>1379.91</v>
      </c>
      <c r="M99" s="12">
        <v>-250567.82</v>
      </c>
      <c r="N99" t="s">
        <v>18</v>
      </c>
      <c r="O99" t="s">
        <v>14</v>
      </c>
      <c r="P99" t="s">
        <v>258</v>
      </c>
      <c r="AH99"/>
      <c r="AT99"/>
    </row>
    <row r="100" spans="1:46">
      <c r="A100" t="s">
        <v>12</v>
      </c>
      <c r="B100" s="10">
        <v>46080</v>
      </c>
      <c r="C100" s="10" t="str">
        <f>UPPER(TEXT(B100, "[$-en-US]mmmm"))</f>
        <v>FEBRUARY</v>
      </c>
      <c r="D100" s="41">
        <f>YEAR(B100)</f>
        <v>2026</v>
      </c>
      <c r="E100" s="10" t="str">
        <f>VLOOKUP(A100,Sheet2!A:B,2,0)</f>
        <v>Americas</v>
      </c>
      <c r="F100" t="s">
        <v>13</v>
      </c>
      <c r="G100" t="s">
        <v>259</v>
      </c>
      <c r="H100" t="s">
        <v>1515</v>
      </c>
      <c r="I100" t="s">
        <v>15</v>
      </c>
      <c r="J100" s="11">
        <v>-46120.26</v>
      </c>
      <c r="K100" s="12">
        <v>-46120.26</v>
      </c>
      <c r="L100" s="12">
        <v>1320.26</v>
      </c>
      <c r="M100" s="12">
        <v>-1320.26</v>
      </c>
      <c r="N100" t="s">
        <v>260</v>
      </c>
      <c r="O100" t="s">
        <v>14</v>
      </c>
      <c r="P100" t="s">
        <v>261</v>
      </c>
      <c r="AH100"/>
      <c r="AT100"/>
    </row>
    <row r="101" spans="1:46">
      <c r="A101" t="s">
        <v>12</v>
      </c>
      <c r="B101" s="10">
        <v>45950</v>
      </c>
      <c r="C101" s="10" t="str">
        <f>UPPER(TEXT(B101, "[$-en-US]mmmm"))</f>
        <v>OCTOBER</v>
      </c>
      <c r="D101" s="41">
        <f>YEAR(B101)</f>
        <v>2025</v>
      </c>
      <c r="E101" s="10" t="str">
        <f>VLOOKUP(A101,Sheet2!A:B,2,0)</f>
        <v>Americas</v>
      </c>
      <c r="F101" t="s">
        <v>13</v>
      </c>
      <c r="G101" t="s">
        <v>262</v>
      </c>
      <c r="H101" t="s">
        <v>14</v>
      </c>
      <c r="I101" t="s">
        <v>15</v>
      </c>
      <c r="J101" s="11">
        <v>-1250</v>
      </c>
      <c r="K101" s="12">
        <v>-1250</v>
      </c>
      <c r="L101" s="12">
        <v>1250</v>
      </c>
      <c r="M101" s="12">
        <v>-1250</v>
      </c>
      <c r="N101" t="s">
        <v>263</v>
      </c>
      <c r="O101" t="s">
        <v>14</v>
      </c>
      <c r="P101" t="s">
        <v>14</v>
      </c>
      <c r="AH101"/>
      <c r="AT101"/>
    </row>
    <row r="102" spans="1:46">
      <c r="A102" t="s">
        <v>12</v>
      </c>
      <c r="B102" s="10">
        <v>44893</v>
      </c>
      <c r="C102" s="10" t="str">
        <f>UPPER(TEXT(B102, "[$-en-US]mmmm"))</f>
        <v>NOVEMBER</v>
      </c>
      <c r="D102" s="41">
        <f>YEAR(B102)</f>
        <v>2022</v>
      </c>
      <c r="E102" s="10" t="str">
        <f>VLOOKUP(A102,Sheet2!A:B,2,0)</f>
        <v>Americas</v>
      </c>
      <c r="F102" t="s">
        <v>13</v>
      </c>
      <c r="G102" t="s">
        <v>264</v>
      </c>
      <c r="H102" t="s">
        <v>14</v>
      </c>
      <c r="I102" t="s">
        <v>15</v>
      </c>
      <c r="J102" s="11">
        <v>-1200</v>
      </c>
      <c r="K102" s="12">
        <v>-1200</v>
      </c>
      <c r="L102" s="12">
        <v>1200</v>
      </c>
      <c r="M102" s="12">
        <v>-1200</v>
      </c>
      <c r="N102" t="s">
        <v>265</v>
      </c>
      <c r="O102" t="s">
        <v>14</v>
      </c>
      <c r="P102" t="s">
        <v>50</v>
      </c>
      <c r="AH102"/>
      <c r="AT102"/>
    </row>
    <row r="103" spans="1:46">
      <c r="A103" t="s">
        <v>12</v>
      </c>
      <c r="B103" s="10">
        <v>45021</v>
      </c>
      <c r="C103" s="10" t="str">
        <f>UPPER(TEXT(B103, "[$-en-US]mmmm"))</f>
        <v>APRIL</v>
      </c>
      <c r="D103" s="41">
        <f>YEAR(B103)</f>
        <v>2023</v>
      </c>
      <c r="E103" s="10" t="str">
        <f>VLOOKUP(A103,Sheet2!A:B,2,0)</f>
        <v>Americas</v>
      </c>
      <c r="F103" t="s">
        <v>13</v>
      </c>
      <c r="G103" t="s">
        <v>266</v>
      </c>
      <c r="H103" t="s">
        <v>1516</v>
      </c>
      <c r="I103" t="s">
        <v>15</v>
      </c>
      <c r="J103" s="11">
        <v>-4549</v>
      </c>
      <c r="K103" s="12">
        <v>-4549</v>
      </c>
      <c r="L103" s="12">
        <v>1000</v>
      </c>
      <c r="M103" s="12">
        <v>-1000</v>
      </c>
      <c r="N103" t="s">
        <v>267</v>
      </c>
      <c r="O103" t="s">
        <v>14</v>
      </c>
      <c r="P103" t="s">
        <v>268</v>
      </c>
      <c r="AH103"/>
      <c r="AT103"/>
    </row>
    <row r="104" spans="1:46">
      <c r="A104" t="s">
        <v>12</v>
      </c>
      <c r="B104" s="10">
        <v>44978</v>
      </c>
      <c r="C104" s="10" t="str">
        <f>UPPER(TEXT(B104, "[$-en-US]mmmm"))</f>
        <v>FEBRUARY</v>
      </c>
      <c r="D104" s="41">
        <f>YEAR(B104)</f>
        <v>2023</v>
      </c>
      <c r="E104" s="10" t="str">
        <f>VLOOKUP(A104,Sheet2!A:B,2,0)</f>
        <v>Americas</v>
      </c>
      <c r="F104" t="s">
        <v>13</v>
      </c>
      <c r="G104" t="s">
        <v>269</v>
      </c>
      <c r="H104" t="s">
        <v>14</v>
      </c>
      <c r="I104" t="s">
        <v>15</v>
      </c>
      <c r="J104" s="11">
        <v>-970.92</v>
      </c>
      <c r="K104" s="12">
        <v>-970.92</v>
      </c>
      <c r="L104" s="12">
        <v>970.92</v>
      </c>
      <c r="M104" s="12">
        <v>2004.08</v>
      </c>
      <c r="N104" t="s">
        <v>270</v>
      </c>
      <c r="O104" t="s">
        <v>14</v>
      </c>
      <c r="P104" t="s">
        <v>50</v>
      </c>
      <c r="AH104"/>
      <c r="AT104"/>
    </row>
    <row r="105" spans="1:46">
      <c r="A105" t="s">
        <v>12</v>
      </c>
      <c r="B105" s="10">
        <v>44970</v>
      </c>
      <c r="C105" s="10" t="str">
        <f>UPPER(TEXT(B105, "[$-en-US]mmmm"))</f>
        <v>FEBRUARY</v>
      </c>
      <c r="D105" s="41">
        <f>YEAR(B105)</f>
        <v>2023</v>
      </c>
      <c r="E105" s="10" t="str">
        <f>VLOOKUP(A105,Sheet2!A:B,2,0)</f>
        <v>Americas</v>
      </c>
      <c r="F105" t="s">
        <v>13</v>
      </c>
      <c r="G105" t="s">
        <v>271</v>
      </c>
      <c r="H105" t="s">
        <v>14</v>
      </c>
      <c r="I105" t="s">
        <v>15</v>
      </c>
      <c r="J105" s="11">
        <v>-958.69</v>
      </c>
      <c r="K105" s="12">
        <v>-958.69</v>
      </c>
      <c r="L105" s="12">
        <v>958.69</v>
      </c>
      <c r="M105" s="12">
        <v>-958.69</v>
      </c>
      <c r="N105" t="s">
        <v>272</v>
      </c>
      <c r="O105" t="s">
        <v>14</v>
      </c>
      <c r="P105" t="s">
        <v>50</v>
      </c>
      <c r="AH105"/>
      <c r="AT105"/>
    </row>
    <row r="106" spans="1:46">
      <c r="A106" t="s">
        <v>12</v>
      </c>
      <c r="B106" s="10">
        <v>44988</v>
      </c>
      <c r="C106" s="10" t="str">
        <f>UPPER(TEXT(B106, "[$-en-US]mmmm"))</f>
        <v>MARCH</v>
      </c>
      <c r="D106" s="41">
        <f>YEAR(B106)</f>
        <v>2023</v>
      </c>
      <c r="E106" s="10" t="str">
        <f>VLOOKUP(A106,Sheet2!A:B,2,0)</f>
        <v>Americas</v>
      </c>
      <c r="F106" t="s">
        <v>13</v>
      </c>
      <c r="G106" t="s">
        <v>273</v>
      </c>
      <c r="H106" t="s">
        <v>1517</v>
      </c>
      <c r="I106" t="s">
        <v>15</v>
      </c>
      <c r="J106" s="11">
        <v>-11900</v>
      </c>
      <c r="K106" s="12">
        <v>-11900</v>
      </c>
      <c r="L106" s="12">
        <v>900</v>
      </c>
      <c r="M106" s="12">
        <v>11475</v>
      </c>
      <c r="N106" t="s">
        <v>274</v>
      </c>
      <c r="O106" t="s">
        <v>14</v>
      </c>
      <c r="P106" t="s">
        <v>275</v>
      </c>
      <c r="AH106"/>
      <c r="AT106"/>
    </row>
    <row r="107" spans="1:46">
      <c r="A107" t="s">
        <v>12</v>
      </c>
      <c r="B107" s="10">
        <v>45848</v>
      </c>
      <c r="C107" s="10" t="str">
        <f>UPPER(TEXT(B107, "[$-en-US]mmmm"))</f>
        <v>JULY</v>
      </c>
      <c r="D107" s="41">
        <f>YEAR(B107)</f>
        <v>2025</v>
      </c>
      <c r="E107" s="10" t="str">
        <f>VLOOKUP(A107,Sheet2!A:B,2,0)</f>
        <v>Americas</v>
      </c>
      <c r="F107" t="s">
        <v>13</v>
      </c>
      <c r="G107" t="s">
        <v>276</v>
      </c>
      <c r="H107" t="s">
        <v>14</v>
      </c>
      <c r="I107" t="s">
        <v>15</v>
      </c>
      <c r="J107" s="11">
        <v>-881.54</v>
      </c>
      <c r="K107" s="12">
        <v>-881.54</v>
      </c>
      <c r="L107" s="12">
        <v>881.54</v>
      </c>
      <c r="M107" s="12">
        <v>-2065</v>
      </c>
      <c r="N107" t="s">
        <v>277</v>
      </c>
      <c r="O107" t="s">
        <v>14</v>
      </c>
      <c r="P107" t="s">
        <v>278</v>
      </c>
      <c r="AH107"/>
      <c r="AT107"/>
    </row>
    <row r="108" spans="1:46">
      <c r="A108" t="s">
        <v>12</v>
      </c>
      <c r="B108" s="10">
        <v>44974</v>
      </c>
      <c r="C108" s="10" t="str">
        <f>UPPER(TEXT(B108, "[$-en-US]mmmm"))</f>
        <v>FEBRUARY</v>
      </c>
      <c r="D108" s="41">
        <f>YEAR(B108)</f>
        <v>2023</v>
      </c>
      <c r="E108" s="10" t="str">
        <f>VLOOKUP(A108,Sheet2!A:B,2,0)</f>
        <v>Americas</v>
      </c>
      <c r="F108" t="s">
        <v>13</v>
      </c>
      <c r="G108" t="s">
        <v>279</v>
      </c>
      <c r="H108" t="s">
        <v>14</v>
      </c>
      <c r="I108" t="s">
        <v>15</v>
      </c>
      <c r="J108" s="11">
        <v>-814.24</v>
      </c>
      <c r="K108" s="12">
        <v>-814.24</v>
      </c>
      <c r="L108" s="12">
        <v>814.24</v>
      </c>
      <c r="M108" s="12">
        <v>-2166.46</v>
      </c>
      <c r="N108" t="s">
        <v>280</v>
      </c>
      <c r="O108" t="s">
        <v>151</v>
      </c>
      <c r="P108" t="s">
        <v>281</v>
      </c>
      <c r="AH108"/>
      <c r="AT108"/>
    </row>
    <row r="109" spans="1:46">
      <c r="A109" t="s">
        <v>12</v>
      </c>
      <c r="B109" s="10">
        <v>46065</v>
      </c>
      <c r="C109" s="10" t="str">
        <f>UPPER(TEXT(B109, "[$-en-US]mmmm"))</f>
        <v>FEBRUARY</v>
      </c>
      <c r="D109" s="41">
        <f>YEAR(B109)</f>
        <v>2026</v>
      </c>
      <c r="E109" s="10" t="str">
        <f>VLOOKUP(A109,Sheet2!A:B,2,0)</f>
        <v>Americas</v>
      </c>
      <c r="F109" t="s">
        <v>13</v>
      </c>
      <c r="G109" t="s">
        <v>282</v>
      </c>
      <c r="H109" t="s">
        <v>1518</v>
      </c>
      <c r="I109" t="s">
        <v>15</v>
      </c>
      <c r="J109" s="11">
        <v>-18311.53</v>
      </c>
      <c r="K109" s="12">
        <v>-18311.53</v>
      </c>
      <c r="L109" s="12">
        <v>762.97</v>
      </c>
      <c r="M109" s="12">
        <v>-762.97</v>
      </c>
      <c r="N109" t="s">
        <v>283</v>
      </c>
      <c r="O109" t="s">
        <v>76</v>
      </c>
      <c r="P109" t="s">
        <v>14</v>
      </c>
      <c r="AH109"/>
      <c r="AT109"/>
    </row>
    <row r="110" spans="1:46">
      <c r="A110" t="s">
        <v>12</v>
      </c>
      <c r="B110" s="10">
        <v>45065</v>
      </c>
      <c r="C110" s="10" t="str">
        <f>UPPER(TEXT(B110, "[$-en-US]mmmm"))</f>
        <v>MAY</v>
      </c>
      <c r="D110" s="41">
        <f>YEAR(B110)</f>
        <v>2023</v>
      </c>
      <c r="E110" s="10" t="str">
        <f>VLOOKUP(A110,Sheet2!A:B,2,0)</f>
        <v>Americas</v>
      </c>
      <c r="F110" t="s">
        <v>13</v>
      </c>
      <c r="G110" t="s">
        <v>284</v>
      </c>
      <c r="H110" t="s">
        <v>1521</v>
      </c>
      <c r="I110" t="s">
        <v>15</v>
      </c>
      <c r="J110" s="11">
        <v>-38800</v>
      </c>
      <c r="K110" s="12">
        <v>-38800</v>
      </c>
      <c r="L110" s="12">
        <v>725</v>
      </c>
      <c r="M110" s="12">
        <v>-10420</v>
      </c>
      <c r="N110" t="s">
        <v>93</v>
      </c>
      <c r="O110" t="s">
        <v>94</v>
      </c>
      <c r="P110" t="s">
        <v>285</v>
      </c>
      <c r="AH110"/>
      <c r="AT110"/>
    </row>
    <row r="111" spans="1:46">
      <c r="A111" t="s">
        <v>12</v>
      </c>
      <c r="B111" s="10">
        <v>44792</v>
      </c>
      <c r="C111" s="10" t="str">
        <f>UPPER(TEXT(B111, "[$-en-US]mmmm"))</f>
        <v>AUGUST</v>
      </c>
      <c r="D111" s="41">
        <f>YEAR(B111)</f>
        <v>2022</v>
      </c>
      <c r="E111" s="10" t="str">
        <f>VLOOKUP(A111,Sheet2!A:B,2,0)</f>
        <v>Americas</v>
      </c>
      <c r="F111" t="s">
        <v>13</v>
      </c>
      <c r="G111" t="s">
        <v>286</v>
      </c>
      <c r="H111" t="s">
        <v>14</v>
      </c>
      <c r="I111" t="s">
        <v>15</v>
      </c>
      <c r="J111" s="11">
        <v>-703</v>
      </c>
      <c r="K111" s="12">
        <v>-703</v>
      </c>
      <c r="L111" s="12">
        <v>703</v>
      </c>
      <c r="M111" s="12">
        <v>-703</v>
      </c>
      <c r="N111" t="s">
        <v>287</v>
      </c>
      <c r="O111" t="s">
        <v>88</v>
      </c>
      <c r="P111" t="s">
        <v>288</v>
      </c>
      <c r="AH111"/>
      <c r="AT111"/>
    </row>
    <row r="112" spans="1:46">
      <c r="A112" t="s">
        <v>12</v>
      </c>
      <c r="B112" s="10">
        <v>44922</v>
      </c>
      <c r="C112" s="10" t="str">
        <f>UPPER(TEXT(B112, "[$-en-US]mmmm"))</f>
        <v>DECEMBER</v>
      </c>
      <c r="D112" s="41">
        <f>YEAR(B112)</f>
        <v>2022</v>
      </c>
      <c r="E112" s="10" t="str">
        <f>VLOOKUP(A112,Sheet2!A:B,2,0)</f>
        <v>Americas</v>
      </c>
      <c r="F112" t="s">
        <v>13</v>
      </c>
      <c r="G112" t="s">
        <v>289</v>
      </c>
      <c r="H112" t="s">
        <v>14</v>
      </c>
      <c r="I112" t="s">
        <v>15</v>
      </c>
      <c r="J112" s="11">
        <v>-700</v>
      </c>
      <c r="K112" s="12">
        <v>-700</v>
      </c>
      <c r="L112" s="12">
        <v>700</v>
      </c>
      <c r="M112" s="12">
        <v>-250567.82</v>
      </c>
      <c r="N112" t="s">
        <v>18</v>
      </c>
      <c r="O112" t="s">
        <v>14</v>
      </c>
      <c r="P112" t="s">
        <v>290</v>
      </c>
      <c r="AH112"/>
      <c r="AT112"/>
    </row>
    <row r="113" spans="1:46">
      <c r="A113" t="s">
        <v>12</v>
      </c>
      <c r="B113" s="10">
        <v>45848</v>
      </c>
      <c r="C113" s="10" t="str">
        <f>UPPER(TEXT(B113, "[$-en-US]mmmm"))</f>
        <v>JULY</v>
      </c>
      <c r="D113" s="41">
        <f>YEAR(B113)</f>
        <v>2025</v>
      </c>
      <c r="E113" s="10" t="str">
        <f>VLOOKUP(A113,Sheet2!A:B,2,0)</f>
        <v>Americas</v>
      </c>
      <c r="F113" t="s">
        <v>13</v>
      </c>
      <c r="G113" t="s">
        <v>291</v>
      </c>
      <c r="H113" t="s">
        <v>14</v>
      </c>
      <c r="I113" t="s">
        <v>15</v>
      </c>
      <c r="J113" s="11">
        <v>-667.21</v>
      </c>
      <c r="K113" s="12">
        <v>-667.21</v>
      </c>
      <c r="L113" s="12">
        <v>667.21</v>
      </c>
      <c r="M113" s="12">
        <v>-2065</v>
      </c>
      <c r="N113" t="s">
        <v>277</v>
      </c>
      <c r="O113" t="s">
        <v>14</v>
      </c>
      <c r="P113" t="s">
        <v>292</v>
      </c>
      <c r="AH113"/>
      <c r="AT113"/>
    </row>
    <row r="114" spans="1:46">
      <c r="A114" t="s">
        <v>12</v>
      </c>
      <c r="B114" s="10">
        <v>44993</v>
      </c>
      <c r="C114" s="10" t="str">
        <f>UPPER(TEXT(B114, "[$-en-US]mmmm"))</f>
        <v>MARCH</v>
      </c>
      <c r="D114" s="41">
        <f>YEAR(B114)</f>
        <v>2023</v>
      </c>
      <c r="E114" s="10" t="str">
        <f>VLOOKUP(A114,Sheet2!A:B,2,0)</f>
        <v>Americas</v>
      </c>
      <c r="F114" t="s">
        <v>13</v>
      </c>
      <c r="G114" t="s">
        <v>293</v>
      </c>
      <c r="H114" t="s">
        <v>1522</v>
      </c>
      <c r="I114" t="s">
        <v>15</v>
      </c>
      <c r="J114" s="11">
        <v>-4860</v>
      </c>
      <c r="K114" s="12">
        <v>-4860</v>
      </c>
      <c r="L114" s="12">
        <v>660</v>
      </c>
      <c r="M114" s="12">
        <v>-660</v>
      </c>
      <c r="N114" t="s">
        <v>294</v>
      </c>
      <c r="O114" t="s">
        <v>14</v>
      </c>
      <c r="P114" t="s">
        <v>295</v>
      </c>
      <c r="AH114"/>
      <c r="AT114"/>
    </row>
    <row r="115" spans="1:46">
      <c r="A115" t="s">
        <v>12</v>
      </c>
      <c r="B115" s="10">
        <v>45320</v>
      </c>
      <c r="C115" s="10" t="str">
        <f>UPPER(TEXT(B115, "[$-en-US]mmmm"))</f>
        <v>JANUARY</v>
      </c>
      <c r="D115" s="41">
        <f>YEAR(B115)</f>
        <v>2024</v>
      </c>
      <c r="E115" s="10" t="str">
        <f>VLOOKUP(A115,Sheet2!A:B,2,0)</f>
        <v>Americas</v>
      </c>
      <c r="F115" t="s">
        <v>13</v>
      </c>
      <c r="G115" t="s">
        <v>296</v>
      </c>
      <c r="H115" t="s">
        <v>1523</v>
      </c>
      <c r="I115" t="s">
        <v>15</v>
      </c>
      <c r="J115" s="11">
        <v>-10093.75</v>
      </c>
      <c r="K115" s="12">
        <v>-10093.75</v>
      </c>
      <c r="L115" s="12">
        <v>593.75</v>
      </c>
      <c r="M115" s="12">
        <v>-593.75</v>
      </c>
      <c r="N115" t="s">
        <v>297</v>
      </c>
      <c r="O115" t="s">
        <v>14</v>
      </c>
      <c r="P115" t="s">
        <v>50</v>
      </c>
      <c r="AH115"/>
      <c r="AT115"/>
    </row>
    <row r="116" spans="1:46">
      <c r="A116" t="s">
        <v>12</v>
      </c>
      <c r="B116" s="10">
        <v>45848</v>
      </c>
      <c r="C116" s="10" t="str">
        <f>UPPER(TEXT(B116, "[$-en-US]mmmm"))</f>
        <v>JULY</v>
      </c>
      <c r="D116" s="41">
        <f>YEAR(B116)</f>
        <v>2025</v>
      </c>
      <c r="E116" s="10" t="str">
        <f>VLOOKUP(A116,Sheet2!A:B,2,0)</f>
        <v>Americas</v>
      </c>
      <c r="F116" t="s">
        <v>13</v>
      </c>
      <c r="G116" t="s">
        <v>298</v>
      </c>
      <c r="H116" t="s">
        <v>14</v>
      </c>
      <c r="I116" t="s">
        <v>15</v>
      </c>
      <c r="J116" s="11">
        <v>-516.25</v>
      </c>
      <c r="K116" s="12">
        <v>-516.25</v>
      </c>
      <c r="L116" s="12">
        <v>516.25</v>
      </c>
      <c r="M116" s="12">
        <v>-2065</v>
      </c>
      <c r="N116" t="s">
        <v>277</v>
      </c>
      <c r="O116" t="s">
        <v>14</v>
      </c>
      <c r="P116" t="s">
        <v>299</v>
      </c>
      <c r="AH116"/>
      <c r="AT116"/>
    </row>
    <row r="117" spans="1:46">
      <c r="A117" t="s">
        <v>12</v>
      </c>
      <c r="B117" s="10">
        <v>46051</v>
      </c>
      <c r="C117" s="10" t="str">
        <f>UPPER(TEXT(B117, "[$-en-US]mmmm"))</f>
        <v>JANUARY</v>
      </c>
      <c r="D117" s="41">
        <f>YEAR(B117)</f>
        <v>2026</v>
      </c>
      <c r="E117" s="10" t="str">
        <f>VLOOKUP(A117,Sheet2!A:B,2,0)</f>
        <v>Americas</v>
      </c>
      <c r="F117" t="s">
        <v>13</v>
      </c>
      <c r="G117" t="s">
        <v>300</v>
      </c>
      <c r="H117" t="s">
        <v>1524</v>
      </c>
      <c r="I117" t="s">
        <v>15</v>
      </c>
      <c r="J117" s="11">
        <v>-37552</v>
      </c>
      <c r="K117" s="12">
        <v>-37552</v>
      </c>
      <c r="L117" s="12">
        <v>508</v>
      </c>
      <c r="M117" s="12">
        <v>-508</v>
      </c>
      <c r="N117" t="s">
        <v>301</v>
      </c>
      <c r="O117" t="s">
        <v>14</v>
      </c>
      <c r="P117" t="s">
        <v>302</v>
      </c>
      <c r="AH117"/>
      <c r="AT117"/>
    </row>
    <row r="118" spans="1:46">
      <c r="A118" t="s">
        <v>12</v>
      </c>
      <c r="B118" s="10">
        <v>45615</v>
      </c>
      <c r="C118" s="10" t="str">
        <f>UPPER(TEXT(B118, "[$-en-US]mmmm"))</f>
        <v>NOVEMBER</v>
      </c>
      <c r="D118" s="41">
        <f>YEAR(B118)</f>
        <v>2024</v>
      </c>
      <c r="E118" s="10" t="str">
        <f>VLOOKUP(A118,Sheet2!A:B,2,0)</f>
        <v>Americas</v>
      </c>
      <c r="F118" t="s">
        <v>13</v>
      </c>
      <c r="G118" t="s">
        <v>303</v>
      </c>
      <c r="H118" t="s">
        <v>14</v>
      </c>
      <c r="I118" t="s">
        <v>15</v>
      </c>
      <c r="J118" s="11">
        <v>-505</v>
      </c>
      <c r="K118" s="12">
        <v>-505</v>
      </c>
      <c r="L118" s="12">
        <v>505</v>
      </c>
      <c r="M118" s="12">
        <v>-505</v>
      </c>
      <c r="N118" t="s">
        <v>304</v>
      </c>
      <c r="O118" t="s">
        <v>14</v>
      </c>
      <c r="P118" t="s">
        <v>50</v>
      </c>
      <c r="AH118"/>
      <c r="AT118"/>
    </row>
    <row r="119" spans="1:46">
      <c r="A119" t="s">
        <v>12</v>
      </c>
      <c r="B119" s="10">
        <v>44795</v>
      </c>
      <c r="C119" s="10" t="str">
        <f>UPPER(TEXT(B119, "[$-en-US]mmmm"))</f>
        <v>AUGUST</v>
      </c>
      <c r="D119" s="41">
        <f>YEAR(B119)</f>
        <v>2022</v>
      </c>
      <c r="E119" s="10" t="str">
        <f>VLOOKUP(A119,Sheet2!A:B,2,0)</f>
        <v>Americas</v>
      </c>
      <c r="F119" t="s">
        <v>13</v>
      </c>
      <c r="G119" t="s">
        <v>305</v>
      </c>
      <c r="H119" t="s">
        <v>1525</v>
      </c>
      <c r="I119" t="s">
        <v>15</v>
      </c>
      <c r="J119" s="11">
        <v>-10500</v>
      </c>
      <c r="K119" s="12">
        <v>-10500</v>
      </c>
      <c r="L119" s="12">
        <v>500</v>
      </c>
      <c r="M119" s="12">
        <v>-500</v>
      </c>
      <c r="N119" t="s">
        <v>306</v>
      </c>
      <c r="O119" t="s">
        <v>14</v>
      </c>
      <c r="P119" t="s">
        <v>307</v>
      </c>
      <c r="AH119"/>
      <c r="AT119"/>
    </row>
    <row r="120" spans="1:46">
      <c r="A120" t="s">
        <v>12</v>
      </c>
      <c r="B120" s="10">
        <v>45142</v>
      </c>
      <c r="C120" s="10" t="str">
        <f>UPPER(TEXT(B120, "[$-en-US]mmmm"))</f>
        <v>AUGUST</v>
      </c>
      <c r="D120" s="41">
        <f>YEAR(B120)</f>
        <v>2023</v>
      </c>
      <c r="E120" s="10" t="str">
        <f>VLOOKUP(A120,Sheet2!A:B,2,0)</f>
        <v>Americas</v>
      </c>
      <c r="F120" t="s">
        <v>13</v>
      </c>
      <c r="G120" t="s">
        <v>308</v>
      </c>
      <c r="H120" t="s">
        <v>14</v>
      </c>
      <c r="I120" t="s">
        <v>15</v>
      </c>
      <c r="J120" s="11">
        <v>-500</v>
      </c>
      <c r="K120" s="12">
        <v>-500</v>
      </c>
      <c r="L120" s="12">
        <v>500</v>
      </c>
      <c r="M120" s="12">
        <v>-500</v>
      </c>
      <c r="N120" t="s">
        <v>309</v>
      </c>
      <c r="O120" t="s">
        <v>14</v>
      </c>
      <c r="P120" t="s">
        <v>310</v>
      </c>
      <c r="AH120"/>
      <c r="AT120"/>
    </row>
    <row r="121" spans="1:46">
      <c r="A121" t="s">
        <v>12</v>
      </c>
      <c r="B121" s="10">
        <v>44974</v>
      </c>
      <c r="C121" s="10" t="str">
        <f>UPPER(TEXT(B121, "[$-en-US]mmmm"))</f>
        <v>FEBRUARY</v>
      </c>
      <c r="D121" s="41">
        <f>YEAR(B121)</f>
        <v>2023</v>
      </c>
      <c r="E121" s="10" t="str">
        <f>VLOOKUP(A121,Sheet2!A:B,2,0)</f>
        <v>Americas</v>
      </c>
      <c r="F121" t="s">
        <v>13</v>
      </c>
      <c r="G121" t="s">
        <v>311</v>
      </c>
      <c r="H121" t="s">
        <v>14</v>
      </c>
      <c r="I121" t="s">
        <v>15</v>
      </c>
      <c r="J121" s="11">
        <v>-450.74</v>
      </c>
      <c r="K121" s="12">
        <v>-450.74</v>
      </c>
      <c r="L121" s="12">
        <v>450.74</v>
      </c>
      <c r="M121" s="12">
        <v>-2166.46</v>
      </c>
      <c r="N121" t="s">
        <v>280</v>
      </c>
      <c r="O121" t="s">
        <v>151</v>
      </c>
      <c r="P121" t="s">
        <v>312</v>
      </c>
      <c r="AH121"/>
      <c r="AT121"/>
    </row>
    <row r="122" spans="1:46">
      <c r="A122" t="s">
        <v>12</v>
      </c>
      <c r="B122" s="10">
        <v>44974</v>
      </c>
      <c r="C122" s="10" t="str">
        <f>UPPER(TEXT(B122, "[$-en-US]mmmm"))</f>
        <v>FEBRUARY</v>
      </c>
      <c r="D122" s="41">
        <f>YEAR(B122)</f>
        <v>2023</v>
      </c>
      <c r="E122" s="10" t="str">
        <f>VLOOKUP(A122,Sheet2!A:B,2,0)</f>
        <v>Americas</v>
      </c>
      <c r="F122" t="s">
        <v>13</v>
      </c>
      <c r="G122" t="s">
        <v>313</v>
      </c>
      <c r="H122" t="s">
        <v>14</v>
      </c>
      <c r="I122" t="s">
        <v>15</v>
      </c>
      <c r="J122" s="11">
        <v>-450.74</v>
      </c>
      <c r="K122" s="12">
        <v>-450.74</v>
      </c>
      <c r="L122" s="12">
        <v>450.74</v>
      </c>
      <c r="M122" s="12">
        <v>-2166.46</v>
      </c>
      <c r="N122" t="s">
        <v>280</v>
      </c>
      <c r="O122" t="s">
        <v>151</v>
      </c>
      <c r="P122" t="s">
        <v>314</v>
      </c>
      <c r="AH122"/>
      <c r="AT122"/>
    </row>
    <row r="123" spans="1:46">
      <c r="A123" t="s">
        <v>12</v>
      </c>
      <c r="B123" s="10">
        <v>44974</v>
      </c>
      <c r="C123" s="10" t="str">
        <f>UPPER(TEXT(B123, "[$-en-US]mmmm"))</f>
        <v>FEBRUARY</v>
      </c>
      <c r="D123" s="41">
        <f>YEAR(B123)</f>
        <v>2023</v>
      </c>
      <c r="E123" s="10" t="str">
        <f>VLOOKUP(A123,Sheet2!A:B,2,0)</f>
        <v>Americas</v>
      </c>
      <c r="F123" t="s">
        <v>13</v>
      </c>
      <c r="G123" t="s">
        <v>315</v>
      </c>
      <c r="H123" t="s">
        <v>14</v>
      </c>
      <c r="I123" t="s">
        <v>15</v>
      </c>
      <c r="J123" s="11">
        <v>-450.74</v>
      </c>
      <c r="K123" s="12">
        <v>-450.74</v>
      </c>
      <c r="L123" s="12">
        <v>450.74</v>
      </c>
      <c r="M123" s="12">
        <v>-2166.46</v>
      </c>
      <c r="N123" t="s">
        <v>280</v>
      </c>
      <c r="O123" t="s">
        <v>151</v>
      </c>
      <c r="P123" t="s">
        <v>316</v>
      </c>
      <c r="AH123"/>
      <c r="AT123"/>
    </row>
    <row r="124" spans="1:46">
      <c r="A124" t="s">
        <v>12</v>
      </c>
      <c r="B124" s="10">
        <v>45170</v>
      </c>
      <c r="C124" s="10" t="str">
        <f>UPPER(TEXT(B124, "[$-en-US]mmmm"))</f>
        <v>SEPTEMBER</v>
      </c>
      <c r="D124" s="41">
        <f>YEAR(B124)</f>
        <v>2023</v>
      </c>
      <c r="E124" s="10" t="str">
        <f>VLOOKUP(A124,Sheet2!A:B,2,0)</f>
        <v>Americas</v>
      </c>
      <c r="F124" t="s">
        <v>13</v>
      </c>
      <c r="G124" t="s">
        <v>317</v>
      </c>
      <c r="H124" t="s">
        <v>1526</v>
      </c>
      <c r="I124" t="s">
        <v>15</v>
      </c>
      <c r="J124" s="11">
        <v>-55374.16</v>
      </c>
      <c r="K124" s="12">
        <v>-55374.16</v>
      </c>
      <c r="L124" s="12">
        <v>424.16</v>
      </c>
      <c r="M124" s="12">
        <v>-424.16</v>
      </c>
      <c r="N124" t="s">
        <v>318</v>
      </c>
      <c r="O124" t="s">
        <v>14</v>
      </c>
      <c r="P124" t="s">
        <v>319</v>
      </c>
      <c r="AH124"/>
      <c r="AT124"/>
    </row>
    <row r="125" spans="1:46">
      <c r="A125" t="s">
        <v>12</v>
      </c>
      <c r="B125" s="10">
        <v>44806</v>
      </c>
      <c r="C125" s="10" t="str">
        <f>UPPER(TEXT(B125, "[$-en-US]mmmm"))</f>
        <v>SEPTEMBER</v>
      </c>
      <c r="D125" s="41">
        <f>YEAR(B125)</f>
        <v>2022</v>
      </c>
      <c r="E125" s="10" t="str">
        <f>VLOOKUP(A125,Sheet2!A:B,2,0)</f>
        <v>Americas</v>
      </c>
      <c r="F125" t="s">
        <v>13</v>
      </c>
      <c r="G125" t="s">
        <v>320</v>
      </c>
      <c r="H125" t="s">
        <v>1528</v>
      </c>
      <c r="I125" t="s">
        <v>15</v>
      </c>
      <c r="J125" s="11">
        <v>-17166.41</v>
      </c>
      <c r="K125" s="12">
        <v>-17166.41</v>
      </c>
      <c r="L125" s="12">
        <v>416.41</v>
      </c>
      <c r="M125" s="12">
        <v>-416.41</v>
      </c>
      <c r="N125" t="s">
        <v>321</v>
      </c>
      <c r="O125" t="s">
        <v>131</v>
      </c>
      <c r="P125" t="s">
        <v>50</v>
      </c>
      <c r="AH125"/>
      <c r="AT125"/>
    </row>
    <row r="126" spans="1:46">
      <c r="A126" t="s">
        <v>12</v>
      </c>
      <c r="B126" s="10">
        <v>46035</v>
      </c>
      <c r="C126" s="10" t="str">
        <f>UPPER(TEXT(B126, "[$-en-US]mmmm"))</f>
        <v>JANUARY</v>
      </c>
      <c r="D126" s="41">
        <f>YEAR(B126)</f>
        <v>2026</v>
      </c>
      <c r="E126" s="10" t="str">
        <f>VLOOKUP(A126,Sheet2!A:B,2,0)</f>
        <v>Americas</v>
      </c>
      <c r="F126" t="s">
        <v>13</v>
      </c>
      <c r="G126" t="s">
        <v>322</v>
      </c>
      <c r="H126" t="s">
        <v>1529</v>
      </c>
      <c r="I126" t="s">
        <v>15</v>
      </c>
      <c r="J126" s="11">
        <v>-5578.13</v>
      </c>
      <c r="K126" s="12">
        <v>-5578.13</v>
      </c>
      <c r="L126" s="12">
        <v>412.5</v>
      </c>
      <c r="M126" s="12">
        <v>9672.75</v>
      </c>
      <c r="N126" t="s">
        <v>323</v>
      </c>
      <c r="O126" t="s">
        <v>324</v>
      </c>
      <c r="P126" t="s">
        <v>325</v>
      </c>
      <c r="AH126"/>
      <c r="AT126"/>
    </row>
    <row r="127" spans="1:46">
      <c r="A127" t="s">
        <v>12</v>
      </c>
      <c r="B127" s="10">
        <v>45856</v>
      </c>
      <c r="C127" s="10" t="str">
        <f>UPPER(TEXT(B127, "[$-en-US]mmmm"))</f>
        <v>JULY</v>
      </c>
      <c r="D127" s="41">
        <f>YEAR(B127)</f>
        <v>2025</v>
      </c>
      <c r="E127" s="10" t="str">
        <f>VLOOKUP(A127,Sheet2!A:B,2,0)</f>
        <v>Americas</v>
      </c>
      <c r="F127" t="s">
        <v>13</v>
      </c>
      <c r="G127" t="s">
        <v>326</v>
      </c>
      <c r="H127" t="s">
        <v>14</v>
      </c>
      <c r="I127" t="s">
        <v>15</v>
      </c>
      <c r="J127" s="11">
        <v>-405.47</v>
      </c>
      <c r="K127" s="12">
        <v>-405.47</v>
      </c>
      <c r="L127" s="12">
        <v>405.47</v>
      </c>
      <c r="M127" s="12">
        <v>-250567.82</v>
      </c>
      <c r="N127" t="s">
        <v>18</v>
      </c>
      <c r="O127" t="s">
        <v>14</v>
      </c>
      <c r="P127" t="s">
        <v>327</v>
      </c>
      <c r="AH127"/>
      <c r="AT127"/>
    </row>
    <row r="128" spans="1:46">
      <c r="A128" t="s">
        <v>12</v>
      </c>
      <c r="B128" s="10">
        <v>44904</v>
      </c>
      <c r="C128" s="10" t="str">
        <f>UPPER(TEXT(B128, "[$-en-US]mmmm"))</f>
        <v>DECEMBER</v>
      </c>
      <c r="D128" s="41">
        <f>YEAR(B128)</f>
        <v>2022</v>
      </c>
      <c r="E128" s="10" t="str">
        <f>VLOOKUP(A128,Sheet2!A:B,2,0)</f>
        <v>Americas</v>
      </c>
      <c r="F128" t="s">
        <v>13</v>
      </c>
      <c r="G128" t="s">
        <v>328</v>
      </c>
      <c r="H128" t="s">
        <v>14</v>
      </c>
      <c r="I128" t="s">
        <v>15</v>
      </c>
      <c r="J128" s="11">
        <v>-345</v>
      </c>
      <c r="K128" s="12">
        <v>-345</v>
      </c>
      <c r="L128" s="12">
        <v>345</v>
      </c>
      <c r="M128" s="12">
        <v>-345</v>
      </c>
      <c r="N128" t="s">
        <v>329</v>
      </c>
      <c r="O128" t="s">
        <v>14</v>
      </c>
      <c r="P128" t="s">
        <v>330</v>
      </c>
      <c r="AH128"/>
      <c r="AT128"/>
    </row>
    <row r="129" spans="1:46">
      <c r="A129" t="s">
        <v>12</v>
      </c>
      <c r="B129" s="10">
        <v>45856</v>
      </c>
      <c r="C129" s="10" t="str">
        <f>UPPER(TEXT(B129, "[$-en-US]mmmm"))</f>
        <v>JULY</v>
      </c>
      <c r="D129" s="41">
        <f>YEAR(B129)</f>
        <v>2025</v>
      </c>
      <c r="E129" s="10" t="str">
        <f>VLOOKUP(A129,Sheet2!A:B,2,0)</f>
        <v>Americas</v>
      </c>
      <c r="F129" t="s">
        <v>13</v>
      </c>
      <c r="G129" t="s">
        <v>331</v>
      </c>
      <c r="H129" t="s">
        <v>14</v>
      </c>
      <c r="I129" t="s">
        <v>15</v>
      </c>
      <c r="J129" s="11">
        <v>-312.81</v>
      </c>
      <c r="K129" s="12">
        <v>-312.81</v>
      </c>
      <c r="L129" s="12">
        <v>312.81</v>
      </c>
      <c r="M129" s="12">
        <v>-250567.82</v>
      </c>
      <c r="N129" t="s">
        <v>18</v>
      </c>
      <c r="O129" t="s">
        <v>14</v>
      </c>
      <c r="P129" t="s">
        <v>332</v>
      </c>
      <c r="AH129"/>
      <c r="AT129"/>
    </row>
    <row r="130" spans="1:46">
      <c r="A130" t="s">
        <v>12</v>
      </c>
      <c r="B130" s="10">
        <v>45737</v>
      </c>
      <c r="C130" s="10" t="str">
        <f>UPPER(TEXT(B130, "[$-en-US]mmmm"))</f>
        <v>MARCH</v>
      </c>
      <c r="D130" s="41">
        <f>YEAR(B130)</f>
        <v>2025</v>
      </c>
      <c r="E130" s="10" t="str">
        <f>VLOOKUP(A130,Sheet2!A:B,2,0)</f>
        <v>Americas</v>
      </c>
      <c r="F130" t="s">
        <v>13</v>
      </c>
      <c r="G130" t="s">
        <v>333</v>
      </c>
      <c r="H130" t="s">
        <v>1530</v>
      </c>
      <c r="I130" t="s">
        <v>15</v>
      </c>
      <c r="J130" s="11">
        <v>-7800</v>
      </c>
      <c r="K130" s="12">
        <v>-7800</v>
      </c>
      <c r="L130" s="12">
        <v>281</v>
      </c>
      <c r="M130" s="12">
        <v>-281</v>
      </c>
      <c r="N130" t="s">
        <v>334</v>
      </c>
      <c r="O130" t="s">
        <v>104</v>
      </c>
      <c r="P130" t="s">
        <v>335</v>
      </c>
      <c r="AH130"/>
      <c r="AT130"/>
    </row>
    <row r="131" spans="1:46">
      <c r="A131" t="s">
        <v>12</v>
      </c>
      <c r="B131" s="10">
        <v>45154</v>
      </c>
      <c r="C131" s="10" t="str">
        <f>UPPER(TEXT(B131, "[$-en-US]mmmm"))</f>
        <v>AUGUST</v>
      </c>
      <c r="D131" s="41">
        <f>YEAR(B131)</f>
        <v>2023</v>
      </c>
      <c r="E131" s="10" t="str">
        <f>VLOOKUP(A131,Sheet2!A:B,2,0)</f>
        <v>Americas</v>
      </c>
      <c r="F131" t="s">
        <v>13</v>
      </c>
      <c r="G131" t="s">
        <v>336</v>
      </c>
      <c r="H131" t="s">
        <v>14</v>
      </c>
      <c r="I131" t="s">
        <v>15</v>
      </c>
      <c r="J131" s="11">
        <v>-280</v>
      </c>
      <c r="K131" s="12">
        <v>-280</v>
      </c>
      <c r="L131" s="12">
        <v>280</v>
      </c>
      <c r="M131" s="12">
        <v>-280</v>
      </c>
      <c r="N131" t="s">
        <v>337</v>
      </c>
      <c r="O131" t="s">
        <v>131</v>
      </c>
      <c r="P131" t="s">
        <v>338</v>
      </c>
      <c r="AH131"/>
      <c r="AT131"/>
    </row>
    <row r="132" spans="1:46">
      <c r="A132" t="s">
        <v>12</v>
      </c>
      <c r="B132" s="10">
        <v>44725</v>
      </c>
      <c r="C132" s="10" t="str">
        <f>UPPER(TEXT(B132, "[$-en-US]mmmm"))</f>
        <v>JUNE</v>
      </c>
      <c r="D132" s="41">
        <f>YEAR(B132)</f>
        <v>2022</v>
      </c>
      <c r="E132" s="10" t="str">
        <f>VLOOKUP(A132,Sheet2!A:B,2,0)</f>
        <v>Americas</v>
      </c>
      <c r="F132" t="s">
        <v>13</v>
      </c>
      <c r="G132" t="s">
        <v>339</v>
      </c>
      <c r="H132" t="s">
        <v>14</v>
      </c>
      <c r="I132" t="s">
        <v>15</v>
      </c>
      <c r="J132" s="11">
        <v>-275.37</v>
      </c>
      <c r="K132" s="12">
        <v>-275.37</v>
      </c>
      <c r="L132" s="12">
        <v>275.37</v>
      </c>
      <c r="M132" s="12">
        <v>-275.37</v>
      </c>
      <c r="N132" t="s">
        <v>340</v>
      </c>
      <c r="O132" t="s">
        <v>14</v>
      </c>
      <c r="P132" t="s">
        <v>341</v>
      </c>
      <c r="AH132"/>
      <c r="AT132"/>
    </row>
    <row r="133" spans="1:46">
      <c r="A133" t="s">
        <v>12</v>
      </c>
      <c r="B133" s="10">
        <v>45821</v>
      </c>
      <c r="C133" s="10" t="str">
        <f>UPPER(TEXT(B133, "[$-en-US]mmmm"))</f>
        <v>JUNE</v>
      </c>
      <c r="D133" s="41">
        <f>YEAR(B133)</f>
        <v>2025</v>
      </c>
      <c r="E133" s="10" t="str">
        <f>VLOOKUP(A133,Sheet2!A:B,2,0)</f>
        <v>Americas</v>
      </c>
      <c r="F133" t="s">
        <v>13</v>
      </c>
      <c r="G133" t="s">
        <v>342</v>
      </c>
      <c r="H133" t="s">
        <v>1531</v>
      </c>
      <c r="I133" t="s">
        <v>15</v>
      </c>
      <c r="J133" s="11">
        <v>-29850</v>
      </c>
      <c r="K133" s="12">
        <v>-29850</v>
      </c>
      <c r="L133" s="12">
        <v>270</v>
      </c>
      <c r="M133" s="12">
        <v>-270</v>
      </c>
      <c r="N133" t="s">
        <v>343</v>
      </c>
      <c r="O133" t="s">
        <v>14</v>
      </c>
      <c r="P133" t="s">
        <v>344</v>
      </c>
      <c r="AH133"/>
      <c r="AT133"/>
    </row>
    <row r="134" spans="1:46">
      <c r="A134" t="s">
        <v>12</v>
      </c>
      <c r="B134" s="10">
        <v>46014</v>
      </c>
      <c r="C134" s="10" t="str">
        <f>UPPER(TEXT(B134, "[$-en-US]mmmm"))</f>
        <v>DECEMBER</v>
      </c>
      <c r="D134" s="41">
        <f>YEAR(B134)</f>
        <v>2025</v>
      </c>
      <c r="E134" s="10" t="str">
        <f>VLOOKUP(A134,Sheet2!A:B,2,0)</f>
        <v>Americas</v>
      </c>
      <c r="F134" t="s">
        <v>13</v>
      </c>
      <c r="G134" t="s">
        <v>345</v>
      </c>
      <c r="H134" t="s">
        <v>1532</v>
      </c>
      <c r="I134" t="s">
        <v>15</v>
      </c>
      <c r="J134" s="11">
        <v>-16740</v>
      </c>
      <c r="K134" s="12">
        <v>-16740</v>
      </c>
      <c r="L134" s="12">
        <v>270</v>
      </c>
      <c r="M134" s="12">
        <v>-270</v>
      </c>
      <c r="N134" t="s">
        <v>346</v>
      </c>
      <c r="O134" t="s">
        <v>76</v>
      </c>
      <c r="P134" t="s">
        <v>14</v>
      </c>
      <c r="AH134"/>
      <c r="AT134"/>
    </row>
    <row r="135" spans="1:46">
      <c r="A135" t="s">
        <v>12</v>
      </c>
      <c r="B135" s="10">
        <v>45240</v>
      </c>
      <c r="C135" s="10" t="str">
        <f>UPPER(TEXT(B135, "[$-en-US]mmmm"))</f>
        <v>NOVEMBER</v>
      </c>
      <c r="D135" s="41">
        <f>YEAR(B135)</f>
        <v>2023</v>
      </c>
      <c r="E135" s="10" t="str">
        <f>VLOOKUP(A135,Sheet2!A:B,2,0)</f>
        <v>Americas</v>
      </c>
      <c r="F135" t="s">
        <v>13</v>
      </c>
      <c r="G135" t="s">
        <v>347</v>
      </c>
      <c r="H135" t="s">
        <v>1533</v>
      </c>
      <c r="I135" t="s">
        <v>15</v>
      </c>
      <c r="J135" s="11">
        <v>-2500</v>
      </c>
      <c r="K135" s="12">
        <v>-2500</v>
      </c>
      <c r="L135" s="12">
        <v>250</v>
      </c>
      <c r="M135" s="12">
        <v>-250</v>
      </c>
      <c r="N135" t="s">
        <v>348</v>
      </c>
      <c r="O135" t="s">
        <v>62</v>
      </c>
      <c r="P135" t="s">
        <v>50</v>
      </c>
      <c r="AH135"/>
      <c r="AT135"/>
    </row>
    <row r="136" spans="1:46">
      <c r="A136" t="s">
        <v>12</v>
      </c>
      <c r="B136" s="10">
        <v>45911</v>
      </c>
      <c r="C136" s="10" t="str">
        <f>UPPER(TEXT(B136, "[$-en-US]mmmm"))</f>
        <v>SEPTEMBER</v>
      </c>
      <c r="D136" s="41">
        <f>YEAR(B136)</f>
        <v>2025</v>
      </c>
      <c r="E136" s="10" t="str">
        <f>VLOOKUP(A136,Sheet2!A:B,2,0)</f>
        <v>Americas</v>
      </c>
      <c r="F136" t="s">
        <v>13</v>
      </c>
      <c r="G136" t="s">
        <v>349</v>
      </c>
      <c r="H136" t="s">
        <v>1534</v>
      </c>
      <c r="I136" t="s">
        <v>15</v>
      </c>
      <c r="J136" s="11">
        <v>-7500</v>
      </c>
      <c r="K136" s="12">
        <v>-7500</v>
      </c>
      <c r="L136" s="12">
        <v>250</v>
      </c>
      <c r="M136" s="12">
        <v>-250</v>
      </c>
      <c r="N136" t="s">
        <v>350</v>
      </c>
      <c r="O136" t="s">
        <v>14</v>
      </c>
      <c r="P136" t="s">
        <v>351</v>
      </c>
      <c r="AH136"/>
      <c r="AT136"/>
    </row>
    <row r="137" spans="1:46">
      <c r="A137" t="s">
        <v>12</v>
      </c>
      <c r="B137" s="10">
        <v>45105</v>
      </c>
      <c r="C137" s="10" t="str">
        <f>UPPER(TEXT(B137, "[$-en-US]mmmm"))</f>
        <v>JUNE</v>
      </c>
      <c r="D137" s="41">
        <f>YEAR(B137)</f>
        <v>2023</v>
      </c>
      <c r="E137" s="10" t="str">
        <f>VLOOKUP(A137,Sheet2!A:B,2,0)</f>
        <v>Americas</v>
      </c>
      <c r="F137" t="s">
        <v>13</v>
      </c>
      <c r="G137" t="s">
        <v>352</v>
      </c>
      <c r="H137" t="s">
        <v>14</v>
      </c>
      <c r="I137" t="s">
        <v>15</v>
      </c>
      <c r="J137" s="11">
        <v>-235.95</v>
      </c>
      <c r="K137" s="12">
        <v>-235.95</v>
      </c>
      <c r="L137" s="12">
        <v>235.95</v>
      </c>
      <c r="M137" s="12">
        <v>-235.95</v>
      </c>
      <c r="N137" t="s">
        <v>353</v>
      </c>
      <c r="O137" t="s">
        <v>14</v>
      </c>
      <c r="P137" t="s">
        <v>50</v>
      </c>
      <c r="AH137"/>
      <c r="AT137"/>
    </row>
    <row r="138" spans="1:46">
      <c r="A138" t="s">
        <v>12</v>
      </c>
      <c r="B138" s="10">
        <v>44708</v>
      </c>
      <c r="C138" s="10" t="str">
        <f>UPPER(TEXT(B138, "[$-en-US]mmmm"))</f>
        <v>MAY</v>
      </c>
      <c r="D138" s="41">
        <f>YEAR(B138)</f>
        <v>2022</v>
      </c>
      <c r="E138" s="10" t="str">
        <f>VLOOKUP(A138,Sheet2!A:B,2,0)</f>
        <v>Americas</v>
      </c>
      <c r="F138" t="s">
        <v>13</v>
      </c>
      <c r="G138" t="s">
        <v>354</v>
      </c>
      <c r="H138" t="s">
        <v>1535</v>
      </c>
      <c r="I138" t="s">
        <v>15</v>
      </c>
      <c r="J138" s="11">
        <v>-3000</v>
      </c>
      <c r="K138" s="12">
        <v>-3000</v>
      </c>
      <c r="L138" s="12">
        <v>233</v>
      </c>
      <c r="M138" s="12">
        <v>-233</v>
      </c>
      <c r="N138" t="s">
        <v>355</v>
      </c>
      <c r="O138" t="s">
        <v>14</v>
      </c>
      <c r="P138" t="s">
        <v>356</v>
      </c>
      <c r="AH138"/>
      <c r="AT138"/>
    </row>
    <row r="139" spans="1:46">
      <c r="A139" t="s">
        <v>12</v>
      </c>
      <c r="B139" s="10">
        <v>44827</v>
      </c>
      <c r="C139" s="10" t="str">
        <f>UPPER(TEXT(B139, "[$-en-US]mmmm"))</f>
        <v>SEPTEMBER</v>
      </c>
      <c r="D139" s="41">
        <f>YEAR(B139)</f>
        <v>2022</v>
      </c>
      <c r="E139" s="10" t="str">
        <f>VLOOKUP(A139,Sheet2!A:B,2,0)</f>
        <v>Americas</v>
      </c>
      <c r="F139" t="s">
        <v>13</v>
      </c>
      <c r="G139" t="s">
        <v>357</v>
      </c>
      <c r="H139" t="s">
        <v>1536</v>
      </c>
      <c r="I139" t="s">
        <v>15</v>
      </c>
      <c r="J139" s="11">
        <v>-3895.5</v>
      </c>
      <c r="K139" s="12">
        <v>-3895.5</v>
      </c>
      <c r="L139" s="12">
        <v>220.5</v>
      </c>
      <c r="M139" s="12">
        <v>-220.5</v>
      </c>
      <c r="N139" t="s">
        <v>358</v>
      </c>
      <c r="O139" t="s">
        <v>14</v>
      </c>
      <c r="P139" t="s">
        <v>359</v>
      </c>
      <c r="AH139"/>
      <c r="AT139"/>
    </row>
    <row r="140" spans="1:46">
      <c r="A140" t="s">
        <v>12</v>
      </c>
      <c r="B140" s="10">
        <v>45679</v>
      </c>
      <c r="C140" s="10" t="str">
        <f>UPPER(TEXT(B140, "[$-en-US]mmmm"))</f>
        <v>JANUARY</v>
      </c>
      <c r="D140" s="41">
        <f>YEAR(B140)</f>
        <v>2025</v>
      </c>
      <c r="E140" s="10" t="str">
        <f>VLOOKUP(A140,Sheet2!A:B,2,0)</f>
        <v>Americas</v>
      </c>
      <c r="F140" t="s">
        <v>13</v>
      </c>
      <c r="G140" t="s">
        <v>360</v>
      </c>
      <c r="H140" t="s">
        <v>1537</v>
      </c>
      <c r="I140" t="s">
        <v>15</v>
      </c>
      <c r="J140" s="11">
        <v>-3309</v>
      </c>
      <c r="K140" s="12">
        <v>-3309</v>
      </c>
      <c r="L140" s="12">
        <v>219</v>
      </c>
      <c r="M140" s="12">
        <v>-219</v>
      </c>
      <c r="N140" t="s">
        <v>361</v>
      </c>
      <c r="O140" t="s">
        <v>14</v>
      </c>
      <c r="P140" t="s">
        <v>14</v>
      </c>
      <c r="AH140"/>
      <c r="AT140"/>
    </row>
    <row r="141" spans="1:46">
      <c r="A141" t="s">
        <v>12</v>
      </c>
      <c r="B141" s="10">
        <v>44785</v>
      </c>
      <c r="C141" s="10" t="str">
        <f>UPPER(TEXT(B141, "[$-en-US]mmmm"))</f>
        <v>AUGUST</v>
      </c>
      <c r="D141" s="41">
        <f>YEAR(B141)</f>
        <v>2022</v>
      </c>
      <c r="E141" s="10" t="str">
        <f>VLOOKUP(A141,Sheet2!A:B,2,0)</f>
        <v>Americas</v>
      </c>
      <c r="F141" t="s">
        <v>13</v>
      </c>
      <c r="G141" t="s">
        <v>362</v>
      </c>
      <c r="H141" t="s">
        <v>1539</v>
      </c>
      <c r="I141" t="s">
        <v>15</v>
      </c>
      <c r="J141" s="11">
        <v>-1000</v>
      </c>
      <c r="K141" s="12">
        <v>-1000</v>
      </c>
      <c r="L141" s="12">
        <v>200</v>
      </c>
      <c r="M141" s="12">
        <v>-200</v>
      </c>
      <c r="N141" t="s">
        <v>363</v>
      </c>
      <c r="O141" t="s">
        <v>14</v>
      </c>
      <c r="P141" t="s">
        <v>50</v>
      </c>
      <c r="AH141"/>
      <c r="AT141"/>
    </row>
    <row r="142" spans="1:46">
      <c r="A142" t="s">
        <v>12</v>
      </c>
      <c r="B142" s="10">
        <v>45443</v>
      </c>
      <c r="C142" s="10" t="str">
        <f>UPPER(TEXT(B142, "[$-en-US]mmmm"))</f>
        <v>MAY</v>
      </c>
      <c r="D142" s="41">
        <f>YEAR(B142)</f>
        <v>2024</v>
      </c>
      <c r="E142" s="10" t="str">
        <f>VLOOKUP(A142,Sheet2!A:B,2,0)</f>
        <v>Americas</v>
      </c>
      <c r="F142" t="s">
        <v>13</v>
      </c>
      <c r="G142" t="s">
        <v>364</v>
      </c>
      <c r="H142" t="s">
        <v>1540</v>
      </c>
      <c r="I142" t="s">
        <v>15</v>
      </c>
      <c r="J142" s="11">
        <v>-2167.5</v>
      </c>
      <c r="K142" s="12">
        <v>-2167.5</v>
      </c>
      <c r="L142" s="12">
        <v>200</v>
      </c>
      <c r="M142" s="12">
        <v>-200</v>
      </c>
      <c r="N142" t="s">
        <v>365</v>
      </c>
      <c r="O142" t="s">
        <v>14</v>
      </c>
      <c r="P142" t="s">
        <v>366</v>
      </c>
      <c r="AH142"/>
      <c r="AT142"/>
    </row>
    <row r="143" spans="1:46">
      <c r="A143" t="s">
        <v>12</v>
      </c>
      <c r="B143" s="10">
        <v>45650</v>
      </c>
      <c r="C143" s="10" t="str">
        <f>UPPER(TEXT(B143, "[$-en-US]mmmm"))</f>
        <v>DECEMBER</v>
      </c>
      <c r="D143" s="41">
        <f>YEAR(B143)</f>
        <v>2024</v>
      </c>
      <c r="E143" s="10" t="str">
        <f>VLOOKUP(A143,Sheet2!A:B,2,0)</f>
        <v>Americas</v>
      </c>
      <c r="F143" t="s">
        <v>13</v>
      </c>
      <c r="G143" t="s">
        <v>367</v>
      </c>
      <c r="H143" t="s">
        <v>14</v>
      </c>
      <c r="I143" t="s">
        <v>15</v>
      </c>
      <c r="J143" s="11">
        <v>-183.34</v>
      </c>
      <c r="K143" s="12">
        <v>-183.34</v>
      </c>
      <c r="L143" s="12">
        <v>183.34</v>
      </c>
      <c r="M143" s="12">
        <v>-183.34</v>
      </c>
      <c r="N143" t="s">
        <v>368</v>
      </c>
      <c r="O143" t="s">
        <v>14</v>
      </c>
      <c r="P143" t="s">
        <v>14</v>
      </c>
      <c r="AH143"/>
      <c r="AT143"/>
    </row>
    <row r="144" spans="1:46">
      <c r="A144" t="s">
        <v>12</v>
      </c>
      <c r="B144" s="10">
        <v>44722</v>
      </c>
      <c r="C144" s="10" t="str">
        <f>UPPER(TEXT(B144, "[$-en-US]mmmm"))</f>
        <v>JUNE</v>
      </c>
      <c r="D144" s="41">
        <f>YEAR(B144)</f>
        <v>2022</v>
      </c>
      <c r="E144" s="10" t="str">
        <f>VLOOKUP(A144,Sheet2!A:B,2,0)</f>
        <v>Americas</v>
      </c>
      <c r="F144" t="s">
        <v>13</v>
      </c>
      <c r="G144" t="s">
        <v>369</v>
      </c>
      <c r="H144" t="s">
        <v>1541</v>
      </c>
      <c r="I144" t="s">
        <v>15</v>
      </c>
      <c r="J144" s="11">
        <v>-3206.5</v>
      </c>
      <c r="K144" s="12">
        <v>-3206.5</v>
      </c>
      <c r="L144" s="12">
        <v>181.5</v>
      </c>
      <c r="M144" s="12">
        <v>3549.5</v>
      </c>
      <c r="N144" t="s">
        <v>370</v>
      </c>
      <c r="O144" t="s">
        <v>104</v>
      </c>
      <c r="P144" t="s">
        <v>371</v>
      </c>
      <c r="AH144"/>
      <c r="AT144"/>
    </row>
    <row r="145" spans="1:46">
      <c r="A145" t="s">
        <v>12</v>
      </c>
      <c r="B145" s="10">
        <v>44874</v>
      </c>
      <c r="C145" s="10" t="str">
        <f>UPPER(TEXT(B145, "[$-en-US]mmmm"))</f>
        <v>NOVEMBER</v>
      </c>
      <c r="D145" s="41">
        <f>YEAR(B145)</f>
        <v>2022</v>
      </c>
      <c r="E145" s="10" t="str">
        <f>VLOOKUP(A145,Sheet2!A:B,2,0)</f>
        <v>Americas</v>
      </c>
      <c r="F145" t="s">
        <v>13</v>
      </c>
      <c r="G145" t="s">
        <v>372</v>
      </c>
      <c r="H145" t="s">
        <v>1542</v>
      </c>
      <c r="I145" t="s">
        <v>15</v>
      </c>
      <c r="J145" s="11">
        <v>-31293.39</v>
      </c>
      <c r="K145" s="12">
        <v>-31293.39</v>
      </c>
      <c r="L145" s="12">
        <v>177.39</v>
      </c>
      <c r="M145" s="12">
        <v>-177.39</v>
      </c>
      <c r="N145" t="s">
        <v>373</v>
      </c>
      <c r="O145" t="s">
        <v>14</v>
      </c>
      <c r="P145" t="s">
        <v>50</v>
      </c>
      <c r="AH145"/>
      <c r="AT145"/>
    </row>
    <row r="146" spans="1:46">
      <c r="A146" t="s">
        <v>12</v>
      </c>
      <c r="B146" s="10">
        <v>45805</v>
      </c>
      <c r="C146" s="10" t="str">
        <f>UPPER(TEXT(B146, "[$-en-US]mmmm"))</f>
        <v>MAY</v>
      </c>
      <c r="D146" s="41">
        <f>YEAR(B146)</f>
        <v>2025</v>
      </c>
      <c r="E146" s="10" t="str">
        <f>VLOOKUP(A146,Sheet2!A:B,2,0)</f>
        <v>Americas</v>
      </c>
      <c r="F146" t="s">
        <v>13</v>
      </c>
      <c r="G146" t="s">
        <v>374</v>
      </c>
      <c r="H146" t="s">
        <v>14</v>
      </c>
      <c r="I146" t="s">
        <v>15</v>
      </c>
      <c r="J146" s="11">
        <v>-109.77</v>
      </c>
      <c r="K146" s="12">
        <v>-109.77</v>
      </c>
      <c r="L146" s="12">
        <v>109.77</v>
      </c>
      <c r="M146" s="12">
        <v>-250567.82</v>
      </c>
      <c r="N146" t="s">
        <v>18</v>
      </c>
      <c r="O146" t="s">
        <v>14</v>
      </c>
      <c r="P146" t="s">
        <v>375</v>
      </c>
      <c r="AH146"/>
      <c r="AT146"/>
    </row>
    <row r="147" spans="1:46">
      <c r="A147" t="s">
        <v>12</v>
      </c>
      <c r="B147" s="10">
        <v>44805</v>
      </c>
      <c r="C147" s="10" t="str">
        <f>UPPER(TEXT(B147, "[$-en-US]mmmm"))</f>
        <v>SEPTEMBER</v>
      </c>
      <c r="D147" s="41">
        <f>YEAR(B147)</f>
        <v>2022</v>
      </c>
      <c r="E147" s="10" t="str">
        <f>VLOOKUP(A147,Sheet2!A:B,2,0)</f>
        <v>Americas</v>
      </c>
      <c r="F147" t="s">
        <v>13</v>
      </c>
      <c r="G147" t="s">
        <v>376</v>
      </c>
      <c r="H147" t="s">
        <v>1543</v>
      </c>
      <c r="I147" t="s">
        <v>15</v>
      </c>
      <c r="J147" s="11">
        <v>-5543.76</v>
      </c>
      <c r="K147" s="12">
        <v>-5543.76</v>
      </c>
      <c r="L147" s="12">
        <v>100</v>
      </c>
      <c r="M147" s="12">
        <v>-100</v>
      </c>
      <c r="N147" t="s">
        <v>377</v>
      </c>
      <c r="O147" t="s">
        <v>14</v>
      </c>
      <c r="P147" t="s">
        <v>378</v>
      </c>
      <c r="AH147"/>
      <c r="AT147"/>
    </row>
    <row r="148" spans="1:46">
      <c r="A148" t="s">
        <v>12</v>
      </c>
      <c r="B148" s="10">
        <v>44973</v>
      </c>
      <c r="C148" s="10" t="str">
        <f>UPPER(TEXT(B148, "[$-en-US]mmmm"))</f>
        <v>FEBRUARY</v>
      </c>
      <c r="D148" s="41">
        <f>YEAR(B148)</f>
        <v>2023</v>
      </c>
      <c r="E148" s="10" t="str">
        <f>VLOOKUP(A148,Sheet2!A:B,2,0)</f>
        <v>Americas</v>
      </c>
      <c r="F148" t="s">
        <v>13</v>
      </c>
      <c r="G148" t="s">
        <v>379</v>
      </c>
      <c r="H148" t="s">
        <v>1546</v>
      </c>
      <c r="I148" t="s">
        <v>15</v>
      </c>
      <c r="J148" s="11">
        <v>-570.61</v>
      </c>
      <c r="K148" s="12">
        <v>-570.61</v>
      </c>
      <c r="L148" s="12">
        <v>67.61</v>
      </c>
      <c r="M148" s="12">
        <v>-67.61</v>
      </c>
      <c r="N148" t="s">
        <v>380</v>
      </c>
      <c r="O148" t="s">
        <v>14</v>
      </c>
      <c r="P148" t="s">
        <v>381</v>
      </c>
      <c r="AH148"/>
      <c r="AT148"/>
    </row>
    <row r="149" spans="1:46">
      <c r="A149" t="s">
        <v>12</v>
      </c>
      <c r="B149" s="10">
        <v>46113</v>
      </c>
      <c r="C149" s="10" t="str">
        <f>UPPER(TEXT(B149, "[$-en-US]mmmm"))</f>
        <v>APRIL</v>
      </c>
      <c r="D149" s="41">
        <f>YEAR(B149)</f>
        <v>2026</v>
      </c>
      <c r="E149" s="10" t="str">
        <f>VLOOKUP(A149,Sheet2!A:B,2,0)</f>
        <v>Americas</v>
      </c>
      <c r="F149" t="s">
        <v>13</v>
      </c>
      <c r="G149" t="s">
        <v>382</v>
      </c>
      <c r="H149" t="s">
        <v>1547</v>
      </c>
      <c r="I149" t="s">
        <v>15</v>
      </c>
      <c r="J149" s="11">
        <v>-18986</v>
      </c>
      <c r="K149" s="12">
        <v>-18986</v>
      </c>
      <c r="L149" s="12">
        <v>10</v>
      </c>
      <c r="M149" s="12">
        <v>-10</v>
      </c>
      <c r="N149" t="s">
        <v>383</v>
      </c>
      <c r="O149" t="s">
        <v>14</v>
      </c>
      <c r="P149" t="s">
        <v>384</v>
      </c>
      <c r="AH149"/>
      <c r="AT149"/>
    </row>
    <row r="150" spans="1:46">
      <c r="A150" t="s">
        <v>12</v>
      </c>
      <c r="B150" s="10">
        <v>46143</v>
      </c>
      <c r="C150" s="10" t="str">
        <f>UPPER(TEXT(B150, "[$-en-US]mmmm"))</f>
        <v>MAY</v>
      </c>
      <c r="D150" s="41">
        <f>YEAR(B150)</f>
        <v>2026</v>
      </c>
      <c r="E150" s="10" t="str">
        <f>VLOOKUP(A150,Sheet2!A:B,2,0)</f>
        <v>Americas</v>
      </c>
      <c r="F150" t="s">
        <v>13</v>
      </c>
      <c r="G150" t="s">
        <v>1747</v>
      </c>
      <c r="H150" t="s">
        <v>14</v>
      </c>
      <c r="I150" t="s">
        <v>15</v>
      </c>
      <c r="J150" s="11">
        <v>-0.01</v>
      </c>
      <c r="K150" s="12">
        <v>-0.01</v>
      </c>
      <c r="L150" s="12">
        <v>0.01</v>
      </c>
      <c r="M150" s="12">
        <v>-250567.82</v>
      </c>
      <c r="N150" t="s">
        <v>18</v>
      </c>
      <c r="O150" t="s">
        <v>14</v>
      </c>
      <c r="P150" t="s">
        <v>385</v>
      </c>
      <c r="AH150"/>
      <c r="AT150"/>
    </row>
    <row r="151" spans="1:46">
      <c r="A151" t="s">
        <v>386</v>
      </c>
      <c r="B151" s="10">
        <v>43857</v>
      </c>
      <c r="C151" s="10" t="str">
        <f>UPPER(TEXT(B151, "[$-en-US]mmmm"))</f>
        <v>JANUARY</v>
      </c>
      <c r="D151" s="41">
        <f>YEAR(B151)</f>
        <v>2020</v>
      </c>
      <c r="E151" s="10" t="str">
        <f>VLOOKUP(A151,Sheet2!A:B,2,0)</f>
        <v>Sysomos</v>
      </c>
      <c r="F151" t="s">
        <v>13</v>
      </c>
      <c r="G151" t="s">
        <v>387</v>
      </c>
      <c r="H151" t="s">
        <v>14</v>
      </c>
      <c r="I151" t="s">
        <v>15</v>
      </c>
      <c r="J151" s="11">
        <v>-130323.38</v>
      </c>
      <c r="K151" s="12">
        <v>-130323.38</v>
      </c>
      <c r="L151" s="12">
        <v>130323.38</v>
      </c>
      <c r="M151" s="12">
        <v>-164619.01</v>
      </c>
      <c r="N151" t="s">
        <v>388</v>
      </c>
      <c r="O151" t="s">
        <v>389</v>
      </c>
      <c r="P151" t="s">
        <v>390</v>
      </c>
      <c r="AH151"/>
      <c r="AT151"/>
    </row>
    <row r="152" spans="1:46">
      <c r="A152" t="s">
        <v>386</v>
      </c>
      <c r="B152" s="10">
        <v>43689</v>
      </c>
      <c r="C152" s="10" t="str">
        <f>UPPER(TEXT(B152, "[$-en-US]mmmm"))</f>
        <v>AUGUST</v>
      </c>
      <c r="D152" s="41">
        <f>YEAR(B152)</f>
        <v>2019</v>
      </c>
      <c r="E152" s="10" t="str">
        <f>VLOOKUP(A152,Sheet2!A:B,2,0)</f>
        <v>Sysomos</v>
      </c>
      <c r="F152" t="s">
        <v>13</v>
      </c>
      <c r="G152" t="s">
        <v>391</v>
      </c>
      <c r="H152" t="s">
        <v>1548</v>
      </c>
      <c r="I152" t="s">
        <v>15</v>
      </c>
      <c r="J152" s="11">
        <v>-164619.01</v>
      </c>
      <c r="K152" s="12">
        <v>-164619.01</v>
      </c>
      <c r="L152" s="12">
        <v>34295.629999999997</v>
      </c>
      <c r="M152" s="12">
        <v>-164619.01</v>
      </c>
      <c r="N152" t="s">
        <v>388</v>
      </c>
      <c r="O152" t="s">
        <v>389</v>
      </c>
      <c r="P152" t="s">
        <v>392</v>
      </c>
      <c r="AH152"/>
      <c r="AT152"/>
    </row>
    <row r="153" spans="1:46">
      <c r="A153" t="s">
        <v>386</v>
      </c>
      <c r="B153" s="10">
        <v>43777</v>
      </c>
      <c r="C153" s="10" t="str">
        <f>UPPER(TEXT(B153, "[$-en-US]mmmm"))</f>
        <v>NOVEMBER</v>
      </c>
      <c r="D153" s="41">
        <f>YEAR(B153)</f>
        <v>2019</v>
      </c>
      <c r="E153" s="10" t="str">
        <f>VLOOKUP(A153,Sheet2!A:B,2,0)</f>
        <v>Sysomos</v>
      </c>
      <c r="F153" t="s">
        <v>13</v>
      </c>
      <c r="G153" t="s">
        <v>393</v>
      </c>
      <c r="H153" t="s">
        <v>14</v>
      </c>
      <c r="I153" t="s">
        <v>15</v>
      </c>
      <c r="J153" s="11">
        <v>-6666.68</v>
      </c>
      <c r="K153" s="12">
        <v>-6666.68</v>
      </c>
      <c r="L153" s="12">
        <v>6666.68</v>
      </c>
      <c r="M153" s="12">
        <v>-6666.68</v>
      </c>
      <c r="N153" t="s">
        <v>394</v>
      </c>
      <c r="O153" t="s">
        <v>88</v>
      </c>
      <c r="P153" t="s">
        <v>395</v>
      </c>
      <c r="AH153"/>
      <c r="AT153"/>
    </row>
    <row r="154" spans="1:46">
      <c r="A154" t="s">
        <v>386</v>
      </c>
      <c r="B154" s="10">
        <v>43693</v>
      </c>
      <c r="C154" s="10" t="str">
        <f>UPPER(TEXT(B154, "[$-en-US]mmmm"))</f>
        <v>AUGUST</v>
      </c>
      <c r="D154" s="41">
        <f>YEAR(B154)</f>
        <v>2019</v>
      </c>
      <c r="E154" s="10" t="str">
        <f>VLOOKUP(A154,Sheet2!A:B,2,0)</f>
        <v>Sysomos</v>
      </c>
      <c r="F154" t="s">
        <v>13</v>
      </c>
      <c r="G154" t="s">
        <v>396</v>
      </c>
      <c r="H154" t="s">
        <v>14</v>
      </c>
      <c r="I154" t="s">
        <v>15</v>
      </c>
      <c r="J154" s="11">
        <v>-5000</v>
      </c>
      <c r="K154" s="12">
        <v>-5000</v>
      </c>
      <c r="L154" s="12">
        <v>5000</v>
      </c>
      <c r="M154" s="12">
        <v>-13919.5</v>
      </c>
      <c r="N154" t="s">
        <v>397</v>
      </c>
      <c r="O154" t="s">
        <v>14</v>
      </c>
      <c r="P154" t="s">
        <v>398</v>
      </c>
      <c r="AH154"/>
      <c r="AT154"/>
    </row>
    <row r="155" spans="1:46">
      <c r="A155" t="s">
        <v>386</v>
      </c>
      <c r="B155" s="10">
        <v>43629</v>
      </c>
      <c r="C155" s="10" t="str">
        <f>UPPER(TEXT(B155, "[$-en-US]mmmm"))</f>
        <v>JUNE</v>
      </c>
      <c r="D155" s="41">
        <f>YEAR(B155)</f>
        <v>2019</v>
      </c>
      <c r="E155" s="10" t="str">
        <f>VLOOKUP(A155,Sheet2!A:B,2,0)</f>
        <v>Sysomos</v>
      </c>
      <c r="F155" t="s">
        <v>13</v>
      </c>
      <c r="G155" t="s">
        <v>399</v>
      </c>
      <c r="H155" t="s">
        <v>1550</v>
      </c>
      <c r="I155" t="s">
        <v>15</v>
      </c>
      <c r="J155" s="11">
        <v>-42992.57</v>
      </c>
      <c r="K155" s="12">
        <v>-42992.57</v>
      </c>
      <c r="L155" s="12">
        <v>4512.04</v>
      </c>
      <c r="M155" s="12">
        <v>-5594.86</v>
      </c>
      <c r="N155" t="s">
        <v>400</v>
      </c>
      <c r="O155" t="s">
        <v>389</v>
      </c>
      <c r="P155" t="s">
        <v>401</v>
      </c>
      <c r="AH155"/>
      <c r="AT155"/>
    </row>
    <row r="156" spans="1:46">
      <c r="A156" t="s">
        <v>386</v>
      </c>
      <c r="B156" s="10">
        <v>43647</v>
      </c>
      <c r="C156" s="10" t="str">
        <f>UPPER(TEXT(B156, "[$-en-US]mmmm"))</f>
        <v>JULY</v>
      </c>
      <c r="D156" s="41">
        <f>YEAR(B156)</f>
        <v>2019</v>
      </c>
      <c r="E156" s="10" t="str">
        <f>VLOOKUP(A156,Sheet2!A:B,2,0)</f>
        <v>Sysomos</v>
      </c>
      <c r="F156" t="s">
        <v>13</v>
      </c>
      <c r="G156" t="s">
        <v>402</v>
      </c>
      <c r="H156" t="s">
        <v>1551</v>
      </c>
      <c r="I156" t="s">
        <v>15</v>
      </c>
      <c r="J156" s="11">
        <v>-8591.86</v>
      </c>
      <c r="K156" s="12">
        <v>-8591.86</v>
      </c>
      <c r="L156" s="12">
        <v>4009.53</v>
      </c>
      <c r="M156" s="12">
        <v>-4009.53</v>
      </c>
      <c r="N156" t="s">
        <v>403</v>
      </c>
      <c r="O156" t="s">
        <v>389</v>
      </c>
      <c r="P156" t="s">
        <v>404</v>
      </c>
      <c r="AH156"/>
      <c r="AT156"/>
    </row>
    <row r="157" spans="1:46">
      <c r="A157" t="s">
        <v>386</v>
      </c>
      <c r="B157" s="10">
        <v>43861</v>
      </c>
      <c r="C157" s="10" t="str">
        <f>UPPER(TEXT(B157, "[$-en-US]mmmm"))</f>
        <v>JANUARY</v>
      </c>
      <c r="D157" s="41">
        <f>YEAR(B157)</f>
        <v>2020</v>
      </c>
      <c r="E157" s="10" t="str">
        <f>VLOOKUP(A157,Sheet2!A:B,2,0)</f>
        <v>Sysomos</v>
      </c>
      <c r="F157" t="s">
        <v>13</v>
      </c>
      <c r="G157" t="s">
        <v>405</v>
      </c>
      <c r="H157" t="s">
        <v>14</v>
      </c>
      <c r="I157" t="s">
        <v>15</v>
      </c>
      <c r="J157" s="11">
        <v>-3897.59</v>
      </c>
      <c r="K157" s="12">
        <v>-3897.59</v>
      </c>
      <c r="L157" s="12">
        <v>3897.59</v>
      </c>
      <c r="M157" s="12">
        <v>-13919.5</v>
      </c>
      <c r="N157" t="s">
        <v>397</v>
      </c>
      <c r="O157" t="s">
        <v>14</v>
      </c>
      <c r="P157" t="s">
        <v>406</v>
      </c>
      <c r="AH157"/>
      <c r="AT157"/>
    </row>
    <row r="158" spans="1:46">
      <c r="A158" t="s">
        <v>386</v>
      </c>
      <c r="B158" s="10">
        <v>43516</v>
      </c>
      <c r="C158" s="10" t="str">
        <f>UPPER(TEXT(B158, "[$-en-US]mmmm"))</f>
        <v>FEBRUARY</v>
      </c>
      <c r="D158" s="41">
        <f>YEAR(B158)</f>
        <v>2019</v>
      </c>
      <c r="E158" s="10" t="str">
        <f>VLOOKUP(A158,Sheet2!A:B,2,0)</f>
        <v>Sysomos</v>
      </c>
      <c r="F158" t="s">
        <v>13</v>
      </c>
      <c r="G158" t="s">
        <v>407</v>
      </c>
      <c r="H158" t="s">
        <v>14</v>
      </c>
      <c r="I158" t="s">
        <v>15</v>
      </c>
      <c r="J158" s="11">
        <v>-3140.77</v>
      </c>
      <c r="K158" s="12">
        <v>-3140.77</v>
      </c>
      <c r="L158" s="12">
        <v>3140.77</v>
      </c>
      <c r="M158" s="12">
        <v>-3140.77</v>
      </c>
      <c r="N158" t="s">
        <v>408</v>
      </c>
      <c r="O158" t="s">
        <v>409</v>
      </c>
      <c r="P158" t="s">
        <v>410</v>
      </c>
      <c r="AH158"/>
      <c r="AT158"/>
    </row>
    <row r="159" spans="1:46">
      <c r="A159" t="s">
        <v>386</v>
      </c>
      <c r="B159" s="10">
        <v>43760</v>
      </c>
      <c r="C159" s="10" t="str">
        <f>UPPER(TEXT(B159, "[$-en-US]mmmm"))</f>
        <v>OCTOBER</v>
      </c>
      <c r="D159" s="41">
        <f>YEAR(B159)</f>
        <v>2019</v>
      </c>
      <c r="E159" s="10" t="str">
        <f>VLOOKUP(A159,Sheet2!A:B,2,0)</f>
        <v>Sysomos</v>
      </c>
      <c r="F159" t="s">
        <v>13</v>
      </c>
      <c r="G159" t="s">
        <v>411</v>
      </c>
      <c r="H159" t="s">
        <v>14</v>
      </c>
      <c r="I159" t="s">
        <v>15</v>
      </c>
      <c r="J159" s="11">
        <v>-2600.96</v>
      </c>
      <c r="K159" s="12">
        <v>-2600.96</v>
      </c>
      <c r="L159" s="12">
        <v>2600.96</v>
      </c>
      <c r="M159" s="12">
        <v>-2600.96</v>
      </c>
      <c r="N159" t="s">
        <v>412</v>
      </c>
      <c r="O159" t="s">
        <v>88</v>
      </c>
      <c r="P159" t="s">
        <v>413</v>
      </c>
      <c r="AH159"/>
      <c r="AT159"/>
    </row>
    <row r="160" spans="1:46">
      <c r="A160" t="s">
        <v>386</v>
      </c>
      <c r="B160" s="10">
        <v>43649</v>
      </c>
      <c r="C160" s="10" t="str">
        <f>UPPER(TEXT(B160, "[$-en-US]mmmm"))</f>
        <v>JULY</v>
      </c>
      <c r="D160" s="41">
        <f>YEAR(B160)</f>
        <v>2019</v>
      </c>
      <c r="E160" s="10" t="str">
        <f>VLOOKUP(A160,Sheet2!A:B,2,0)</f>
        <v>Sysomos</v>
      </c>
      <c r="F160" t="s">
        <v>13</v>
      </c>
      <c r="G160" t="s">
        <v>414</v>
      </c>
      <c r="H160" t="s">
        <v>14</v>
      </c>
      <c r="I160" t="s">
        <v>15</v>
      </c>
      <c r="J160" s="11">
        <v>-2476.91</v>
      </c>
      <c r="K160" s="12">
        <v>-2476.91</v>
      </c>
      <c r="L160" s="12">
        <v>2476.91</v>
      </c>
      <c r="M160" s="12">
        <v>-2476.91</v>
      </c>
      <c r="N160" t="s">
        <v>415</v>
      </c>
      <c r="O160" t="s">
        <v>389</v>
      </c>
      <c r="P160" t="s">
        <v>416</v>
      </c>
      <c r="AH160"/>
      <c r="AT160"/>
    </row>
    <row r="161" spans="1:46">
      <c r="A161" t="s">
        <v>386</v>
      </c>
      <c r="B161" s="10">
        <v>43675</v>
      </c>
      <c r="C161" s="10" t="str">
        <f>UPPER(TEXT(B161, "[$-en-US]mmmm"))</f>
        <v>JULY</v>
      </c>
      <c r="D161" s="41">
        <f>YEAR(B161)</f>
        <v>2019</v>
      </c>
      <c r="E161" s="10" t="str">
        <f>VLOOKUP(A161,Sheet2!A:B,2,0)</f>
        <v>Sysomos</v>
      </c>
      <c r="F161" t="s">
        <v>13</v>
      </c>
      <c r="G161" t="s">
        <v>417</v>
      </c>
      <c r="H161" t="s">
        <v>14</v>
      </c>
      <c r="I161" t="s">
        <v>15</v>
      </c>
      <c r="J161" s="11">
        <v>-2375</v>
      </c>
      <c r="K161" s="12">
        <v>-2375</v>
      </c>
      <c r="L161" s="12">
        <v>2375</v>
      </c>
      <c r="M161" s="12">
        <v>-2375</v>
      </c>
      <c r="N161" t="s">
        <v>418</v>
      </c>
      <c r="O161" t="s">
        <v>88</v>
      </c>
      <c r="P161" t="s">
        <v>419</v>
      </c>
      <c r="AH161"/>
      <c r="AT161"/>
    </row>
    <row r="162" spans="1:46">
      <c r="A162" t="s">
        <v>386</v>
      </c>
      <c r="B162" s="10">
        <v>43642</v>
      </c>
      <c r="C162" s="10" t="str">
        <f>UPPER(TEXT(B162, "[$-en-US]mmmm"))</f>
        <v>JUNE</v>
      </c>
      <c r="D162" s="41">
        <f>YEAR(B162)</f>
        <v>2019</v>
      </c>
      <c r="E162" s="10" t="str">
        <f>VLOOKUP(A162,Sheet2!A:B,2,0)</f>
        <v>Sysomos</v>
      </c>
      <c r="F162" t="s">
        <v>13</v>
      </c>
      <c r="G162" t="s">
        <v>420</v>
      </c>
      <c r="H162" t="s">
        <v>14</v>
      </c>
      <c r="I162" t="s">
        <v>15</v>
      </c>
      <c r="J162" s="11">
        <v>-2331.25</v>
      </c>
      <c r="K162" s="12">
        <v>-2331.25</v>
      </c>
      <c r="L162" s="12">
        <v>2331.25</v>
      </c>
      <c r="M162" s="12">
        <v>-13919.5</v>
      </c>
      <c r="N162" t="s">
        <v>397</v>
      </c>
      <c r="O162" t="s">
        <v>14</v>
      </c>
      <c r="P162" t="s">
        <v>421</v>
      </c>
      <c r="AH162"/>
      <c r="AT162"/>
    </row>
    <row r="163" spans="1:46">
      <c r="A163" t="s">
        <v>386</v>
      </c>
      <c r="B163" s="10">
        <v>43553</v>
      </c>
      <c r="C163" s="10" t="str">
        <f>UPPER(TEXT(B163, "[$-en-US]mmmm"))</f>
        <v>MARCH</v>
      </c>
      <c r="D163" s="41">
        <f>YEAR(B163)</f>
        <v>2019</v>
      </c>
      <c r="E163" s="10" t="str">
        <f>VLOOKUP(A163,Sheet2!A:B,2,0)</f>
        <v>Sysomos</v>
      </c>
      <c r="F163" t="s">
        <v>13</v>
      </c>
      <c r="G163" t="s">
        <v>422</v>
      </c>
      <c r="H163" t="s">
        <v>1552</v>
      </c>
      <c r="I163" t="s">
        <v>15</v>
      </c>
      <c r="J163" s="11">
        <v>-2600.3000000000002</v>
      </c>
      <c r="K163" s="12">
        <v>-2600.3000000000002</v>
      </c>
      <c r="L163" s="12">
        <v>2228.81</v>
      </c>
      <c r="M163" s="12">
        <v>-2228.81</v>
      </c>
      <c r="N163" t="s">
        <v>423</v>
      </c>
      <c r="O163" t="s">
        <v>88</v>
      </c>
      <c r="P163" t="s">
        <v>424</v>
      </c>
      <c r="AH163"/>
      <c r="AT163"/>
    </row>
    <row r="164" spans="1:46">
      <c r="A164" t="s">
        <v>386</v>
      </c>
      <c r="B164" s="10">
        <v>43719</v>
      </c>
      <c r="C164" s="10" t="str">
        <f>UPPER(TEXT(B164, "[$-en-US]mmmm"))</f>
        <v>SEPTEMBER</v>
      </c>
      <c r="D164" s="41">
        <f>YEAR(B164)</f>
        <v>2019</v>
      </c>
      <c r="E164" s="10" t="str">
        <f>VLOOKUP(A164,Sheet2!A:B,2,0)</f>
        <v>Sysomos</v>
      </c>
      <c r="F164" t="s">
        <v>13</v>
      </c>
      <c r="G164" t="s">
        <v>425</v>
      </c>
      <c r="H164" t="s">
        <v>14</v>
      </c>
      <c r="I164" t="s">
        <v>15</v>
      </c>
      <c r="J164" s="11">
        <v>-2224.3200000000002</v>
      </c>
      <c r="K164" s="12">
        <v>-2224.3200000000002</v>
      </c>
      <c r="L164" s="12">
        <v>2224.3200000000002</v>
      </c>
      <c r="M164" s="12">
        <v>-13919.5</v>
      </c>
      <c r="N164" t="s">
        <v>397</v>
      </c>
      <c r="O164" t="s">
        <v>14</v>
      </c>
      <c r="P164" t="s">
        <v>426</v>
      </c>
      <c r="AH164"/>
      <c r="AT164"/>
    </row>
    <row r="165" spans="1:46">
      <c r="A165" t="s">
        <v>386</v>
      </c>
      <c r="B165" s="10">
        <v>43500</v>
      </c>
      <c r="C165" s="10" t="str">
        <f>UPPER(TEXT(B165, "[$-en-US]mmmm"))</f>
        <v>FEBRUARY</v>
      </c>
      <c r="D165" s="41">
        <f>YEAR(B165)</f>
        <v>2019</v>
      </c>
      <c r="E165" s="10" t="str">
        <f>VLOOKUP(A165,Sheet2!A:B,2,0)</f>
        <v>Sysomos</v>
      </c>
      <c r="F165" t="s">
        <v>13</v>
      </c>
      <c r="G165" t="s">
        <v>427</v>
      </c>
      <c r="H165" t="s">
        <v>1554</v>
      </c>
      <c r="I165" t="s">
        <v>15</v>
      </c>
      <c r="J165" s="11">
        <v>-29165</v>
      </c>
      <c r="K165" s="12">
        <v>-29165</v>
      </c>
      <c r="L165" s="12">
        <v>1450.3</v>
      </c>
      <c r="M165" s="12">
        <v>-1450.3</v>
      </c>
      <c r="N165" t="s">
        <v>428</v>
      </c>
      <c r="O165" t="s">
        <v>88</v>
      </c>
      <c r="P165" t="s">
        <v>429</v>
      </c>
      <c r="AH165"/>
      <c r="AT165"/>
    </row>
    <row r="166" spans="1:46">
      <c r="A166" t="s">
        <v>386</v>
      </c>
      <c r="B166" s="10">
        <v>43560</v>
      </c>
      <c r="C166" s="10" t="str">
        <f>UPPER(TEXT(B166, "[$-en-US]mmmm"))</f>
        <v>APRIL</v>
      </c>
      <c r="D166" s="41">
        <f>YEAR(B166)</f>
        <v>2019</v>
      </c>
      <c r="E166" s="10" t="str">
        <f>VLOOKUP(A166,Sheet2!A:B,2,0)</f>
        <v>Sysomos</v>
      </c>
      <c r="F166" t="s">
        <v>13</v>
      </c>
      <c r="G166" t="s">
        <v>430</v>
      </c>
      <c r="H166" t="s">
        <v>1557</v>
      </c>
      <c r="I166" t="s">
        <v>15</v>
      </c>
      <c r="J166" s="11">
        <v>-4095.71</v>
      </c>
      <c r="K166" s="12">
        <v>-4095.71</v>
      </c>
      <c r="L166" s="12">
        <v>1082.82</v>
      </c>
      <c r="M166" s="12">
        <v>-5594.86</v>
      </c>
      <c r="N166" t="s">
        <v>400</v>
      </c>
      <c r="O166" t="s">
        <v>389</v>
      </c>
      <c r="P166" t="s">
        <v>431</v>
      </c>
      <c r="AH166"/>
      <c r="AT166"/>
    </row>
    <row r="167" spans="1:46">
      <c r="A167" t="s">
        <v>386</v>
      </c>
      <c r="B167" s="10">
        <v>43529</v>
      </c>
      <c r="C167" s="10" t="str">
        <f>UPPER(TEXT(B167, "[$-en-US]mmmm"))</f>
        <v>MARCH</v>
      </c>
      <c r="D167" s="41">
        <f>YEAR(B167)</f>
        <v>2019</v>
      </c>
      <c r="E167" s="10" t="str">
        <f>VLOOKUP(A167,Sheet2!A:B,2,0)</f>
        <v>Sysomos</v>
      </c>
      <c r="F167" t="s">
        <v>13</v>
      </c>
      <c r="G167" t="s">
        <v>432</v>
      </c>
      <c r="H167" t="s">
        <v>1560</v>
      </c>
      <c r="I167" t="s">
        <v>15</v>
      </c>
      <c r="J167" s="11">
        <v>-7772.76</v>
      </c>
      <c r="K167" s="12">
        <v>-7772.76</v>
      </c>
      <c r="L167" s="12">
        <v>888.68</v>
      </c>
      <c r="M167" s="12">
        <v>-888.68</v>
      </c>
      <c r="N167" t="s">
        <v>433</v>
      </c>
      <c r="O167" t="s">
        <v>389</v>
      </c>
      <c r="P167" t="s">
        <v>14</v>
      </c>
      <c r="AH167"/>
      <c r="AT167"/>
    </row>
    <row r="168" spans="1:46">
      <c r="A168" t="s">
        <v>386</v>
      </c>
      <c r="B168" s="10">
        <v>43616</v>
      </c>
      <c r="C168" s="10" t="str">
        <f>UPPER(TEXT(B168, "[$-en-US]mmmm"))</f>
        <v>MAY</v>
      </c>
      <c r="D168" s="41">
        <f>YEAR(B168)</f>
        <v>2019</v>
      </c>
      <c r="E168" s="10" t="str">
        <f>VLOOKUP(A168,Sheet2!A:B,2,0)</f>
        <v>Sysomos</v>
      </c>
      <c r="F168" t="s">
        <v>13</v>
      </c>
      <c r="G168" t="s">
        <v>434</v>
      </c>
      <c r="H168" t="s">
        <v>14</v>
      </c>
      <c r="I168" t="s">
        <v>15</v>
      </c>
      <c r="J168" s="11">
        <v>-466.34</v>
      </c>
      <c r="K168" s="12">
        <v>-466.34</v>
      </c>
      <c r="L168" s="12">
        <v>466.34</v>
      </c>
      <c r="M168" s="12">
        <v>-13919.5</v>
      </c>
      <c r="N168" t="s">
        <v>397</v>
      </c>
      <c r="O168" t="s">
        <v>14</v>
      </c>
      <c r="P168" t="s">
        <v>435</v>
      </c>
      <c r="AH168"/>
      <c r="AT168"/>
    </row>
    <row r="169" spans="1:46">
      <c r="A169" t="s">
        <v>386</v>
      </c>
      <c r="B169" s="10">
        <v>43829</v>
      </c>
      <c r="C169" s="10" t="str">
        <f>UPPER(TEXT(B169, "[$-en-US]mmmm"))</f>
        <v>DECEMBER</v>
      </c>
      <c r="D169" s="41">
        <f>YEAR(B169)</f>
        <v>2019</v>
      </c>
      <c r="E169" s="10" t="str">
        <f>VLOOKUP(A169,Sheet2!A:B,2,0)</f>
        <v>Sysomos</v>
      </c>
      <c r="F169" t="s">
        <v>13</v>
      </c>
      <c r="G169" t="s">
        <v>436</v>
      </c>
      <c r="H169" t="s">
        <v>1564</v>
      </c>
      <c r="I169" t="s">
        <v>15</v>
      </c>
      <c r="J169" s="11">
        <v>-26841.42</v>
      </c>
      <c r="K169" s="12">
        <v>-26841.42</v>
      </c>
      <c r="L169" s="12">
        <v>433.06</v>
      </c>
      <c r="M169" s="12">
        <v>-433.06</v>
      </c>
      <c r="N169" t="s">
        <v>437</v>
      </c>
      <c r="O169" t="s">
        <v>389</v>
      </c>
      <c r="P169" t="s">
        <v>438</v>
      </c>
      <c r="AH169"/>
      <c r="AT169"/>
    </row>
    <row r="170" spans="1:46">
      <c r="A170" t="s">
        <v>386</v>
      </c>
      <c r="B170" s="10">
        <v>43488</v>
      </c>
      <c r="C170" s="10" t="str">
        <f>UPPER(TEXT(B170, "[$-en-US]mmmm"))</f>
        <v>JANUARY</v>
      </c>
      <c r="D170" s="41">
        <f>YEAR(B170)</f>
        <v>2019</v>
      </c>
      <c r="E170" s="10" t="str">
        <f>VLOOKUP(A170,Sheet2!A:B,2,0)</f>
        <v>Sysomos</v>
      </c>
      <c r="F170" t="s">
        <v>13</v>
      </c>
      <c r="G170" t="s">
        <v>439</v>
      </c>
      <c r="H170" t="s">
        <v>1565</v>
      </c>
      <c r="I170" t="s">
        <v>15</v>
      </c>
      <c r="J170" s="11">
        <v>-3120.52</v>
      </c>
      <c r="K170" s="12">
        <v>-3120.52</v>
      </c>
      <c r="L170" s="12">
        <v>237.4</v>
      </c>
      <c r="M170" s="12">
        <v>-237.4</v>
      </c>
      <c r="N170" t="s">
        <v>440</v>
      </c>
      <c r="O170" t="s">
        <v>389</v>
      </c>
      <c r="P170" t="s">
        <v>441</v>
      </c>
      <c r="AH170"/>
      <c r="AT170"/>
    </row>
    <row r="171" spans="1:46">
      <c r="A171" t="s">
        <v>386</v>
      </c>
      <c r="B171" s="10">
        <v>43739</v>
      </c>
      <c r="C171" s="10" t="str">
        <f>UPPER(TEXT(B171, "[$-en-US]mmmm"))</f>
        <v>OCTOBER</v>
      </c>
      <c r="D171" s="41">
        <f>YEAR(B171)</f>
        <v>2019</v>
      </c>
      <c r="E171" s="10" t="str">
        <f>VLOOKUP(A171,Sheet2!A:B,2,0)</f>
        <v>Sysomos</v>
      </c>
      <c r="F171" t="s">
        <v>13</v>
      </c>
      <c r="G171" t="s">
        <v>442</v>
      </c>
      <c r="H171" t="s">
        <v>1568</v>
      </c>
      <c r="I171" t="s">
        <v>15</v>
      </c>
      <c r="J171" s="11">
        <v>-7931.25</v>
      </c>
      <c r="K171" s="12">
        <v>-7931.25</v>
      </c>
      <c r="L171" s="12">
        <v>88.14</v>
      </c>
      <c r="M171" s="12">
        <v>-88.14</v>
      </c>
      <c r="N171" t="s">
        <v>443</v>
      </c>
      <c r="O171" t="s">
        <v>88</v>
      </c>
      <c r="P171" t="s">
        <v>444</v>
      </c>
      <c r="AH171"/>
      <c r="AT171"/>
    </row>
    <row r="172" spans="1:46">
      <c r="A172" t="s">
        <v>386</v>
      </c>
      <c r="B172" s="10">
        <v>43887</v>
      </c>
      <c r="C172" s="10" t="str">
        <f>UPPER(TEXT(B172, "[$-en-US]mmmm"))</f>
        <v>FEBRUARY</v>
      </c>
      <c r="D172" s="41">
        <f>YEAR(B172)</f>
        <v>2020</v>
      </c>
      <c r="E172" s="10" t="str">
        <f>VLOOKUP(A172,Sheet2!A:B,2,0)</f>
        <v>Sysomos</v>
      </c>
      <c r="F172" t="s">
        <v>13</v>
      </c>
      <c r="G172" t="s">
        <v>445</v>
      </c>
      <c r="H172" t="s">
        <v>1569</v>
      </c>
      <c r="I172" t="s">
        <v>15</v>
      </c>
      <c r="J172" s="11">
        <v>-85560</v>
      </c>
      <c r="K172" s="12">
        <v>-85560</v>
      </c>
      <c r="L172" s="12">
        <v>20</v>
      </c>
      <c r="M172" s="12">
        <v>-20</v>
      </c>
      <c r="N172" t="s">
        <v>446</v>
      </c>
      <c r="O172" t="s">
        <v>389</v>
      </c>
      <c r="P172" t="s">
        <v>447</v>
      </c>
      <c r="AH172"/>
      <c r="AT172"/>
    </row>
    <row r="173" spans="1:46">
      <c r="A173" t="s">
        <v>386</v>
      </c>
      <c r="B173" s="10">
        <v>43851</v>
      </c>
      <c r="C173" s="10" t="str">
        <f>UPPER(TEXT(B173, "[$-en-US]mmmm"))</f>
        <v>JANUARY</v>
      </c>
      <c r="D173" s="41">
        <f>YEAR(B173)</f>
        <v>2020</v>
      </c>
      <c r="E173" s="10" t="str">
        <f>VLOOKUP(A173,Sheet2!A:B,2,0)</f>
        <v>Sysomos</v>
      </c>
      <c r="F173" t="s">
        <v>13</v>
      </c>
      <c r="G173" t="s">
        <v>448</v>
      </c>
      <c r="H173" t="s">
        <v>1571</v>
      </c>
      <c r="I173" t="s">
        <v>15</v>
      </c>
      <c r="J173" s="11">
        <v>-1168.5</v>
      </c>
      <c r="K173" s="12">
        <v>-1168.5</v>
      </c>
      <c r="L173" s="12">
        <v>0.16</v>
      </c>
      <c r="M173" s="12">
        <v>-0.16</v>
      </c>
      <c r="N173" t="s">
        <v>449</v>
      </c>
      <c r="O173" t="s">
        <v>389</v>
      </c>
      <c r="P173" t="s">
        <v>450</v>
      </c>
      <c r="AH173"/>
      <c r="AT173"/>
    </row>
    <row r="174" spans="1:46">
      <c r="A174" t="s">
        <v>386</v>
      </c>
      <c r="B174" s="10">
        <v>43731</v>
      </c>
      <c r="C174" s="10" t="str">
        <f>UPPER(TEXT(B174, "[$-en-US]mmmm"))</f>
        <v>SEPTEMBER</v>
      </c>
      <c r="D174" s="41">
        <f>YEAR(B174)</f>
        <v>2019</v>
      </c>
      <c r="E174" s="10" t="str">
        <f>VLOOKUP(A174,Sheet2!A:B,2,0)</f>
        <v>Sysomos</v>
      </c>
      <c r="F174" t="s">
        <v>13</v>
      </c>
      <c r="G174" t="s">
        <v>451</v>
      </c>
      <c r="H174" t="s">
        <v>1572</v>
      </c>
      <c r="I174" t="s">
        <v>15</v>
      </c>
      <c r="J174" s="11">
        <v>-1144.3499999999999</v>
      </c>
      <c r="K174" s="12">
        <v>-1144.3499999999999</v>
      </c>
      <c r="L174" s="12">
        <v>0.03</v>
      </c>
      <c r="M174" s="12">
        <v>-0.03</v>
      </c>
      <c r="N174" t="s">
        <v>452</v>
      </c>
      <c r="O174" t="s">
        <v>88</v>
      </c>
      <c r="P174" t="s">
        <v>453</v>
      </c>
      <c r="AH174"/>
      <c r="AT174"/>
    </row>
    <row r="175" spans="1:46">
      <c r="A175" t="s">
        <v>454</v>
      </c>
      <c r="B175" s="10">
        <v>46140</v>
      </c>
      <c r="C175" s="10" t="str">
        <f>UPPER(TEXT(B175, "[$-en-US]mmmm"))</f>
        <v>APRIL</v>
      </c>
      <c r="D175" s="41">
        <f>YEAR(B175)</f>
        <v>2026</v>
      </c>
      <c r="E175" s="10" t="str">
        <f>VLOOKUP(A175,Sheet2!A:B,2,0)</f>
        <v>Americas</v>
      </c>
      <c r="F175" t="s">
        <v>13</v>
      </c>
      <c r="G175" t="s">
        <v>455</v>
      </c>
      <c r="H175" t="s">
        <v>14</v>
      </c>
      <c r="I175" t="s">
        <v>456</v>
      </c>
      <c r="J175" s="13">
        <v>-67808.679999999993</v>
      </c>
      <c r="K175" s="12">
        <v>-49625.781999999999</v>
      </c>
      <c r="L175" s="12">
        <v>49625.781999999999</v>
      </c>
      <c r="M175" s="12">
        <v>-91511.6</v>
      </c>
      <c r="N175" t="s">
        <v>457</v>
      </c>
      <c r="O175" t="s">
        <v>14</v>
      </c>
      <c r="P175" t="s">
        <v>458</v>
      </c>
      <c r="AH175"/>
      <c r="AT175"/>
    </row>
    <row r="176" spans="1:46">
      <c r="A176" t="s">
        <v>454</v>
      </c>
      <c r="B176" s="10">
        <v>44914</v>
      </c>
      <c r="C176" s="10" t="str">
        <f>UPPER(TEXT(B176, "[$-en-US]mmmm"))</f>
        <v>DECEMBER</v>
      </c>
      <c r="D176" s="41">
        <f>YEAR(B176)</f>
        <v>2022</v>
      </c>
      <c r="E176" s="10" t="str">
        <f>VLOOKUP(A176,Sheet2!A:B,2,0)</f>
        <v>Americas</v>
      </c>
      <c r="F176" t="s">
        <v>13</v>
      </c>
      <c r="G176" t="s">
        <v>459</v>
      </c>
      <c r="H176" t="s">
        <v>14</v>
      </c>
      <c r="I176" t="s">
        <v>456</v>
      </c>
      <c r="J176" s="13">
        <v>-29267</v>
      </c>
      <c r="K176" s="12">
        <v>-21419.054</v>
      </c>
      <c r="L176" s="12">
        <v>21419.054</v>
      </c>
      <c r="M176" s="12">
        <v>-91511.6</v>
      </c>
      <c r="N176" t="s">
        <v>457</v>
      </c>
      <c r="O176" t="s">
        <v>14</v>
      </c>
      <c r="P176" t="s">
        <v>460</v>
      </c>
      <c r="AH176"/>
      <c r="AT176"/>
    </row>
    <row r="177" spans="1:46">
      <c r="A177" t="s">
        <v>454</v>
      </c>
      <c r="B177" s="10">
        <v>45566</v>
      </c>
      <c r="C177" s="10" t="str">
        <f>UPPER(TEXT(B177, "[$-en-US]mmmm"))</f>
        <v>OCTOBER</v>
      </c>
      <c r="D177" s="41">
        <f>YEAR(B177)</f>
        <v>2024</v>
      </c>
      <c r="E177" s="10" t="str">
        <f>VLOOKUP(A177,Sheet2!A:B,2,0)</f>
        <v>Americas</v>
      </c>
      <c r="F177" t="s">
        <v>13</v>
      </c>
      <c r="G177" t="s">
        <v>461</v>
      </c>
      <c r="H177" t="s">
        <v>14</v>
      </c>
      <c r="I177" t="s">
        <v>456</v>
      </c>
      <c r="J177" s="13">
        <v>-13625.94</v>
      </c>
      <c r="K177" s="12">
        <v>-9972.1440000000002</v>
      </c>
      <c r="L177" s="12">
        <v>9972.1440000000002</v>
      </c>
      <c r="M177" s="12">
        <v>-91511.6</v>
      </c>
      <c r="N177" t="s">
        <v>457</v>
      </c>
      <c r="O177" t="s">
        <v>14</v>
      </c>
      <c r="P177" t="s">
        <v>462</v>
      </c>
      <c r="AH177"/>
      <c r="AT177"/>
    </row>
    <row r="178" spans="1:46">
      <c r="A178" t="s">
        <v>454</v>
      </c>
      <c r="B178" s="10">
        <v>45184</v>
      </c>
      <c r="C178" s="10" t="str">
        <f>UPPER(TEXT(B178, "[$-en-US]mmmm"))</f>
        <v>SEPTEMBER</v>
      </c>
      <c r="D178" s="41">
        <f>YEAR(B178)</f>
        <v>2023</v>
      </c>
      <c r="E178" s="10" t="str">
        <f>VLOOKUP(A178,Sheet2!A:B,2,0)</f>
        <v>Americas</v>
      </c>
      <c r="F178" t="s">
        <v>13</v>
      </c>
      <c r="G178" t="s">
        <v>463</v>
      </c>
      <c r="H178" t="s">
        <v>14</v>
      </c>
      <c r="I178" t="s">
        <v>456</v>
      </c>
      <c r="J178" s="13">
        <v>-13581.43</v>
      </c>
      <c r="K178" s="12">
        <v>-9939.57</v>
      </c>
      <c r="L178" s="12">
        <v>9939.57</v>
      </c>
      <c r="M178" s="12">
        <v>-9939.57</v>
      </c>
      <c r="N178" t="s">
        <v>464</v>
      </c>
      <c r="O178" t="s">
        <v>14</v>
      </c>
      <c r="P178" t="s">
        <v>465</v>
      </c>
      <c r="AH178"/>
      <c r="AT178"/>
    </row>
    <row r="179" spans="1:46">
      <c r="A179" t="s">
        <v>454</v>
      </c>
      <c r="B179" s="10">
        <v>44854</v>
      </c>
      <c r="C179" s="10" t="str">
        <f>UPPER(TEXT(B179, "[$-en-US]mmmm"))</f>
        <v>OCTOBER</v>
      </c>
      <c r="D179" s="41">
        <f>YEAR(B179)</f>
        <v>2022</v>
      </c>
      <c r="E179" s="10" t="str">
        <f>VLOOKUP(A179,Sheet2!A:B,2,0)</f>
        <v>Americas</v>
      </c>
      <c r="F179" t="s">
        <v>13</v>
      </c>
      <c r="G179" t="s">
        <v>466</v>
      </c>
      <c r="H179" t="s">
        <v>14</v>
      </c>
      <c r="I179" t="s">
        <v>456</v>
      </c>
      <c r="J179" s="13">
        <v>-10774.31</v>
      </c>
      <c r="K179" s="12">
        <v>-7885.1790000000001</v>
      </c>
      <c r="L179" s="12">
        <v>7885.1790000000001</v>
      </c>
      <c r="M179" s="12">
        <v>-7885.1790000000001</v>
      </c>
      <c r="N179" t="s">
        <v>467</v>
      </c>
      <c r="O179" t="s">
        <v>14</v>
      </c>
      <c r="P179" t="s">
        <v>468</v>
      </c>
      <c r="AH179"/>
      <c r="AT179"/>
    </row>
    <row r="180" spans="1:46">
      <c r="A180" t="s">
        <v>454</v>
      </c>
      <c r="B180" s="10">
        <v>44683</v>
      </c>
      <c r="C180" s="10" t="str">
        <f>UPPER(TEXT(B180, "[$-en-US]mmmm"))</f>
        <v>MAY</v>
      </c>
      <c r="D180" s="41">
        <f>YEAR(B180)</f>
        <v>2022</v>
      </c>
      <c r="E180" s="10" t="str">
        <f>VLOOKUP(A180,Sheet2!A:B,2,0)</f>
        <v>Americas</v>
      </c>
      <c r="F180" t="s">
        <v>13</v>
      </c>
      <c r="G180" t="s">
        <v>469</v>
      </c>
      <c r="H180" t="s">
        <v>14</v>
      </c>
      <c r="I180" t="s">
        <v>456</v>
      </c>
      <c r="J180" s="13">
        <v>-10735</v>
      </c>
      <c r="K180" s="12">
        <v>-7856.41</v>
      </c>
      <c r="L180" s="12">
        <v>7856.41</v>
      </c>
      <c r="M180" s="12">
        <v>-7856.41</v>
      </c>
      <c r="N180" t="s">
        <v>470</v>
      </c>
      <c r="O180" t="s">
        <v>14</v>
      </c>
      <c r="P180" t="s">
        <v>471</v>
      </c>
      <c r="AH180"/>
      <c r="AT180"/>
    </row>
    <row r="181" spans="1:46">
      <c r="A181" t="s">
        <v>454</v>
      </c>
      <c r="B181" s="10">
        <v>45446</v>
      </c>
      <c r="C181" s="10" t="str">
        <f>UPPER(TEXT(B181, "[$-en-US]mmmm"))</f>
        <v>JUNE</v>
      </c>
      <c r="D181" s="41">
        <f>YEAR(B181)</f>
        <v>2024</v>
      </c>
      <c r="E181" s="10" t="str">
        <f>VLOOKUP(A181,Sheet2!A:B,2,0)</f>
        <v>Americas</v>
      </c>
      <c r="F181" t="s">
        <v>13</v>
      </c>
      <c r="G181" t="s">
        <v>472</v>
      </c>
      <c r="H181" t="s">
        <v>14</v>
      </c>
      <c r="I181" t="s">
        <v>456</v>
      </c>
      <c r="J181" s="13">
        <v>-10636.09</v>
      </c>
      <c r="K181" s="12">
        <v>-7784.0219999999999</v>
      </c>
      <c r="L181" s="12">
        <v>7784.0219999999999</v>
      </c>
      <c r="M181" s="12">
        <v>-91511.6</v>
      </c>
      <c r="N181" t="s">
        <v>457</v>
      </c>
      <c r="O181" t="s">
        <v>14</v>
      </c>
      <c r="P181" t="s">
        <v>473</v>
      </c>
      <c r="AH181"/>
      <c r="AT181"/>
    </row>
    <row r="182" spans="1:46">
      <c r="A182" t="s">
        <v>454</v>
      </c>
      <c r="B182" s="10">
        <v>46086</v>
      </c>
      <c r="C182" s="10" t="str">
        <f>UPPER(TEXT(B182, "[$-en-US]mmmm"))</f>
        <v>MARCH</v>
      </c>
      <c r="D182" s="41">
        <f>YEAR(B182)</f>
        <v>2026</v>
      </c>
      <c r="E182" s="10" t="str">
        <f>VLOOKUP(A182,Sheet2!A:B,2,0)</f>
        <v>Americas</v>
      </c>
      <c r="F182" t="s">
        <v>13</v>
      </c>
      <c r="G182" t="s">
        <v>474</v>
      </c>
      <c r="H182" t="s">
        <v>1573</v>
      </c>
      <c r="I182" t="s">
        <v>456</v>
      </c>
      <c r="J182" s="13">
        <v>-100341.4</v>
      </c>
      <c r="K182" s="12">
        <v>-73434.854000000007</v>
      </c>
      <c r="L182" s="12">
        <v>7456.0659999999998</v>
      </c>
      <c r="M182" s="12">
        <v>-7456.0659999999998</v>
      </c>
      <c r="N182" t="s">
        <v>475</v>
      </c>
      <c r="O182" t="s">
        <v>76</v>
      </c>
      <c r="P182" t="s">
        <v>476</v>
      </c>
      <c r="AH182"/>
      <c r="AT182"/>
    </row>
    <row r="183" spans="1:46">
      <c r="A183" t="s">
        <v>454</v>
      </c>
      <c r="B183" s="10">
        <v>44895</v>
      </c>
      <c r="C183" s="10" t="str">
        <f>UPPER(TEXT(B183, "[$-en-US]mmmm"))</f>
        <v>NOVEMBER</v>
      </c>
      <c r="D183" s="41">
        <f>YEAR(B183)</f>
        <v>2022</v>
      </c>
      <c r="E183" s="10" t="str">
        <f>VLOOKUP(A183,Sheet2!A:B,2,0)</f>
        <v>Americas</v>
      </c>
      <c r="F183" t="s">
        <v>13</v>
      </c>
      <c r="G183" t="s">
        <v>477</v>
      </c>
      <c r="H183" t="s">
        <v>1574</v>
      </c>
      <c r="I183" t="s">
        <v>456</v>
      </c>
      <c r="J183" s="13">
        <v>-9802.75</v>
      </c>
      <c r="K183" s="12">
        <v>-7174.143</v>
      </c>
      <c r="L183" s="12">
        <v>6698.6229999999996</v>
      </c>
      <c r="M183" s="12">
        <v>-6698.6229999999996</v>
      </c>
      <c r="N183" t="s">
        <v>478</v>
      </c>
      <c r="O183" t="s">
        <v>479</v>
      </c>
      <c r="P183" t="s">
        <v>480</v>
      </c>
      <c r="AH183"/>
      <c r="AT183"/>
    </row>
    <row r="184" spans="1:46">
      <c r="A184" t="s">
        <v>454</v>
      </c>
      <c r="B184" s="10">
        <v>45134</v>
      </c>
      <c r="C184" s="10" t="str">
        <f>UPPER(TEXT(B184, "[$-en-US]mmmm"))</f>
        <v>JULY</v>
      </c>
      <c r="D184" s="41">
        <f>YEAR(B184)</f>
        <v>2023</v>
      </c>
      <c r="E184" s="10" t="str">
        <f>VLOOKUP(A184,Sheet2!A:B,2,0)</f>
        <v>Americas</v>
      </c>
      <c r="F184" t="s">
        <v>13</v>
      </c>
      <c r="G184" t="s">
        <v>481</v>
      </c>
      <c r="H184" t="s">
        <v>14</v>
      </c>
      <c r="I184" t="s">
        <v>456</v>
      </c>
      <c r="J184" s="13">
        <v>-8638.56</v>
      </c>
      <c r="K184" s="12">
        <v>-6322.13</v>
      </c>
      <c r="L184" s="12">
        <v>6322.13</v>
      </c>
      <c r="M184" s="12">
        <v>-6322.13</v>
      </c>
      <c r="N184" t="s">
        <v>482</v>
      </c>
      <c r="O184" t="s">
        <v>479</v>
      </c>
      <c r="P184" t="s">
        <v>483</v>
      </c>
      <c r="AH184"/>
      <c r="AT184"/>
    </row>
    <row r="185" spans="1:46">
      <c r="A185" t="s">
        <v>454</v>
      </c>
      <c r="B185" s="10">
        <v>45987</v>
      </c>
      <c r="C185" s="10" t="str">
        <f>UPPER(TEXT(B185, "[$-en-US]mmmm"))</f>
        <v>NOVEMBER</v>
      </c>
      <c r="D185" s="41">
        <f>YEAR(B185)</f>
        <v>2025</v>
      </c>
      <c r="E185" s="10" t="str">
        <f>VLOOKUP(A185,Sheet2!A:B,2,0)</f>
        <v>Americas</v>
      </c>
      <c r="F185" t="s">
        <v>484</v>
      </c>
      <c r="G185" t="s">
        <v>485</v>
      </c>
      <c r="H185" t="s">
        <v>14</v>
      </c>
      <c r="I185" t="s">
        <v>456</v>
      </c>
      <c r="J185" s="13">
        <v>-5750</v>
      </c>
      <c r="K185" s="12">
        <v>-4208.1379999999999</v>
      </c>
      <c r="L185" s="12">
        <v>4208.1379999999999</v>
      </c>
      <c r="M185" s="12">
        <v>-4208.1379999999999</v>
      </c>
      <c r="N185" t="s">
        <v>486</v>
      </c>
      <c r="O185" t="s">
        <v>76</v>
      </c>
      <c r="P185" t="s">
        <v>487</v>
      </c>
      <c r="AH185"/>
      <c r="AT185"/>
    </row>
    <row r="186" spans="1:46">
      <c r="A186" t="s">
        <v>454</v>
      </c>
      <c r="B186" s="10">
        <v>44900</v>
      </c>
      <c r="C186" s="10" t="str">
        <f>UPPER(TEXT(B186, "[$-en-US]mmmm"))</f>
        <v>DECEMBER</v>
      </c>
      <c r="D186" s="41">
        <f>YEAR(B186)</f>
        <v>2022</v>
      </c>
      <c r="E186" s="10" t="str">
        <f>VLOOKUP(A186,Sheet2!A:B,2,0)</f>
        <v>Americas</v>
      </c>
      <c r="F186" t="s">
        <v>13</v>
      </c>
      <c r="G186" t="s">
        <v>488</v>
      </c>
      <c r="H186" t="s">
        <v>488</v>
      </c>
      <c r="I186" t="s">
        <v>456</v>
      </c>
      <c r="J186" s="13">
        <v>-3955</v>
      </c>
      <c r="K186" s="12">
        <v>-2894.4670000000001</v>
      </c>
      <c r="L186" s="12">
        <v>2894.4670000000001</v>
      </c>
      <c r="M186" s="12">
        <v>-2894.4670000000001</v>
      </c>
      <c r="N186" t="s">
        <v>489</v>
      </c>
      <c r="O186" t="s">
        <v>14</v>
      </c>
      <c r="P186" t="s">
        <v>490</v>
      </c>
      <c r="AH186"/>
      <c r="AT186"/>
    </row>
    <row r="187" spans="1:46">
      <c r="A187" t="s">
        <v>454</v>
      </c>
      <c r="B187" s="10">
        <v>46120</v>
      </c>
      <c r="C187" s="10" t="str">
        <f>UPPER(TEXT(B187, "[$-en-US]mmmm"))</f>
        <v>APRIL</v>
      </c>
      <c r="D187" s="41">
        <f>YEAR(B187)</f>
        <v>2026</v>
      </c>
      <c r="E187" s="10" t="str">
        <f>VLOOKUP(A187,Sheet2!A:B,2,0)</f>
        <v>Americas</v>
      </c>
      <c r="F187" t="s">
        <v>13</v>
      </c>
      <c r="G187" t="s">
        <v>491</v>
      </c>
      <c r="H187" t="s">
        <v>1575</v>
      </c>
      <c r="I187" t="s">
        <v>456</v>
      </c>
      <c r="J187" s="13">
        <v>-13701.25</v>
      </c>
      <c r="K187" s="12">
        <v>-10027.26</v>
      </c>
      <c r="L187" s="12">
        <v>2104.6909999999998</v>
      </c>
      <c r="M187" s="12">
        <v>-2104.6909999999998</v>
      </c>
      <c r="N187" t="s">
        <v>492</v>
      </c>
      <c r="O187" t="s">
        <v>479</v>
      </c>
      <c r="P187" t="s">
        <v>493</v>
      </c>
      <c r="AH187"/>
      <c r="AT187"/>
    </row>
    <row r="188" spans="1:46">
      <c r="A188" t="s">
        <v>454</v>
      </c>
      <c r="B188" s="10">
        <v>44932</v>
      </c>
      <c r="C188" s="10" t="str">
        <f>UPPER(TEXT(B188, "[$-en-US]mmmm"))</f>
        <v>JANUARY</v>
      </c>
      <c r="D188" s="41">
        <f>YEAR(B188)</f>
        <v>2023</v>
      </c>
      <c r="E188" s="10" t="str">
        <f>VLOOKUP(A188,Sheet2!A:B,2,0)</f>
        <v>Americas</v>
      </c>
      <c r="F188" t="s">
        <v>13</v>
      </c>
      <c r="G188" t="s">
        <v>494</v>
      </c>
      <c r="H188" t="s">
        <v>14</v>
      </c>
      <c r="I188" t="s">
        <v>456</v>
      </c>
      <c r="J188" s="13">
        <v>-2475.21</v>
      </c>
      <c r="K188" s="12">
        <v>-1811.482</v>
      </c>
      <c r="L188" s="12">
        <v>1811.482</v>
      </c>
      <c r="M188" s="12">
        <v>26877.038</v>
      </c>
      <c r="N188" t="s">
        <v>495</v>
      </c>
      <c r="O188" t="s">
        <v>479</v>
      </c>
      <c r="P188" t="s">
        <v>496</v>
      </c>
      <c r="AH188"/>
      <c r="AT188"/>
    </row>
    <row r="189" spans="1:46">
      <c r="A189" t="s">
        <v>454</v>
      </c>
      <c r="B189" s="10">
        <v>45995</v>
      </c>
      <c r="C189" s="10" t="str">
        <f>UPPER(TEXT(B189, "[$-en-US]mmmm"))</f>
        <v>DECEMBER</v>
      </c>
      <c r="D189" s="41">
        <f>YEAR(B189)</f>
        <v>2025</v>
      </c>
      <c r="E189" s="10" t="str">
        <f>VLOOKUP(A189,Sheet2!A:B,2,0)</f>
        <v>Americas</v>
      </c>
      <c r="F189" t="s">
        <v>13</v>
      </c>
      <c r="G189" t="s">
        <v>497</v>
      </c>
      <c r="H189" t="s">
        <v>1576</v>
      </c>
      <c r="I189" t="s">
        <v>456</v>
      </c>
      <c r="J189" s="13">
        <v>-8335.69</v>
      </c>
      <c r="K189" s="12">
        <v>-6100.4750000000004</v>
      </c>
      <c r="L189" s="12">
        <v>1682.8889999999999</v>
      </c>
      <c r="M189" s="12">
        <v>-1682.8889999999999</v>
      </c>
      <c r="N189" t="s">
        <v>498</v>
      </c>
      <c r="O189" t="s">
        <v>14</v>
      </c>
      <c r="P189" t="s">
        <v>499</v>
      </c>
      <c r="AH189"/>
      <c r="AT189"/>
    </row>
    <row r="190" spans="1:46">
      <c r="A190" t="s">
        <v>454</v>
      </c>
      <c r="B190" s="10">
        <v>44659</v>
      </c>
      <c r="C190" s="10" t="str">
        <f>UPPER(TEXT(B190, "[$-en-US]mmmm"))</f>
        <v>APRIL</v>
      </c>
      <c r="D190" s="41">
        <f>YEAR(B190)</f>
        <v>2022</v>
      </c>
      <c r="E190" s="10" t="str">
        <f>VLOOKUP(A190,Sheet2!A:B,2,0)</f>
        <v>Americas</v>
      </c>
      <c r="F190" t="s">
        <v>13</v>
      </c>
      <c r="G190" t="s">
        <v>500</v>
      </c>
      <c r="H190" t="s">
        <v>1578</v>
      </c>
      <c r="I190" t="s">
        <v>456</v>
      </c>
      <c r="J190" s="13">
        <v>-29893.5</v>
      </c>
      <c r="K190" s="12">
        <v>-21877.558000000001</v>
      </c>
      <c r="L190" s="12">
        <v>1472.5260000000001</v>
      </c>
      <c r="M190" s="12">
        <v>-1472.5260000000001</v>
      </c>
      <c r="N190" t="s">
        <v>501</v>
      </c>
      <c r="O190" t="s">
        <v>14</v>
      </c>
      <c r="P190" t="s">
        <v>502</v>
      </c>
      <c r="AH190"/>
      <c r="AT190"/>
    </row>
    <row r="191" spans="1:46">
      <c r="A191" t="s">
        <v>454</v>
      </c>
      <c r="B191" s="10">
        <v>46100</v>
      </c>
      <c r="C191" s="10" t="str">
        <f>UPPER(TEXT(B191, "[$-en-US]mmmm"))</f>
        <v>MARCH</v>
      </c>
      <c r="D191" s="41">
        <f>YEAR(B191)</f>
        <v>2026</v>
      </c>
      <c r="E191" s="10" t="str">
        <f>VLOOKUP(A191,Sheet2!A:B,2,0)</f>
        <v>Americas</v>
      </c>
      <c r="F191" t="s">
        <v>13</v>
      </c>
      <c r="G191" t="s">
        <v>503</v>
      </c>
      <c r="H191" t="s">
        <v>14</v>
      </c>
      <c r="I191" t="s">
        <v>456</v>
      </c>
      <c r="J191" s="13">
        <v>-1582</v>
      </c>
      <c r="K191" s="12">
        <v>-1157.787</v>
      </c>
      <c r="L191" s="12">
        <v>1157.787</v>
      </c>
      <c r="M191" s="12">
        <v>-1157.787</v>
      </c>
      <c r="N191" t="s">
        <v>504</v>
      </c>
      <c r="O191" t="s">
        <v>14</v>
      </c>
      <c r="P191" t="s">
        <v>505</v>
      </c>
      <c r="AH191"/>
      <c r="AT191"/>
    </row>
    <row r="192" spans="1:46">
      <c r="A192" t="s">
        <v>454</v>
      </c>
      <c r="B192" s="10">
        <v>44915</v>
      </c>
      <c r="C192" s="10" t="str">
        <f>UPPER(TEXT(B192, "[$-en-US]mmmm"))</f>
        <v>DECEMBER</v>
      </c>
      <c r="D192" s="41">
        <f>YEAR(B192)</f>
        <v>2022</v>
      </c>
      <c r="E192" s="10" t="str">
        <f>VLOOKUP(A192,Sheet2!A:B,2,0)</f>
        <v>Americas</v>
      </c>
      <c r="F192" t="s">
        <v>13</v>
      </c>
      <c r="G192" t="s">
        <v>506</v>
      </c>
      <c r="H192" t="s">
        <v>14</v>
      </c>
      <c r="I192" t="s">
        <v>456</v>
      </c>
      <c r="J192" s="13">
        <v>-1271.25</v>
      </c>
      <c r="K192" s="12">
        <v>-930.36400000000003</v>
      </c>
      <c r="L192" s="12">
        <v>930.36400000000003</v>
      </c>
      <c r="M192" s="12">
        <v>-930.36400000000003</v>
      </c>
      <c r="N192" t="s">
        <v>507</v>
      </c>
      <c r="O192" t="s">
        <v>76</v>
      </c>
      <c r="P192" t="s">
        <v>508</v>
      </c>
      <c r="AH192"/>
      <c r="AT192"/>
    </row>
    <row r="193" spans="1:46">
      <c r="A193" t="s">
        <v>454</v>
      </c>
      <c r="B193" s="10">
        <v>45446</v>
      </c>
      <c r="C193" s="10" t="str">
        <f>UPPER(TEXT(B193, "[$-en-US]mmmm"))</f>
        <v>JUNE</v>
      </c>
      <c r="D193" s="41">
        <f>YEAR(B193)</f>
        <v>2024</v>
      </c>
      <c r="E193" s="10" t="str">
        <f>VLOOKUP(A193,Sheet2!A:B,2,0)</f>
        <v>Americas</v>
      </c>
      <c r="F193" t="s">
        <v>13</v>
      </c>
      <c r="G193" t="s">
        <v>509</v>
      </c>
      <c r="H193" t="s">
        <v>14</v>
      </c>
      <c r="I193" t="s">
        <v>456</v>
      </c>
      <c r="J193" s="13">
        <v>-1112.08</v>
      </c>
      <c r="K193" s="12">
        <v>-813.87599999999998</v>
      </c>
      <c r="L193" s="12">
        <v>813.87599999999998</v>
      </c>
      <c r="M193" s="12">
        <v>-91511.6</v>
      </c>
      <c r="N193" t="s">
        <v>457</v>
      </c>
      <c r="O193" t="s">
        <v>14</v>
      </c>
      <c r="P193" t="s">
        <v>510</v>
      </c>
      <c r="AH193"/>
      <c r="AT193"/>
    </row>
    <row r="194" spans="1:46">
      <c r="A194" t="s">
        <v>454</v>
      </c>
      <c r="B194" s="10">
        <v>45805</v>
      </c>
      <c r="C194" s="10" t="str">
        <f>UPPER(TEXT(B194, "[$-en-US]mmmm"))</f>
        <v>MAY</v>
      </c>
      <c r="D194" s="41">
        <f>YEAR(B194)</f>
        <v>2025</v>
      </c>
      <c r="E194" s="10" t="str">
        <f>VLOOKUP(A194,Sheet2!A:B,2,0)</f>
        <v>Americas</v>
      </c>
      <c r="F194" t="s">
        <v>13</v>
      </c>
      <c r="G194" t="s">
        <v>511</v>
      </c>
      <c r="H194" t="s">
        <v>14</v>
      </c>
      <c r="I194" t="s">
        <v>456</v>
      </c>
      <c r="J194" s="13">
        <v>-923</v>
      </c>
      <c r="K194" s="12">
        <v>-675.49800000000005</v>
      </c>
      <c r="L194" s="12">
        <v>675.49800000000005</v>
      </c>
      <c r="M194" s="12">
        <v>-91511.6</v>
      </c>
      <c r="N194" t="s">
        <v>457</v>
      </c>
      <c r="O194" t="s">
        <v>14</v>
      </c>
      <c r="P194" t="s">
        <v>512</v>
      </c>
      <c r="AH194"/>
      <c r="AT194"/>
    </row>
    <row r="195" spans="1:46">
      <c r="A195" t="s">
        <v>454</v>
      </c>
      <c r="B195" s="10">
        <v>45981</v>
      </c>
      <c r="C195" s="10" t="str">
        <f>UPPER(TEXT(B195, "[$-en-US]mmmm"))</f>
        <v>NOVEMBER</v>
      </c>
      <c r="D195" s="41">
        <f>YEAR(B195)</f>
        <v>2025</v>
      </c>
      <c r="E195" s="10" t="str">
        <f>VLOOKUP(A195,Sheet2!A:B,2,0)</f>
        <v>Americas</v>
      </c>
      <c r="F195" t="s">
        <v>13</v>
      </c>
      <c r="G195" t="s">
        <v>513</v>
      </c>
      <c r="H195" t="s">
        <v>14</v>
      </c>
      <c r="I195" t="s">
        <v>456</v>
      </c>
      <c r="J195" s="13">
        <v>-768.4</v>
      </c>
      <c r="K195" s="12">
        <v>-562.35400000000004</v>
      </c>
      <c r="L195" s="12">
        <v>562.35400000000004</v>
      </c>
      <c r="M195" s="12">
        <v>-562.35400000000004</v>
      </c>
      <c r="N195" t="s">
        <v>514</v>
      </c>
      <c r="O195" t="s">
        <v>14</v>
      </c>
      <c r="P195" t="s">
        <v>515</v>
      </c>
      <c r="AH195"/>
      <c r="AT195"/>
    </row>
    <row r="196" spans="1:46">
      <c r="A196" t="s">
        <v>454</v>
      </c>
      <c r="B196" s="10">
        <v>45218</v>
      </c>
      <c r="C196" s="10" t="str">
        <f>UPPER(TEXT(B196, "[$-en-US]mmmm"))</f>
        <v>OCTOBER</v>
      </c>
      <c r="D196" s="41">
        <f>YEAR(B196)</f>
        <v>2023</v>
      </c>
      <c r="E196" s="10" t="str">
        <f>VLOOKUP(A196,Sheet2!A:B,2,0)</f>
        <v>Americas</v>
      </c>
      <c r="F196" t="s">
        <v>13</v>
      </c>
      <c r="G196" t="s">
        <v>516</v>
      </c>
      <c r="H196" t="s">
        <v>14</v>
      </c>
      <c r="I196" t="s">
        <v>456</v>
      </c>
      <c r="J196" s="13">
        <v>-600</v>
      </c>
      <c r="K196" s="12">
        <v>-439.11</v>
      </c>
      <c r="L196" s="12">
        <v>439.11</v>
      </c>
      <c r="M196" s="12">
        <v>-439.11</v>
      </c>
      <c r="N196" t="s">
        <v>517</v>
      </c>
      <c r="O196" t="s">
        <v>14</v>
      </c>
      <c r="P196" t="s">
        <v>518</v>
      </c>
      <c r="AH196"/>
      <c r="AT196"/>
    </row>
    <row r="197" spans="1:46">
      <c r="A197" t="s">
        <v>454</v>
      </c>
      <c r="B197" s="10">
        <v>45630</v>
      </c>
      <c r="C197" s="10" t="str">
        <f>UPPER(TEXT(B197, "[$-en-US]mmmm"))</f>
        <v>DECEMBER</v>
      </c>
      <c r="D197" s="41">
        <f>YEAR(B197)</f>
        <v>2024</v>
      </c>
      <c r="E197" s="10" t="str">
        <f>VLOOKUP(A197,Sheet2!A:B,2,0)</f>
        <v>Americas</v>
      </c>
      <c r="F197" t="s">
        <v>13</v>
      </c>
      <c r="G197" t="s">
        <v>519</v>
      </c>
      <c r="H197" t="s">
        <v>1579</v>
      </c>
      <c r="I197" t="s">
        <v>456</v>
      </c>
      <c r="J197" s="13">
        <v>-1895.04</v>
      </c>
      <c r="K197" s="12">
        <v>-1386.885</v>
      </c>
      <c r="L197" s="12">
        <v>403.279</v>
      </c>
      <c r="M197" s="12">
        <v>-403.279</v>
      </c>
      <c r="N197" t="s">
        <v>520</v>
      </c>
      <c r="O197" t="s">
        <v>14</v>
      </c>
      <c r="P197" t="s">
        <v>521</v>
      </c>
      <c r="AH197"/>
      <c r="AT197"/>
    </row>
    <row r="198" spans="1:46">
      <c r="A198" t="s">
        <v>454</v>
      </c>
      <c r="B198" s="10">
        <v>45016</v>
      </c>
      <c r="C198" s="10" t="str">
        <f>UPPER(TEXT(B198, "[$-en-US]mmmm"))</f>
        <v>MARCH</v>
      </c>
      <c r="D198" s="41">
        <f>YEAR(B198)</f>
        <v>2023</v>
      </c>
      <c r="E198" s="10" t="str">
        <f>VLOOKUP(A198,Sheet2!A:B,2,0)</f>
        <v>Americas</v>
      </c>
      <c r="F198" t="s">
        <v>13</v>
      </c>
      <c r="G198" t="s">
        <v>522</v>
      </c>
      <c r="H198" t="s">
        <v>1580</v>
      </c>
      <c r="I198" t="s">
        <v>456</v>
      </c>
      <c r="J198" s="13">
        <v>-1035.82</v>
      </c>
      <c r="K198" s="12">
        <v>-758.06500000000005</v>
      </c>
      <c r="L198" s="12">
        <v>379.03199999999998</v>
      </c>
      <c r="M198" s="12">
        <v>-379.03199999999998</v>
      </c>
      <c r="N198" t="s">
        <v>523</v>
      </c>
      <c r="O198" t="s">
        <v>479</v>
      </c>
      <c r="P198" t="s">
        <v>524</v>
      </c>
      <c r="AH198"/>
      <c r="AT198"/>
    </row>
    <row r="199" spans="1:46">
      <c r="A199" t="s">
        <v>454</v>
      </c>
      <c r="B199" s="10">
        <v>46113</v>
      </c>
      <c r="C199" s="10" t="str">
        <f>UPPER(TEXT(B199, "[$-en-US]mmmm"))</f>
        <v>APRIL</v>
      </c>
      <c r="D199" s="41">
        <f>YEAR(B199)</f>
        <v>2026</v>
      </c>
      <c r="E199" s="10" t="str">
        <f>VLOOKUP(A199,Sheet2!A:B,2,0)</f>
        <v>Americas</v>
      </c>
      <c r="F199" t="s">
        <v>13</v>
      </c>
      <c r="G199" t="s">
        <v>525</v>
      </c>
      <c r="H199" t="s">
        <v>1581</v>
      </c>
      <c r="I199" t="s">
        <v>456</v>
      </c>
      <c r="J199" s="13">
        <v>-6934.09</v>
      </c>
      <c r="K199" s="12">
        <v>-5074.7139999999999</v>
      </c>
      <c r="L199" s="12">
        <v>220.631</v>
      </c>
      <c r="M199" s="12">
        <v>-220.631</v>
      </c>
      <c r="N199" t="s">
        <v>526</v>
      </c>
      <c r="O199" t="s">
        <v>14</v>
      </c>
      <c r="P199" t="s">
        <v>527</v>
      </c>
      <c r="AH199"/>
      <c r="AT199"/>
    </row>
    <row r="200" spans="1:46">
      <c r="A200" t="s">
        <v>454</v>
      </c>
      <c r="B200" s="10">
        <v>45065</v>
      </c>
      <c r="C200" s="10" t="str">
        <f>UPPER(TEXT(B200, "[$-en-US]mmmm"))</f>
        <v>MAY</v>
      </c>
      <c r="D200" s="41">
        <f>YEAR(B200)</f>
        <v>2023</v>
      </c>
      <c r="E200" s="10" t="str">
        <f>VLOOKUP(A200,Sheet2!A:B,2,0)</f>
        <v>Americas</v>
      </c>
      <c r="F200" t="s">
        <v>13</v>
      </c>
      <c r="G200" t="s">
        <v>528</v>
      </c>
      <c r="H200" t="s">
        <v>14</v>
      </c>
      <c r="I200" t="s">
        <v>456</v>
      </c>
      <c r="J200" s="13">
        <v>-297.10000000000002</v>
      </c>
      <c r="K200" s="12">
        <v>-217.43299999999999</v>
      </c>
      <c r="L200" s="12">
        <v>217.43299999999999</v>
      </c>
      <c r="M200" s="12">
        <v>-91511.6</v>
      </c>
      <c r="N200" t="s">
        <v>457</v>
      </c>
      <c r="O200" t="s">
        <v>14</v>
      </c>
      <c r="P200" t="s">
        <v>529</v>
      </c>
      <c r="AH200"/>
      <c r="AT200"/>
    </row>
    <row r="201" spans="1:46">
      <c r="A201" t="s">
        <v>454</v>
      </c>
      <c r="B201" s="10">
        <v>44965</v>
      </c>
      <c r="C201" s="10" t="str">
        <f>UPPER(TEXT(B201, "[$-en-US]mmmm"))</f>
        <v>FEBRUARY</v>
      </c>
      <c r="D201" s="41">
        <f>YEAR(B201)</f>
        <v>2023</v>
      </c>
      <c r="E201" s="10" t="str">
        <f>VLOOKUP(A201,Sheet2!A:B,2,0)</f>
        <v>Americas</v>
      </c>
      <c r="F201" t="s">
        <v>13</v>
      </c>
      <c r="G201" t="s">
        <v>530</v>
      </c>
      <c r="H201" t="s">
        <v>14</v>
      </c>
      <c r="I201" t="s">
        <v>456</v>
      </c>
      <c r="J201" s="13">
        <v>-259.38</v>
      </c>
      <c r="K201" s="12">
        <v>-189.827</v>
      </c>
      <c r="L201" s="12">
        <v>189.827</v>
      </c>
      <c r="M201" s="12">
        <v>-91511.6</v>
      </c>
      <c r="N201" t="s">
        <v>457</v>
      </c>
      <c r="O201" t="s">
        <v>14</v>
      </c>
      <c r="P201" t="s">
        <v>531</v>
      </c>
      <c r="AH201"/>
      <c r="AT201"/>
    </row>
    <row r="202" spans="1:46">
      <c r="A202" t="s">
        <v>454</v>
      </c>
      <c r="B202" s="10">
        <v>44680</v>
      </c>
      <c r="C202" s="10" t="str">
        <f>UPPER(TEXT(B202, "[$-en-US]mmmm"))</f>
        <v>APRIL</v>
      </c>
      <c r="D202" s="41">
        <f>YEAR(B202)</f>
        <v>2022</v>
      </c>
      <c r="E202" s="10" t="str">
        <f>VLOOKUP(A202,Sheet2!A:B,2,0)</f>
        <v>Americas</v>
      </c>
      <c r="F202" t="s">
        <v>13</v>
      </c>
      <c r="G202" t="s">
        <v>532</v>
      </c>
      <c r="H202" t="s">
        <v>14</v>
      </c>
      <c r="I202" t="s">
        <v>456</v>
      </c>
      <c r="J202" s="13">
        <v>-196.43</v>
      </c>
      <c r="K202" s="12">
        <v>-143.75700000000001</v>
      </c>
      <c r="L202" s="12">
        <v>143.75700000000001</v>
      </c>
      <c r="M202" s="12">
        <v>-91511.6</v>
      </c>
      <c r="N202" t="s">
        <v>457</v>
      </c>
      <c r="O202" t="s">
        <v>14</v>
      </c>
      <c r="P202" t="s">
        <v>533</v>
      </c>
      <c r="AH202"/>
      <c r="AT202"/>
    </row>
    <row r="203" spans="1:46">
      <c r="A203" t="s">
        <v>454</v>
      </c>
      <c r="B203" s="10">
        <v>45498</v>
      </c>
      <c r="C203" s="10" t="str">
        <f>UPPER(TEXT(B203, "[$-en-US]mmmm"))</f>
        <v>JULY</v>
      </c>
      <c r="D203" s="41">
        <f>YEAR(B203)</f>
        <v>2024</v>
      </c>
      <c r="E203" s="10" t="str">
        <f>VLOOKUP(A203,Sheet2!A:B,2,0)</f>
        <v>Americas</v>
      </c>
      <c r="F203" t="s">
        <v>13</v>
      </c>
      <c r="G203" t="s">
        <v>534</v>
      </c>
      <c r="H203" t="s">
        <v>14</v>
      </c>
      <c r="I203" t="s">
        <v>456</v>
      </c>
      <c r="J203" s="13">
        <v>-179.21</v>
      </c>
      <c r="K203" s="12">
        <v>-131.155</v>
      </c>
      <c r="L203" s="12">
        <v>131.155</v>
      </c>
      <c r="M203" s="12">
        <v>-91511.6</v>
      </c>
      <c r="N203" t="s">
        <v>457</v>
      </c>
      <c r="O203" t="s">
        <v>14</v>
      </c>
      <c r="P203" t="s">
        <v>535</v>
      </c>
      <c r="AH203"/>
      <c r="AT203"/>
    </row>
    <row r="204" spans="1:46">
      <c r="A204" t="s">
        <v>454</v>
      </c>
      <c r="B204" s="10">
        <v>44957</v>
      </c>
      <c r="C204" s="10" t="str">
        <f>UPPER(TEXT(B204, "[$-en-US]mmmm"))</f>
        <v>JANUARY</v>
      </c>
      <c r="D204" s="41">
        <f>YEAR(B204)</f>
        <v>2023</v>
      </c>
      <c r="E204" s="10" t="str">
        <f>VLOOKUP(A204,Sheet2!A:B,2,0)</f>
        <v>Americas</v>
      </c>
      <c r="F204" t="s">
        <v>13</v>
      </c>
      <c r="G204" t="s">
        <v>536</v>
      </c>
      <c r="H204" t="s">
        <v>1582</v>
      </c>
      <c r="I204" t="s">
        <v>456</v>
      </c>
      <c r="J204" s="13">
        <v>-1300.01</v>
      </c>
      <c r="K204" s="12">
        <v>-951.41200000000003</v>
      </c>
      <c r="L204" s="12">
        <v>124.41500000000001</v>
      </c>
      <c r="M204" s="12">
        <v>-124.41500000000001</v>
      </c>
      <c r="N204" t="s">
        <v>537</v>
      </c>
      <c r="O204" t="s">
        <v>479</v>
      </c>
      <c r="P204" t="s">
        <v>471</v>
      </c>
      <c r="AH204"/>
      <c r="AT204"/>
    </row>
    <row r="205" spans="1:46">
      <c r="A205" t="s">
        <v>454</v>
      </c>
      <c r="B205" s="10">
        <v>45433</v>
      </c>
      <c r="C205" s="10" t="str">
        <f>UPPER(TEXT(B205, "[$-en-US]mmmm"))</f>
        <v>MAY</v>
      </c>
      <c r="D205" s="41">
        <f>YEAR(B205)</f>
        <v>2024</v>
      </c>
      <c r="E205" s="10" t="str">
        <f>VLOOKUP(A205,Sheet2!A:B,2,0)</f>
        <v>Americas</v>
      </c>
      <c r="F205" t="s">
        <v>13</v>
      </c>
      <c r="G205" t="s">
        <v>538</v>
      </c>
      <c r="H205" t="s">
        <v>14</v>
      </c>
      <c r="I205" t="s">
        <v>456</v>
      </c>
      <c r="J205" s="13">
        <v>-157.33000000000001</v>
      </c>
      <c r="K205" s="12">
        <v>-115.142</v>
      </c>
      <c r="L205" s="12">
        <v>115.142</v>
      </c>
      <c r="M205" s="12">
        <v>-91511.6</v>
      </c>
      <c r="N205" t="s">
        <v>457</v>
      </c>
      <c r="O205" t="s">
        <v>14</v>
      </c>
      <c r="P205" t="s">
        <v>539</v>
      </c>
      <c r="AH205"/>
      <c r="AT205"/>
    </row>
    <row r="206" spans="1:46">
      <c r="A206" t="s">
        <v>454</v>
      </c>
      <c r="B206" s="10">
        <v>46000</v>
      </c>
      <c r="C206" s="10" t="str">
        <f>UPPER(TEXT(B206, "[$-en-US]mmmm"))</f>
        <v>DECEMBER</v>
      </c>
      <c r="D206" s="41">
        <f>YEAR(B206)</f>
        <v>2025</v>
      </c>
      <c r="E206" s="10" t="str">
        <f>VLOOKUP(A206,Sheet2!A:B,2,0)</f>
        <v>Americas</v>
      </c>
      <c r="F206" t="s">
        <v>13</v>
      </c>
      <c r="G206" t="s">
        <v>540</v>
      </c>
      <c r="H206" t="s">
        <v>14</v>
      </c>
      <c r="I206" t="s">
        <v>456</v>
      </c>
      <c r="J206" s="13">
        <v>-145.09</v>
      </c>
      <c r="K206" s="12">
        <v>-106.184</v>
      </c>
      <c r="L206" s="12">
        <v>106.184</v>
      </c>
      <c r="M206" s="12">
        <v>-91511.6</v>
      </c>
      <c r="N206" t="s">
        <v>457</v>
      </c>
      <c r="O206" t="s">
        <v>14</v>
      </c>
      <c r="P206" t="s">
        <v>541</v>
      </c>
      <c r="AH206"/>
      <c r="AT206"/>
    </row>
    <row r="207" spans="1:46">
      <c r="A207" t="s">
        <v>454</v>
      </c>
      <c r="B207" s="10">
        <v>45828</v>
      </c>
      <c r="C207" s="10" t="str">
        <f>UPPER(TEXT(B207, "[$-en-US]mmmm"))</f>
        <v>JUNE</v>
      </c>
      <c r="D207" s="41">
        <f>YEAR(B207)</f>
        <v>2025</v>
      </c>
      <c r="E207" s="10" t="str">
        <f>VLOOKUP(A207,Sheet2!A:B,2,0)</f>
        <v>Americas</v>
      </c>
      <c r="F207" t="s">
        <v>13</v>
      </c>
      <c r="G207" t="s">
        <v>542</v>
      </c>
      <c r="H207" t="s">
        <v>14</v>
      </c>
      <c r="I207" t="s">
        <v>456</v>
      </c>
      <c r="J207" s="13">
        <v>-133.22999999999999</v>
      </c>
      <c r="K207" s="12">
        <v>-97.504000000000005</v>
      </c>
      <c r="L207" s="12">
        <v>97.504000000000005</v>
      </c>
      <c r="M207" s="12">
        <v>-91511.6</v>
      </c>
      <c r="N207" t="s">
        <v>457</v>
      </c>
      <c r="O207" t="s">
        <v>14</v>
      </c>
      <c r="P207" t="s">
        <v>541</v>
      </c>
      <c r="AH207"/>
      <c r="AT207"/>
    </row>
    <row r="208" spans="1:46">
      <c r="A208" t="s">
        <v>454</v>
      </c>
      <c r="B208" s="10">
        <v>45793</v>
      </c>
      <c r="C208" s="10" t="str">
        <f>UPPER(TEXT(B208, "[$-en-US]mmmm"))</f>
        <v>MAY</v>
      </c>
      <c r="D208" s="41">
        <f>YEAR(B208)</f>
        <v>2025</v>
      </c>
      <c r="E208" s="10" t="str">
        <f>VLOOKUP(A208,Sheet2!A:B,2,0)</f>
        <v>Americas</v>
      </c>
      <c r="F208" t="s">
        <v>13</v>
      </c>
      <c r="G208" t="s">
        <v>543</v>
      </c>
      <c r="H208" t="s">
        <v>14</v>
      </c>
      <c r="I208" t="s">
        <v>456</v>
      </c>
      <c r="J208" s="13">
        <v>-109.91</v>
      </c>
      <c r="K208" s="12">
        <v>-80.438000000000002</v>
      </c>
      <c r="L208" s="12">
        <v>80.438000000000002</v>
      </c>
      <c r="M208" s="12">
        <v>-91511.6</v>
      </c>
      <c r="N208" t="s">
        <v>457</v>
      </c>
      <c r="O208" t="s">
        <v>14</v>
      </c>
      <c r="P208" t="s">
        <v>544</v>
      </c>
      <c r="AH208"/>
      <c r="AT208"/>
    </row>
    <row r="209" spans="1:46">
      <c r="A209" t="s">
        <v>454</v>
      </c>
      <c r="B209" s="10">
        <v>45229</v>
      </c>
      <c r="C209" s="10" t="str">
        <f>UPPER(TEXT(B209, "[$-en-US]mmmm"))</f>
        <v>OCTOBER</v>
      </c>
      <c r="D209" s="41">
        <f>YEAR(B209)</f>
        <v>2023</v>
      </c>
      <c r="E209" s="10" t="str">
        <f>VLOOKUP(A209,Sheet2!A:B,2,0)</f>
        <v>Americas</v>
      </c>
      <c r="F209" t="s">
        <v>13</v>
      </c>
      <c r="G209" t="s">
        <v>545</v>
      </c>
      <c r="H209" t="s">
        <v>14</v>
      </c>
      <c r="I209" t="s">
        <v>456</v>
      </c>
      <c r="J209" s="13">
        <v>-104.5</v>
      </c>
      <c r="K209" s="12">
        <v>-76.477999999999994</v>
      </c>
      <c r="L209" s="12">
        <v>76.477999999999994</v>
      </c>
      <c r="M209" s="12">
        <v>-91511.6</v>
      </c>
      <c r="N209" t="s">
        <v>457</v>
      </c>
      <c r="O209" t="s">
        <v>14</v>
      </c>
      <c r="P209" t="s">
        <v>546</v>
      </c>
      <c r="AH209"/>
      <c r="AT209"/>
    </row>
    <row r="210" spans="1:46">
      <c r="A210" t="s">
        <v>454</v>
      </c>
      <c r="B210" s="10">
        <v>45841</v>
      </c>
      <c r="C210" s="10" t="str">
        <f>UPPER(TEXT(B210, "[$-en-US]mmmm"))</f>
        <v>JULY</v>
      </c>
      <c r="D210" s="41">
        <f>YEAR(B210)</f>
        <v>2025</v>
      </c>
      <c r="E210" s="10" t="str">
        <f>VLOOKUP(A210,Sheet2!A:B,2,0)</f>
        <v>Americas</v>
      </c>
      <c r="F210" t="s">
        <v>13</v>
      </c>
      <c r="G210" t="s">
        <v>547</v>
      </c>
      <c r="H210" t="s">
        <v>14</v>
      </c>
      <c r="I210" t="s">
        <v>456</v>
      </c>
      <c r="J210" s="13">
        <v>-71.8</v>
      </c>
      <c r="K210" s="12">
        <v>-52.546999999999997</v>
      </c>
      <c r="L210" s="12">
        <v>52.546999999999997</v>
      </c>
      <c r="M210" s="12">
        <v>-91511.6</v>
      </c>
      <c r="N210" t="s">
        <v>457</v>
      </c>
      <c r="O210" t="s">
        <v>14</v>
      </c>
      <c r="P210" t="s">
        <v>541</v>
      </c>
      <c r="AH210"/>
      <c r="AT210"/>
    </row>
    <row r="211" spans="1:46">
      <c r="A211" t="s">
        <v>454</v>
      </c>
      <c r="B211" s="10">
        <v>46008</v>
      </c>
      <c r="C211" s="10" t="str">
        <f>UPPER(TEXT(B211, "[$-en-US]mmmm"))</f>
        <v>DECEMBER</v>
      </c>
      <c r="D211" s="41">
        <f>YEAR(B211)</f>
        <v>2025</v>
      </c>
      <c r="E211" s="10" t="str">
        <f>VLOOKUP(A211,Sheet2!A:B,2,0)</f>
        <v>Americas</v>
      </c>
      <c r="F211" t="s">
        <v>13</v>
      </c>
      <c r="G211" t="s">
        <v>548</v>
      </c>
      <c r="H211" t="s">
        <v>14</v>
      </c>
      <c r="I211" t="s">
        <v>456</v>
      </c>
      <c r="J211" s="13">
        <v>-14.7</v>
      </c>
      <c r="K211" s="12">
        <v>-10.757999999999999</v>
      </c>
      <c r="L211" s="12">
        <v>10.757999999999999</v>
      </c>
      <c r="M211" s="12">
        <v>-91511.6</v>
      </c>
      <c r="N211" t="s">
        <v>457</v>
      </c>
      <c r="O211" t="s">
        <v>14</v>
      </c>
      <c r="P211" t="s">
        <v>549</v>
      </c>
      <c r="AH211"/>
      <c r="AT211"/>
    </row>
    <row r="212" spans="1:46">
      <c r="A212" t="s">
        <v>550</v>
      </c>
      <c r="B212" s="10">
        <v>43556</v>
      </c>
      <c r="C212" s="10" t="str">
        <f>UPPER(TEXT(B212, "[$-en-US]mmmm"))</f>
        <v>APRIL</v>
      </c>
      <c r="D212" s="41">
        <f>YEAR(B212)</f>
        <v>2019</v>
      </c>
      <c r="E212" s="10" t="str">
        <f>VLOOKUP(A212,Sheet2!A:B,2,0)</f>
        <v>Sysomos</v>
      </c>
      <c r="F212" t="s">
        <v>13</v>
      </c>
      <c r="G212" t="s">
        <v>551</v>
      </c>
      <c r="H212" t="s">
        <v>1584</v>
      </c>
      <c r="I212" t="s">
        <v>456</v>
      </c>
      <c r="J212" s="13">
        <v>-6900</v>
      </c>
      <c r="K212" s="12">
        <v>-5256.9440000000004</v>
      </c>
      <c r="L212" s="12">
        <v>5256.9440000000004</v>
      </c>
      <c r="M212" s="12">
        <v>-5256.9440000000004</v>
      </c>
      <c r="N212" t="s">
        <v>552</v>
      </c>
      <c r="O212" t="s">
        <v>14</v>
      </c>
      <c r="P212" t="s">
        <v>553</v>
      </c>
      <c r="AH212"/>
      <c r="AT212"/>
    </row>
    <row r="213" spans="1:46">
      <c r="A213" t="s">
        <v>550</v>
      </c>
      <c r="B213" s="10">
        <v>43728</v>
      </c>
      <c r="C213" s="10" t="str">
        <f>UPPER(TEXT(B213, "[$-en-US]mmmm"))</f>
        <v>SEPTEMBER</v>
      </c>
      <c r="D213" s="41">
        <f>YEAR(B213)</f>
        <v>2019</v>
      </c>
      <c r="E213" s="10" t="str">
        <f>VLOOKUP(A213,Sheet2!A:B,2,0)</f>
        <v>Sysomos</v>
      </c>
      <c r="F213" t="s">
        <v>13</v>
      </c>
      <c r="G213" t="s">
        <v>554</v>
      </c>
      <c r="H213" t="s">
        <v>1585</v>
      </c>
      <c r="I213" t="s">
        <v>456</v>
      </c>
      <c r="J213" s="13">
        <v>-40383.4</v>
      </c>
      <c r="K213" s="12">
        <v>-30767.143</v>
      </c>
      <c r="L213" s="12">
        <v>5127.8450000000003</v>
      </c>
      <c r="M213" s="12">
        <v>-5127.8450000000003</v>
      </c>
      <c r="N213" t="s">
        <v>555</v>
      </c>
      <c r="O213" t="s">
        <v>389</v>
      </c>
      <c r="P213" t="s">
        <v>556</v>
      </c>
      <c r="AH213"/>
      <c r="AT213"/>
    </row>
    <row r="214" spans="1:46">
      <c r="A214" t="s">
        <v>550</v>
      </c>
      <c r="B214" s="10">
        <v>43493</v>
      </c>
      <c r="C214" s="10" t="str">
        <f>UPPER(TEXT(B214, "[$-en-US]mmmm"))</f>
        <v>JANUARY</v>
      </c>
      <c r="D214" s="41">
        <f>YEAR(B214)</f>
        <v>2019</v>
      </c>
      <c r="E214" s="10" t="str">
        <f>VLOOKUP(A214,Sheet2!A:B,2,0)</f>
        <v>Sysomos</v>
      </c>
      <c r="F214" t="s">
        <v>13</v>
      </c>
      <c r="G214" t="s">
        <v>557</v>
      </c>
      <c r="H214" t="s">
        <v>1587</v>
      </c>
      <c r="I214" t="s">
        <v>456</v>
      </c>
      <c r="J214" s="13">
        <v>-4348.75</v>
      </c>
      <c r="K214" s="12">
        <v>-3313.2080000000001</v>
      </c>
      <c r="L214" s="12">
        <v>2981.8910000000001</v>
      </c>
      <c r="M214" s="12">
        <v>-2981.8910000000001</v>
      </c>
      <c r="N214" t="s">
        <v>558</v>
      </c>
      <c r="O214" t="s">
        <v>389</v>
      </c>
      <c r="P214" t="s">
        <v>14</v>
      </c>
      <c r="AH214"/>
      <c r="AT214"/>
    </row>
    <row r="215" spans="1:46">
      <c r="A215" t="s">
        <v>550</v>
      </c>
      <c r="B215" s="10">
        <v>43560</v>
      </c>
      <c r="C215" s="10" t="str">
        <f>UPPER(TEXT(B215, "[$-en-US]mmmm"))</f>
        <v>APRIL</v>
      </c>
      <c r="D215" s="41">
        <f>YEAR(B215)</f>
        <v>2019</v>
      </c>
      <c r="E215" s="10" t="str">
        <f>VLOOKUP(A215,Sheet2!A:B,2,0)</f>
        <v>Sysomos</v>
      </c>
      <c r="F215" t="s">
        <v>13</v>
      </c>
      <c r="G215" t="s">
        <v>559</v>
      </c>
      <c r="H215" t="s">
        <v>14</v>
      </c>
      <c r="I215" t="s">
        <v>15</v>
      </c>
      <c r="J215" s="11">
        <v>-2450.0100000000002</v>
      </c>
      <c r="K215" s="12">
        <v>-2493.3150000000001</v>
      </c>
      <c r="L215" s="12">
        <v>2493.3150000000001</v>
      </c>
      <c r="M215" s="12">
        <v>-2493.3150000000001</v>
      </c>
      <c r="N215" t="s">
        <v>560</v>
      </c>
      <c r="O215" t="s">
        <v>389</v>
      </c>
      <c r="P215" t="s">
        <v>561</v>
      </c>
      <c r="AH215"/>
      <c r="AT215"/>
    </row>
    <row r="216" spans="1:46">
      <c r="A216" t="s">
        <v>550</v>
      </c>
      <c r="B216" s="10">
        <v>43571</v>
      </c>
      <c r="C216" s="10" t="str">
        <f>UPPER(TEXT(B216, "[$-en-US]mmmm"))</f>
        <v>APRIL</v>
      </c>
      <c r="D216" s="41">
        <f>YEAR(B216)</f>
        <v>2019</v>
      </c>
      <c r="E216" s="10" t="str">
        <f>VLOOKUP(A216,Sheet2!A:B,2,0)</f>
        <v>Sysomos</v>
      </c>
      <c r="F216" t="s">
        <v>13</v>
      </c>
      <c r="G216" t="s">
        <v>562</v>
      </c>
      <c r="H216" t="s">
        <v>14</v>
      </c>
      <c r="I216" t="s">
        <v>563</v>
      </c>
      <c r="J216" s="14">
        <v>-1770.83</v>
      </c>
      <c r="K216" s="12">
        <v>-2363.9870000000001</v>
      </c>
      <c r="L216" s="12">
        <v>2363.9870000000001</v>
      </c>
      <c r="M216" s="12">
        <v>-2363.9870000000001</v>
      </c>
      <c r="N216" t="s">
        <v>564</v>
      </c>
      <c r="O216" t="s">
        <v>88</v>
      </c>
      <c r="P216" t="s">
        <v>565</v>
      </c>
      <c r="AH216"/>
      <c r="AT216"/>
    </row>
    <row r="217" spans="1:46">
      <c r="A217" t="s">
        <v>550</v>
      </c>
      <c r="B217" s="10">
        <v>43585</v>
      </c>
      <c r="C217" s="10" t="str">
        <f>UPPER(TEXT(B217, "[$-en-US]mmmm"))</f>
        <v>APRIL</v>
      </c>
      <c r="D217" s="41">
        <f>YEAR(B217)</f>
        <v>2019</v>
      </c>
      <c r="E217" s="10" t="str">
        <f>VLOOKUP(A217,Sheet2!A:B,2,0)</f>
        <v>Sysomos</v>
      </c>
      <c r="F217" t="s">
        <v>13</v>
      </c>
      <c r="G217" t="s">
        <v>566</v>
      </c>
      <c r="H217" t="s">
        <v>14</v>
      </c>
      <c r="I217" t="s">
        <v>15</v>
      </c>
      <c r="J217" s="11">
        <v>-1870.84</v>
      </c>
      <c r="K217" s="12">
        <v>-1917.5809999999999</v>
      </c>
      <c r="L217" s="12">
        <v>1917.5809999999999</v>
      </c>
      <c r="M217" s="12">
        <v>-1917.5809999999999</v>
      </c>
      <c r="N217" t="s">
        <v>567</v>
      </c>
      <c r="O217" t="s">
        <v>88</v>
      </c>
      <c r="P217" t="s">
        <v>568</v>
      </c>
      <c r="AH217"/>
      <c r="AT217"/>
    </row>
    <row r="218" spans="1:46">
      <c r="A218" t="s">
        <v>550</v>
      </c>
      <c r="B218" s="10">
        <v>43493</v>
      </c>
      <c r="C218" s="10" t="str">
        <f>UPPER(TEXT(B218, "[$-en-US]mmmm"))</f>
        <v>JANUARY</v>
      </c>
      <c r="D218" s="41">
        <f>YEAR(B218)</f>
        <v>2019</v>
      </c>
      <c r="E218" s="10" t="str">
        <f>VLOOKUP(A218,Sheet2!A:B,2,0)</f>
        <v>Sysomos</v>
      </c>
      <c r="F218" t="s">
        <v>13</v>
      </c>
      <c r="G218" t="s">
        <v>569</v>
      </c>
      <c r="H218" t="s">
        <v>1588</v>
      </c>
      <c r="I218" t="s">
        <v>15</v>
      </c>
      <c r="J218" s="11">
        <v>-2500</v>
      </c>
      <c r="K218" s="12">
        <v>-2518.8380000000002</v>
      </c>
      <c r="L218" s="12">
        <v>1259.4190000000001</v>
      </c>
      <c r="M218" s="12">
        <v>-1259.4190000000001</v>
      </c>
      <c r="N218" t="s">
        <v>570</v>
      </c>
      <c r="O218" t="s">
        <v>88</v>
      </c>
      <c r="P218" t="s">
        <v>14</v>
      </c>
      <c r="AH218"/>
      <c r="AT218"/>
    </row>
    <row r="219" spans="1:46">
      <c r="A219" t="s">
        <v>550</v>
      </c>
      <c r="B219" s="10">
        <v>43517</v>
      </c>
      <c r="C219" s="10" t="str">
        <f>UPPER(TEXT(B219, "[$-en-US]mmmm"))</f>
        <v>FEBRUARY</v>
      </c>
      <c r="D219" s="41">
        <f>YEAR(B219)</f>
        <v>2019</v>
      </c>
      <c r="E219" s="10" t="str">
        <f>VLOOKUP(A219,Sheet2!A:B,2,0)</f>
        <v>Sysomos</v>
      </c>
      <c r="F219" t="s">
        <v>13</v>
      </c>
      <c r="G219" t="s">
        <v>571</v>
      </c>
      <c r="H219" t="s">
        <v>1590</v>
      </c>
      <c r="I219" t="s">
        <v>456</v>
      </c>
      <c r="J219" s="13">
        <v>-8236.7800000000007</v>
      </c>
      <c r="K219" s="12">
        <v>-6275.4049999999997</v>
      </c>
      <c r="L219" s="12">
        <v>1215.4970000000001</v>
      </c>
      <c r="M219" s="12">
        <v>-1215.4970000000001</v>
      </c>
      <c r="N219" t="s">
        <v>572</v>
      </c>
      <c r="O219" t="s">
        <v>88</v>
      </c>
      <c r="P219" t="s">
        <v>14</v>
      </c>
      <c r="AH219"/>
      <c r="AT219"/>
    </row>
    <row r="220" spans="1:46">
      <c r="A220" t="s">
        <v>550</v>
      </c>
      <c r="B220" s="10">
        <v>43504</v>
      </c>
      <c r="C220" s="10" t="str">
        <f>UPPER(TEXT(B220, "[$-en-US]mmmm"))</f>
        <v>FEBRUARY</v>
      </c>
      <c r="D220" s="41">
        <f>YEAR(B220)</f>
        <v>2019</v>
      </c>
      <c r="E220" s="10" t="str">
        <f>VLOOKUP(A220,Sheet2!A:B,2,0)</f>
        <v>Sysomos</v>
      </c>
      <c r="F220" t="s">
        <v>13</v>
      </c>
      <c r="G220" t="s">
        <v>573</v>
      </c>
      <c r="H220" t="s">
        <v>1592</v>
      </c>
      <c r="I220" t="s">
        <v>15</v>
      </c>
      <c r="J220" s="11">
        <v>-3541.25</v>
      </c>
      <c r="K220" s="12">
        <v>-3593.0529999999999</v>
      </c>
      <c r="L220" s="12">
        <v>1138.441</v>
      </c>
      <c r="M220" s="12">
        <v>-1138.441</v>
      </c>
      <c r="N220" t="s">
        <v>574</v>
      </c>
      <c r="O220" t="s">
        <v>575</v>
      </c>
      <c r="P220" t="s">
        <v>576</v>
      </c>
      <c r="AH220"/>
      <c r="AT220"/>
    </row>
    <row r="221" spans="1:46">
      <c r="A221" t="s">
        <v>550</v>
      </c>
      <c r="B221" s="10">
        <v>43537</v>
      </c>
      <c r="C221" s="10" t="str">
        <f>UPPER(TEXT(B221, "[$-en-US]mmmm"))</f>
        <v>MARCH</v>
      </c>
      <c r="D221" s="41">
        <f>YEAR(B221)</f>
        <v>2019</v>
      </c>
      <c r="E221" s="10" t="str">
        <f>VLOOKUP(A221,Sheet2!A:B,2,0)</f>
        <v>Sysomos</v>
      </c>
      <c r="F221" t="s">
        <v>13</v>
      </c>
      <c r="G221" t="s">
        <v>577</v>
      </c>
      <c r="H221" t="s">
        <v>14</v>
      </c>
      <c r="I221" t="s">
        <v>456</v>
      </c>
      <c r="J221" s="13">
        <v>-1376.12</v>
      </c>
      <c r="K221" s="12">
        <v>-1048.433</v>
      </c>
      <c r="L221" s="12">
        <v>1048.433</v>
      </c>
      <c r="M221" s="12">
        <v>-1048.433</v>
      </c>
      <c r="N221" t="s">
        <v>578</v>
      </c>
      <c r="O221" t="s">
        <v>155</v>
      </c>
      <c r="P221" t="s">
        <v>579</v>
      </c>
      <c r="AH221"/>
      <c r="AT221"/>
    </row>
    <row r="222" spans="1:46">
      <c r="A222" t="s">
        <v>550</v>
      </c>
      <c r="B222" s="10">
        <v>43538</v>
      </c>
      <c r="C222" s="10" t="str">
        <f>UPPER(TEXT(B222, "[$-en-US]mmmm"))</f>
        <v>MARCH</v>
      </c>
      <c r="D222" s="41">
        <f>YEAR(B222)</f>
        <v>2019</v>
      </c>
      <c r="E222" s="10" t="str">
        <f>VLOOKUP(A222,Sheet2!A:B,2,0)</f>
        <v>Sysomos</v>
      </c>
      <c r="F222" t="s">
        <v>13</v>
      </c>
      <c r="G222" t="s">
        <v>580</v>
      </c>
      <c r="H222" t="s">
        <v>1595</v>
      </c>
      <c r="I222" t="s">
        <v>15</v>
      </c>
      <c r="J222" s="11">
        <v>-4767.25</v>
      </c>
      <c r="K222" s="12">
        <v>-4832.625</v>
      </c>
      <c r="L222" s="12">
        <v>520.125</v>
      </c>
      <c r="M222" s="12">
        <v>-520.125</v>
      </c>
      <c r="N222" t="s">
        <v>581</v>
      </c>
      <c r="O222" t="s">
        <v>575</v>
      </c>
      <c r="P222" t="s">
        <v>582</v>
      </c>
      <c r="AH222"/>
      <c r="AT222"/>
    </row>
    <row r="223" spans="1:46">
      <c r="A223" t="s">
        <v>550</v>
      </c>
      <c r="B223" s="10">
        <v>43558</v>
      </c>
      <c r="C223" s="10" t="str">
        <f>UPPER(TEXT(B223, "[$-en-US]mmmm"))</f>
        <v>APRIL</v>
      </c>
      <c r="D223" s="41">
        <f>YEAR(B223)</f>
        <v>2019</v>
      </c>
      <c r="E223" s="10" t="str">
        <f>VLOOKUP(A223,Sheet2!A:B,2,0)</f>
        <v>Sysomos</v>
      </c>
      <c r="F223" t="s">
        <v>13</v>
      </c>
      <c r="G223" t="s">
        <v>583</v>
      </c>
      <c r="H223" t="s">
        <v>14</v>
      </c>
      <c r="I223" t="s">
        <v>15</v>
      </c>
      <c r="J223" s="11">
        <v>-385.45</v>
      </c>
      <c r="K223" s="12">
        <v>-390.75900000000001</v>
      </c>
      <c r="L223" s="12">
        <v>390.75900000000001</v>
      </c>
      <c r="M223" s="12">
        <v>-390.75900000000001</v>
      </c>
      <c r="N223" t="s">
        <v>584</v>
      </c>
      <c r="O223" t="s">
        <v>88</v>
      </c>
      <c r="P223" t="s">
        <v>585</v>
      </c>
      <c r="AH223"/>
      <c r="AT223"/>
    </row>
    <row r="224" spans="1:46">
      <c r="A224" t="s">
        <v>550</v>
      </c>
      <c r="B224" s="10">
        <v>43868</v>
      </c>
      <c r="C224" s="10" t="str">
        <f>UPPER(TEXT(B224, "[$-en-US]mmmm"))</f>
        <v>FEBRUARY</v>
      </c>
      <c r="D224" s="41">
        <f>YEAR(B224)</f>
        <v>2020</v>
      </c>
      <c r="E224" s="10" t="str">
        <f>VLOOKUP(A224,Sheet2!A:B,2,0)</f>
        <v>Sysomos</v>
      </c>
      <c r="F224" t="s">
        <v>13</v>
      </c>
      <c r="G224" t="s">
        <v>586</v>
      </c>
      <c r="H224" t="s">
        <v>1597</v>
      </c>
      <c r="I224" t="s">
        <v>15</v>
      </c>
      <c r="J224" s="11">
        <v>-1350</v>
      </c>
      <c r="K224" s="12">
        <v>-1369</v>
      </c>
      <c r="L224" s="12">
        <v>228.167</v>
      </c>
      <c r="M224" s="12">
        <v>-228.167</v>
      </c>
      <c r="N224" t="s">
        <v>587</v>
      </c>
      <c r="O224" t="s">
        <v>575</v>
      </c>
      <c r="P224" t="s">
        <v>588</v>
      </c>
      <c r="AH224"/>
      <c r="AT224"/>
    </row>
    <row r="225" spans="1:46">
      <c r="A225" t="s">
        <v>550</v>
      </c>
      <c r="B225" s="10">
        <v>43707</v>
      </c>
      <c r="C225" s="10" t="str">
        <f>UPPER(TEXT(B225, "[$-en-US]mmmm"))</f>
        <v>AUGUST</v>
      </c>
      <c r="D225" s="41">
        <f>YEAR(B225)</f>
        <v>2019</v>
      </c>
      <c r="E225" s="10" t="str">
        <f>VLOOKUP(A225,Sheet2!A:B,2,0)</f>
        <v>Sysomos</v>
      </c>
      <c r="F225" t="s">
        <v>13</v>
      </c>
      <c r="G225" t="s">
        <v>589</v>
      </c>
      <c r="H225" t="s">
        <v>1600</v>
      </c>
      <c r="I225" t="s">
        <v>15</v>
      </c>
      <c r="J225" s="11">
        <v>-175</v>
      </c>
      <c r="K225" s="12">
        <v>-177.37200000000001</v>
      </c>
      <c r="L225" s="12">
        <v>5.0659999999999998</v>
      </c>
      <c r="M225" s="12">
        <v>-5.0659999999999998</v>
      </c>
      <c r="N225" t="s">
        <v>590</v>
      </c>
      <c r="O225" t="s">
        <v>575</v>
      </c>
      <c r="P225" t="s">
        <v>591</v>
      </c>
      <c r="AH225"/>
      <c r="AT225"/>
    </row>
    <row r="226" spans="1:46">
      <c r="A226" t="s">
        <v>550</v>
      </c>
      <c r="B226" s="10">
        <v>43525</v>
      </c>
      <c r="C226" s="10" t="str">
        <f>UPPER(TEXT(B226, "[$-en-US]mmmm"))</f>
        <v>MARCH</v>
      </c>
      <c r="D226" s="41">
        <f>YEAR(B226)</f>
        <v>2019</v>
      </c>
      <c r="E226" s="10" t="str">
        <f>VLOOKUP(A226,Sheet2!A:B,2,0)</f>
        <v>Sysomos</v>
      </c>
      <c r="F226" t="s">
        <v>13</v>
      </c>
      <c r="G226" t="s">
        <v>592</v>
      </c>
      <c r="H226" t="s">
        <v>14</v>
      </c>
      <c r="I226" t="s">
        <v>593</v>
      </c>
      <c r="J226" s="15">
        <v>-1</v>
      </c>
      <c r="K226" s="12">
        <v>-1.135</v>
      </c>
      <c r="L226" s="12">
        <v>1.135</v>
      </c>
      <c r="M226" s="12">
        <v>-335.62200000000001</v>
      </c>
      <c r="N226" t="s">
        <v>594</v>
      </c>
      <c r="O226" t="s">
        <v>88</v>
      </c>
      <c r="P226" t="s">
        <v>14</v>
      </c>
      <c r="AH226"/>
      <c r="AT226"/>
    </row>
    <row r="227" spans="1:46">
      <c r="A227" t="s">
        <v>550</v>
      </c>
      <c r="B227" s="10">
        <v>43571</v>
      </c>
      <c r="C227" s="10" t="str">
        <f>UPPER(TEXT(B227, "[$-en-US]mmmm"))</f>
        <v>APRIL</v>
      </c>
      <c r="D227" s="41">
        <f>YEAR(B227)</f>
        <v>2019</v>
      </c>
      <c r="E227" s="10" t="str">
        <f>VLOOKUP(A227,Sheet2!A:B,2,0)</f>
        <v>Sysomos</v>
      </c>
      <c r="F227" t="s">
        <v>13</v>
      </c>
      <c r="G227" t="s">
        <v>595</v>
      </c>
      <c r="H227" t="s">
        <v>1602</v>
      </c>
      <c r="I227" t="s">
        <v>15</v>
      </c>
      <c r="J227" s="11">
        <v>-15178</v>
      </c>
      <c r="K227" s="12">
        <v>-15479.468999999999</v>
      </c>
      <c r="L227" s="12">
        <v>0.876</v>
      </c>
      <c r="M227" s="12">
        <v>-344.68799999999999</v>
      </c>
      <c r="N227" t="s">
        <v>596</v>
      </c>
      <c r="O227" t="s">
        <v>88</v>
      </c>
      <c r="P227" t="s">
        <v>597</v>
      </c>
      <c r="AH227"/>
      <c r="AT227"/>
    </row>
    <row r="228" spans="1:46">
      <c r="A228" t="s">
        <v>550</v>
      </c>
      <c r="B228" s="10">
        <v>43749</v>
      </c>
      <c r="C228" s="10" t="str">
        <f>UPPER(TEXT(B228, "[$-en-US]mmmm"))</f>
        <v>OCTOBER</v>
      </c>
      <c r="D228" s="41">
        <f>YEAR(B228)</f>
        <v>2019</v>
      </c>
      <c r="E228" s="10" t="str">
        <f>VLOOKUP(A228,Sheet2!A:B,2,0)</f>
        <v>Sysomos</v>
      </c>
      <c r="F228" t="s">
        <v>13</v>
      </c>
      <c r="G228" t="s">
        <v>598</v>
      </c>
      <c r="H228" t="s">
        <v>1604</v>
      </c>
      <c r="I228" t="s">
        <v>456</v>
      </c>
      <c r="J228" s="13">
        <v>-5486.26</v>
      </c>
      <c r="K228" s="12">
        <v>-4179.8500000000004</v>
      </c>
      <c r="L228" s="12">
        <v>1.4999999999999999E-2</v>
      </c>
      <c r="M228" s="12">
        <v>-1.4999999999999999E-2</v>
      </c>
      <c r="N228" t="s">
        <v>599</v>
      </c>
      <c r="O228" t="s">
        <v>389</v>
      </c>
      <c r="P228" t="s">
        <v>600</v>
      </c>
      <c r="AH228"/>
      <c r="AT228"/>
    </row>
    <row r="229" spans="1:46">
      <c r="A229" t="s">
        <v>601</v>
      </c>
      <c r="B229" s="10">
        <v>45581</v>
      </c>
      <c r="C229" s="10" t="str">
        <f>UPPER(TEXT(B229, "[$-en-US]mmmm"))</f>
        <v>OCTOBER</v>
      </c>
      <c r="D229" s="41">
        <f>YEAR(B229)</f>
        <v>2024</v>
      </c>
      <c r="E229" s="10" t="str">
        <f>VLOOKUP(A229,Sheet2!A:B,2,0)</f>
        <v>APAC</v>
      </c>
      <c r="F229" t="s">
        <v>13</v>
      </c>
      <c r="G229" t="s">
        <v>604</v>
      </c>
      <c r="H229" t="s">
        <v>14</v>
      </c>
      <c r="I229" t="s">
        <v>605</v>
      </c>
      <c r="J229" s="17">
        <v>-31991</v>
      </c>
      <c r="K229" s="12">
        <v>-20152.823</v>
      </c>
      <c r="L229" s="12">
        <v>20152.823</v>
      </c>
      <c r="M229" s="12">
        <v>-20152.823</v>
      </c>
      <c r="N229" t="s">
        <v>606</v>
      </c>
      <c r="O229" t="s">
        <v>603</v>
      </c>
      <c r="P229" t="s">
        <v>607</v>
      </c>
      <c r="AH229"/>
      <c r="AT229"/>
    </row>
    <row r="230" spans="1:46">
      <c r="A230" t="s">
        <v>601</v>
      </c>
      <c r="B230" s="10">
        <v>46121</v>
      </c>
      <c r="C230" s="10" t="str">
        <f>UPPER(TEXT(B230, "[$-en-US]mmmm"))</f>
        <v>APRIL</v>
      </c>
      <c r="D230" s="41">
        <f>YEAR(B230)</f>
        <v>2026</v>
      </c>
      <c r="E230" s="10" t="str">
        <f>VLOOKUP(A230,Sheet2!A:B,2,0)</f>
        <v>APAC</v>
      </c>
      <c r="F230" t="s">
        <v>13</v>
      </c>
      <c r="G230" t="s">
        <v>608</v>
      </c>
      <c r="H230" t="s">
        <v>14</v>
      </c>
      <c r="I230" t="s">
        <v>602</v>
      </c>
      <c r="J230" s="16">
        <v>-18480</v>
      </c>
      <c r="K230" s="12">
        <v>-13203.96</v>
      </c>
      <c r="L230" s="12">
        <v>13203.96</v>
      </c>
      <c r="M230" s="12">
        <v>-26251.494999999999</v>
      </c>
      <c r="N230" t="s">
        <v>609</v>
      </c>
      <c r="O230" t="s">
        <v>603</v>
      </c>
      <c r="P230" t="s">
        <v>610</v>
      </c>
      <c r="AH230"/>
      <c r="AT230"/>
    </row>
    <row r="231" spans="1:46">
      <c r="A231" t="s">
        <v>601</v>
      </c>
      <c r="B231" s="10">
        <v>46133</v>
      </c>
      <c r="C231" s="10" t="str">
        <f>UPPER(TEXT(B231, "[$-en-US]mmmm"))</f>
        <v>APRIL</v>
      </c>
      <c r="D231" s="41">
        <f>YEAR(B231)</f>
        <v>2026</v>
      </c>
      <c r="E231" s="10" t="str">
        <f>VLOOKUP(A231,Sheet2!A:B,2,0)</f>
        <v>APAC</v>
      </c>
      <c r="F231" t="s">
        <v>13</v>
      </c>
      <c r="G231" t="s">
        <v>611</v>
      </c>
      <c r="H231" t="s">
        <v>14</v>
      </c>
      <c r="I231" t="s">
        <v>602</v>
      </c>
      <c r="J231" s="16">
        <v>-16500</v>
      </c>
      <c r="K231" s="12">
        <v>-11789.25</v>
      </c>
      <c r="L231" s="12">
        <v>11789.25</v>
      </c>
      <c r="M231" s="12">
        <v>-26251.494999999999</v>
      </c>
      <c r="N231" t="s">
        <v>609</v>
      </c>
      <c r="O231" t="s">
        <v>603</v>
      </c>
      <c r="P231" t="s">
        <v>612</v>
      </c>
      <c r="AH231"/>
      <c r="AT231"/>
    </row>
    <row r="232" spans="1:46">
      <c r="A232" t="s">
        <v>601</v>
      </c>
      <c r="B232" s="10">
        <v>44950</v>
      </c>
      <c r="C232" s="10" t="str">
        <f>UPPER(TEXT(B232, "[$-en-US]mmmm"))</f>
        <v>JANUARY</v>
      </c>
      <c r="D232" s="41">
        <f>YEAR(B232)</f>
        <v>2023</v>
      </c>
      <c r="E232" s="10" t="str">
        <f>VLOOKUP(A232,Sheet2!A:B,2,0)</f>
        <v>APAC</v>
      </c>
      <c r="F232" t="s">
        <v>13</v>
      </c>
      <c r="G232" t="s">
        <v>613</v>
      </c>
      <c r="H232" t="s">
        <v>14</v>
      </c>
      <c r="I232" t="s">
        <v>602</v>
      </c>
      <c r="J232" s="16">
        <v>-8008</v>
      </c>
      <c r="K232" s="12">
        <v>-5721.7160000000003</v>
      </c>
      <c r="L232" s="12">
        <v>5721.7160000000003</v>
      </c>
      <c r="M232" s="12">
        <v>-5721.7160000000003</v>
      </c>
      <c r="N232" t="s">
        <v>614</v>
      </c>
      <c r="O232" t="s">
        <v>14</v>
      </c>
      <c r="P232" t="s">
        <v>615</v>
      </c>
      <c r="AH232"/>
      <c r="AT232"/>
    </row>
    <row r="233" spans="1:46">
      <c r="A233" t="s">
        <v>601</v>
      </c>
      <c r="B233" s="10">
        <v>44916</v>
      </c>
      <c r="C233" s="10" t="str">
        <f>UPPER(TEXT(B233, "[$-en-US]mmmm"))</f>
        <v>DECEMBER</v>
      </c>
      <c r="D233" s="41">
        <f>YEAR(B233)</f>
        <v>2022</v>
      </c>
      <c r="E233" s="10" t="str">
        <f>VLOOKUP(A233,Sheet2!A:B,2,0)</f>
        <v>APAC</v>
      </c>
      <c r="F233" t="s">
        <v>13</v>
      </c>
      <c r="G233" t="s">
        <v>616</v>
      </c>
      <c r="H233" t="s">
        <v>1605</v>
      </c>
      <c r="I233" t="s">
        <v>602</v>
      </c>
      <c r="J233" s="16">
        <v>-15400</v>
      </c>
      <c r="K233" s="12">
        <v>-11003.3</v>
      </c>
      <c r="L233" s="12">
        <v>5501.65</v>
      </c>
      <c r="M233" s="12">
        <v>-5501.65</v>
      </c>
      <c r="N233" t="s">
        <v>617</v>
      </c>
      <c r="O233" t="s">
        <v>603</v>
      </c>
      <c r="P233" t="s">
        <v>618</v>
      </c>
      <c r="AH233"/>
      <c r="AT233"/>
    </row>
    <row r="234" spans="1:46">
      <c r="A234" t="s">
        <v>601</v>
      </c>
      <c r="B234" s="10">
        <v>45831</v>
      </c>
      <c r="C234" s="10" t="str">
        <f>UPPER(TEXT(B234, "[$-en-US]mmmm"))</f>
        <v>JUNE</v>
      </c>
      <c r="D234" s="41">
        <f>YEAR(B234)</f>
        <v>2025</v>
      </c>
      <c r="E234" s="10" t="str">
        <f>VLOOKUP(A234,Sheet2!A:B,2,0)</f>
        <v>APAC</v>
      </c>
      <c r="F234" t="s">
        <v>13</v>
      </c>
      <c r="G234" t="s">
        <v>619</v>
      </c>
      <c r="H234" t="s">
        <v>14</v>
      </c>
      <c r="I234" t="s">
        <v>602</v>
      </c>
      <c r="J234" s="16">
        <v>-6184.2</v>
      </c>
      <c r="K234" s="12">
        <v>-4418.6109999999999</v>
      </c>
      <c r="L234" s="12">
        <v>4418.6109999999999</v>
      </c>
      <c r="M234" s="12">
        <v>-4418.6109999999999</v>
      </c>
      <c r="N234" t="s">
        <v>620</v>
      </c>
      <c r="O234" t="s">
        <v>603</v>
      </c>
      <c r="P234" t="s">
        <v>621</v>
      </c>
      <c r="AH234"/>
      <c r="AT234"/>
    </row>
    <row r="235" spans="1:46">
      <c r="A235" t="s">
        <v>601</v>
      </c>
      <c r="B235" s="10">
        <v>46009</v>
      </c>
      <c r="C235" s="10" t="str">
        <f>UPPER(TEXT(B235, "[$-en-US]mmmm"))</f>
        <v>DECEMBER</v>
      </c>
      <c r="D235" s="41">
        <f>YEAR(B235)</f>
        <v>2025</v>
      </c>
      <c r="E235" s="10" t="str">
        <f>VLOOKUP(A235,Sheet2!A:B,2,0)</f>
        <v>APAC</v>
      </c>
      <c r="F235" t="s">
        <v>13</v>
      </c>
      <c r="G235" t="s">
        <v>622</v>
      </c>
      <c r="H235" t="s">
        <v>1606</v>
      </c>
      <c r="I235" t="s">
        <v>602</v>
      </c>
      <c r="J235" s="16">
        <v>-4435.2</v>
      </c>
      <c r="K235" s="12">
        <v>-3168.95</v>
      </c>
      <c r="L235" s="12">
        <v>1584.4749999999999</v>
      </c>
      <c r="M235" s="12">
        <v>0</v>
      </c>
      <c r="N235" t="s">
        <v>623</v>
      </c>
      <c r="O235" t="s">
        <v>14</v>
      </c>
      <c r="P235" t="s">
        <v>624</v>
      </c>
      <c r="AH235"/>
      <c r="AT235"/>
    </row>
    <row r="236" spans="1:46">
      <c r="A236" t="s">
        <v>601</v>
      </c>
      <c r="B236" s="10">
        <v>45099</v>
      </c>
      <c r="C236" s="10" t="str">
        <f>UPPER(TEXT(B236, "[$-en-US]mmmm"))</f>
        <v>JUNE</v>
      </c>
      <c r="D236" s="41">
        <f>YEAR(B236)</f>
        <v>2023</v>
      </c>
      <c r="E236" s="10" t="str">
        <f>VLOOKUP(A236,Sheet2!A:B,2,0)</f>
        <v>APAC</v>
      </c>
      <c r="F236" t="s">
        <v>13</v>
      </c>
      <c r="G236" t="s">
        <v>625</v>
      </c>
      <c r="H236" t="s">
        <v>1607</v>
      </c>
      <c r="I236" t="s">
        <v>602</v>
      </c>
      <c r="J236" s="16">
        <v>-16370.46</v>
      </c>
      <c r="K236" s="12">
        <v>-11696.694</v>
      </c>
      <c r="L236" s="12">
        <v>1038.4259999999999</v>
      </c>
      <c r="M236" s="12">
        <v>-1038.4259999999999</v>
      </c>
      <c r="N236" t="s">
        <v>626</v>
      </c>
      <c r="O236" t="s">
        <v>603</v>
      </c>
      <c r="P236" t="s">
        <v>627</v>
      </c>
      <c r="AH236"/>
      <c r="AT236"/>
    </row>
    <row r="237" spans="1:46">
      <c r="A237" t="s">
        <v>601</v>
      </c>
      <c r="B237" s="10">
        <v>45250</v>
      </c>
      <c r="C237" s="10" t="str">
        <f>UPPER(TEXT(B237, "[$-en-US]mmmm"))</f>
        <v>NOVEMBER</v>
      </c>
      <c r="D237" s="41">
        <f>YEAR(B237)</f>
        <v>2023</v>
      </c>
      <c r="E237" s="10" t="str">
        <f>VLOOKUP(A237,Sheet2!A:B,2,0)</f>
        <v>APAC</v>
      </c>
      <c r="F237" t="s">
        <v>13</v>
      </c>
      <c r="G237" t="s">
        <v>628</v>
      </c>
      <c r="H237" t="s">
        <v>1608</v>
      </c>
      <c r="I237" t="s">
        <v>602</v>
      </c>
      <c r="J237" s="16">
        <v>-12743.5</v>
      </c>
      <c r="K237" s="12">
        <v>-9105.2309999999998</v>
      </c>
      <c r="L237" s="12">
        <v>971.43399999999997</v>
      </c>
      <c r="M237" s="12">
        <v>-971.43399999999997</v>
      </c>
      <c r="N237" t="s">
        <v>629</v>
      </c>
      <c r="O237" t="s">
        <v>603</v>
      </c>
      <c r="P237" t="s">
        <v>630</v>
      </c>
      <c r="AH237"/>
      <c r="AT237"/>
    </row>
    <row r="238" spans="1:46">
      <c r="A238" t="s">
        <v>601</v>
      </c>
      <c r="B238" s="10">
        <v>45687</v>
      </c>
      <c r="C238" s="10" t="str">
        <f>UPPER(TEXT(B238, "[$-en-US]mmmm"))</f>
        <v>JANUARY</v>
      </c>
      <c r="D238" s="41">
        <f>YEAR(B238)</f>
        <v>2025</v>
      </c>
      <c r="E238" s="10" t="str">
        <f>VLOOKUP(A238,Sheet2!A:B,2,0)</f>
        <v>APAC</v>
      </c>
      <c r="F238" t="s">
        <v>13</v>
      </c>
      <c r="G238" t="s">
        <v>631</v>
      </c>
      <c r="H238" t="s">
        <v>14</v>
      </c>
      <c r="I238" t="s">
        <v>602</v>
      </c>
      <c r="J238" s="16">
        <v>-1050.5</v>
      </c>
      <c r="K238" s="12">
        <v>-750.58199999999999</v>
      </c>
      <c r="L238" s="12">
        <v>750.58199999999999</v>
      </c>
      <c r="M238" s="12">
        <v>-750.58199999999999</v>
      </c>
      <c r="N238" t="s">
        <v>632</v>
      </c>
      <c r="O238" t="s">
        <v>603</v>
      </c>
      <c r="P238" t="s">
        <v>633</v>
      </c>
      <c r="AH238"/>
      <c r="AT238"/>
    </row>
    <row r="239" spans="1:46">
      <c r="A239" t="s">
        <v>601</v>
      </c>
      <c r="B239" s="10">
        <v>44943</v>
      </c>
      <c r="C239" s="10" t="str">
        <f>UPPER(TEXT(B239, "[$-en-US]mmmm"))</f>
        <v>JANUARY</v>
      </c>
      <c r="D239" s="41">
        <f>YEAR(B239)</f>
        <v>2023</v>
      </c>
      <c r="E239" s="10" t="str">
        <f>VLOOKUP(A239,Sheet2!A:B,2,0)</f>
        <v>APAC</v>
      </c>
      <c r="F239" t="s">
        <v>13</v>
      </c>
      <c r="G239" t="s">
        <v>634</v>
      </c>
      <c r="H239" t="s">
        <v>14</v>
      </c>
      <c r="I239" t="s">
        <v>602</v>
      </c>
      <c r="J239" s="16">
        <v>-986.9</v>
      </c>
      <c r="K239" s="12">
        <v>-705.14</v>
      </c>
      <c r="L239" s="12">
        <v>705.14</v>
      </c>
      <c r="M239" s="12">
        <v>-705.14</v>
      </c>
      <c r="N239" t="s">
        <v>635</v>
      </c>
      <c r="O239" t="s">
        <v>14</v>
      </c>
      <c r="P239" t="s">
        <v>636</v>
      </c>
      <c r="AH239"/>
      <c r="AT239"/>
    </row>
    <row r="240" spans="1:46">
      <c r="A240" t="s">
        <v>601</v>
      </c>
      <c r="B240" s="10">
        <v>46136</v>
      </c>
      <c r="C240" s="10" t="str">
        <f>UPPER(TEXT(B240, "[$-en-US]mmmm"))</f>
        <v>APRIL</v>
      </c>
      <c r="D240" s="41">
        <f>YEAR(B240)</f>
        <v>2026</v>
      </c>
      <c r="E240" s="10" t="str">
        <f>VLOOKUP(A240,Sheet2!A:B,2,0)</f>
        <v>APAC</v>
      </c>
      <c r="F240" t="s">
        <v>13</v>
      </c>
      <c r="G240" t="s">
        <v>637</v>
      </c>
      <c r="H240" t="s">
        <v>14</v>
      </c>
      <c r="I240" t="s">
        <v>602</v>
      </c>
      <c r="J240" s="16">
        <v>-741</v>
      </c>
      <c r="K240" s="12">
        <v>-529.44500000000005</v>
      </c>
      <c r="L240" s="12">
        <v>529.44500000000005</v>
      </c>
      <c r="M240" s="12">
        <v>-26251.494999999999</v>
      </c>
      <c r="N240" t="s">
        <v>609</v>
      </c>
      <c r="O240" t="s">
        <v>603</v>
      </c>
      <c r="P240" t="s">
        <v>638</v>
      </c>
      <c r="AH240"/>
      <c r="AT240"/>
    </row>
    <row r="241" spans="1:46">
      <c r="A241" t="s">
        <v>601</v>
      </c>
      <c r="B241" s="10">
        <v>44833</v>
      </c>
      <c r="C241" s="10" t="str">
        <f>UPPER(TEXT(B241, "[$-en-US]mmmm"))</f>
        <v>SEPTEMBER</v>
      </c>
      <c r="D241" s="41">
        <f>YEAR(B241)</f>
        <v>2022</v>
      </c>
      <c r="E241" s="10" t="str">
        <f>VLOOKUP(A241,Sheet2!A:B,2,0)</f>
        <v>APAC</v>
      </c>
      <c r="F241" t="s">
        <v>13</v>
      </c>
      <c r="G241" t="s">
        <v>639</v>
      </c>
      <c r="H241" t="s">
        <v>14</v>
      </c>
      <c r="I241" t="s">
        <v>602</v>
      </c>
      <c r="J241" s="16">
        <v>-550</v>
      </c>
      <c r="K241" s="12">
        <v>-392.97500000000002</v>
      </c>
      <c r="L241" s="12">
        <v>392.97500000000002</v>
      </c>
      <c r="M241" s="12">
        <v>-26251.494999999999</v>
      </c>
      <c r="N241" t="s">
        <v>609</v>
      </c>
      <c r="O241" t="s">
        <v>603</v>
      </c>
      <c r="P241" t="s">
        <v>640</v>
      </c>
      <c r="AH241"/>
      <c r="AT241"/>
    </row>
    <row r="242" spans="1:46">
      <c r="A242" t="s">
        <v>601</v>
      </c>
      <c r="B242" s="10">
        <v>44699</v>
      </c>
      <c r="C242" s="10" t="str">
        <f>UPPER(TEXT(B242, "[$-en-US]mmmm"))</f>
        <v>MAY</v>
      </c>
      <c r="D242" s="41">
        <f>YEAR(B242)</f>
        <v>2022</v>
      </c>
      <c r="E242" s="10" t="str">
        <f>VLOOKUP(A242,Sheet2!A:B,2,0)</f>
        <v>APAC</v>
      </c>
      <c r="F242" t="s">
        <v>13</v>
      </c>
      <c r="G242" t="s">
        <v>641</v>
      </c>
      <c r="H242" t="s">
        <v>1609</v>
      </c>
      <c r="I242" t="s">
        <v>602</v>
      </c>
      <c r="J242" s="16">
        <v>-963.9</v>
      </c>
      <c r="K242" s="12">
        <v>-688.70699999999999</v>
      </c>
      <c r="L242" s="12">
        <v>327.95600000000002</v>
      </c>
      <c r="M242" s="12">
        <v>-327.95600000000002</v>
      </c>
      <c r="N242" t="s">
        <v>642</v>
      </c>
      <c r="O242" t="s">
        <v>14</v>
      </c>
      <c r="P242" t="s">
        <v>643</v>
      </c>
      <c r="AH242"/>
      <c r="AT242"/>
    </row>
    <row r="243" spans="1:46">
      <c r="A243" t="s">
        <v>601</v>
      </c>
      <c r="B243" s="10">
        <v>45075</v>
      </c>
      <c r="C243" s="10" t="str">
        <f>UPPER(TEXT(B243, "[$-en-US]mmmm"))</f>
        <v>MAY</v>
      </c>
      <c r="D243" s="41">
        <f>YEAR(B243)</f>
        <v>2023</v>
      </c>
      <c r="E243" s="10" t="str">
        <f>VLOOKUP(A243,Sheet2!A:B,2,0)</f>
        <v>APAC</v>
      </c>
      <c r="F243" t="s">
        <v>13</v>
      </c>
      <c r="G243" t="s">
        <v>644</v>
      </c>
      <c r="H243" t="s">
        <v>1610</v>
      </c>
      <c r="I243" t="s">
        <v>602</v>
      </c>
      <c r="J243" s="16">
        <v>-20630.21</v>
      </c>
      <c r="K243" s="12">
        <v>-14740.285</v>
      </c>
      <c r="L243" s="12">
        <v>289.02199999999999</v>
      </c>
      <c r="M243" s="12">
        <v>-289.02199999999999</v>
      </c>
      <c r="N243" t="s">
        <v>645</v>
      </c>
      <c r="O243" t="s">
        <v>14</v>
      </c>
      <c r="P243" t="s">
        <v>646</v>
      </c>
      <c r="AH243"/>
      <c r="AT243"/>
    </row>
    <row r="244" spans="1:46">
      <c r="A244" t="s">
        <v>601</v>
      </c>
      <c r="B244" s="10">
        <v>46132</v>
      </c>
      <c r="C244" s="10" t="str">
        <f>UPPER(TEXT(B244, "[$-en-US]mmmm"))</f>
        <v>APRIL</v>
      </c>
      <c r="D244" s="41">
        <f>YEAR(B244)</f>
        <v>2026</v>
      </c>
      <c r="E244" s="10" t="str">
        <f>VLOOKUP(A244,Sheet2!A:B,2,0)</f>
        <v>APAC</v>
      </c>
      <c r="F244" t="s">
        <v>13</v>
      </c>
      <c r="G244" t="s">
        <v>647</v>
      </c>
      <c r="H244" t="s">
        <v>14</v>
      </c>
      <c r="I244" t="s">
        <v>602</v>
      </c>
      <c r="J244" s="16">
        <v>-281.35000000000002</v>
      </c>
      <c r="K244" s="12">
        <v>-201.02500000000001</v>
      </c>
      <c r="L244" s="12">
        <v>201.02500000000001</v>
      </c>
      <c r="M244" s="12">
        <v>-26251.494999999999</v>
      </c>
      <c r="N244" t="s">
        <v>609</v>
      </c>
      <c r="O244" t="s">
        <v>603</v>
      </c>
      <c r="P244" t="s">
        <v>648</v>
      </c>
      <c r="AH244"/>
      <c r="AT244"/>
    </row>
    <row r="245" spans="1:46">
      <c r="A245" t="s">
        <v>601</v>
      </c>
      <c r="B245" s="10">
        <v>46139</v>
      </c>
      <c r="C245" s="10" t="str">
        <f>UPPER(TEXT(B245, "[$-en-US]mmmm"))</f>
        <v>APRIL</v>
      </c>
      <c r="D245" s="41">
        <f>YEAR(B245)</f>
        <v>2026</v>
      </c>
      <c r="E245" s="10" t="str">
        <f>VLOOKUP(A245,Sheet2!A:B,2,0)</f>
        <v>APAC</v>
      </c>
      <c r="F245" t="s">
        <v>13</v>
      </c>
      <c r="G245" t="s">
        <v>649</v>
      </c>
      <c r="H245" t="s">
        <v>14</v>
      </c>
      <c r="I245" t="s">
        <v>602</v>
      </c>
      <c r="J245" s="16">
        <v>-188.72</v>
      </c>
      <c r="K245" s="12">
        <v>-134.84</v>
      </c>
      <c r="L245" s="12">
        <v>134.84</v>
      </c>
      <c r="M245" s="12">
        <v>-26251.494999999999</v>
      </c>
      <c r="N245" t="s">
        <v>609</v>
      </c>
      <c r="O245" t="s">
        <v>603</v>
      </c>
      <c r="P245" t="s">
        <v>650</v>
      </c>
      <c r="AH245"/>
      <c r="AT245"/>
    </row>
    <row r="246" spans="1:46">
      <c r="A246" t="s">
        <v>601</v>
      </c>
      <c r="B246" s="10">
        <v>44698</v>
      </c>
      <c r="C246" s="10" t="str">
        <f>UPPER(TEXT(B246, "[$-en-US]mmmm"))</f>
        <v>MAY</v>
      </c>
      <c r="D246" s="41">
        <f>YEAR(B246)</f>
        <v>2022</v>
      </c>
      <c r="E246" s="10" t="str">
        <f>VLOOKUP(A246,Sheet2!A:B,2,0)</f>
        <v>APAC</v>
      </c>
      <c r="F246" t="s">
        <v>13</v>
      </c>
      <c r="G246" t="s">
        <v>651</v>
      </c>
      <c r="H246" t="s">
        <v>1611</v>
      </c>
      <c r="I246" t="s">
        <v>602</v>
      </c>
      <c r="J246" s="16">
        <v>-7412.4</v>
      </c>
      <c r="K246" s="12">
        <v>-5296.16</v>
      </c>
      <c r="L246" s="12">
        <v>108.89</v>
      </c>
      <c r="M246" s="12">
        <v>-108.89</v>
      </c>
      <c r="N246" t="s">
        <v>652</v>
      </c>
      <c r="O246" t="s">
        <v>14</v>
      </c>
      <c r="P246" t="s">
        <v>653</v>
      </c>
      <c r="AH246"/>
      <c r="AT246"/>
    </row>
    <row r="247" spans="1:46">
      <c r="A247" t="s">
        <v>654</v>
      </c>
      <c r="B247" s="10">
        <v>45848</v>
      </c>
      <c r="C247" s="10" t="str">
        <f>UPPER(TEXT(B247, "[$-en-US]mmmm"))</f>
        <v>JULY</v>
      </c>
      <c r="D247" s="41">
        <f>YEAR(B247)</f>
        <v>2025</v>
      </c>
      <c r="E247" s="10" t="str">
        <f>VLOOKUP(A247,Sheet2!A:B,2,0)</f>
        <v>APAC</v>
      </c>
      <c r="F247" t="s">
        <v>13</v>
      </c>
      <c r="G247" t="s">
        <v>655</v>
      </c>
      <c r="H247" t="s">
        <v>1612</v>
      </c>
      <c r="I247" t="s">
        <v>15</v>
      </c>
      <c r="J247" s="11">
        <v>-12937.5</v>
      </c>
      <c r="K247" s="12">
        <v>-12937.037</v>
      </c>
      <c r="L247" s="12">
        <v>2587.4070000000002</v>
      </c>
      <c r="M247" s="12">
        <v>-2587.4070000000002</v>
      </c>
      <c r="N247" t="s">
        <v>656</v>
      </c>
      <c r="O247" t="s">
        <v>14</v>
      </c>
      <c r="P247" t="s">
        <v>657</v>
      </c>
      <c r="AH247"/>
      <c r="AT247"/>
    </row>
    <row r="248" spans="1:46">
      <c r="A248" t="s">
        <v>654</v>
      </c>
      <c r="B248" s="10">
        <v>44995</v>
      </c>
      <c r="C248" s="10" t="str">
        <f>UPPER(TEXT(B248, "[$-en-US]mmmm"))</f>
        <v>MARCH</v>
      </c>
      <c r="D248" s="41">
        <f>YEAR(B248)</f>
        <v>2023</v>
      </c>
      <c r="E248" s="10" t="str">
        <f>VLOOKUP(A248,Sheet2!A:B,2,0)</f>
        <v>APAC</v>
      </c>
      <c r="F248" t="s">
        <v>13</v>
      </c>
      <c r="G248" t="s">
        <v>658</v>
      </c>
      <c r="H248" t="s">
        <v>1614</v>
      </c>
      <c r="I248" t="s">
        <v>659</v>
      </c>
      <c r="J248" s="18">
        <v>-66584.600000000006</v>
      </c>
      <c r="K248" s="12">
        <v>-8498.7250000000004</v>
      </c>
      <c r="L248" s="12">
        <v>272.96699999999998</v>
      </c>
      <c r="M248" s="12">
        <v>-272.96699999999998</v>
      </c>
      <c r="N248" t="s">
        <v>660</v>
      </c>
      <c r="O248" t="s">
        <v>14</v>
      </c>
      <c r="P248" t="s">
        <v>661</v>
      </c>
      <c r="AH248"/>
      <c r="AT248"/>
    </row>
    <row r="249" spans="1:46">
      <c r="A249" t="s">
        <v>662</v>
      </c>
      <c r="B249" s="10">
        <v>45093</v>
      </c>
      <c r="C249" s="10" t="str">
        <f>UPPER(TEXT(B249, "[$-en-US]mmmm"))</f>
        <v>JUNE</v>
      </c>
      <c r="D249" s="41">
        <f>YEAR(B249)</f>
        <v>2023</v>
      </c>
      <c r="E249" s="10" t="str">
        <f>VLOOKUP(A249,Sheet2!A:B,2,0)</f>
        <v>APAC</v>
      </c>
      <c r="F249" t="s">
        <v>13</v>
      </c>
      <c r="G249" t="s">
        <v>663</v>
      </c>
      <c r="H249" t="s">
        <v>14</v>
      </c>
      <c r="I249" t="s">
        <v>664</v>
      </c>
      <c r="J249" s="19">
        <v>-34003.79</v>
      </c>
      <c r="K249" s="12">
        <v>-26612.216</v>
      </c>
      <c r="L249" s="12">
        <v>26612.216</v>
      </c>
      <c r="M249" s="12">
        <v>-26612.216</v>
      </c>
      <c r="N249" t="s">
        <v>665</v>
      </c>
      <c r="O249" t="s">
        <v>14</v>
      </c>
      <c r="P249" t="s">
        <v>666</v>
      </c>
      <c r="AH249"/>
      <c r="AT249"/>
    </row>
    <row r="250" spans="1:46">
      <c r="A250" t="s">
        <v>662</v>
      </c>
      <c r="B250" s="10">
        <v>45093</v>
      </c>
      <c r="C250" s="10" t="str">
        <f>UPPER(TEXT(B250, "[$-en-US]mmmm"))</f>
        <v>JUNE</v>
      </c>
      <c r="D250" s="41">
        <f>YEAR(B250)</f>
        <v>2023</v>
      </c>
      <c r="E250" s="10" t="str">
        <f>VLOOKUP(A250,Sheet2!A:B,2,0)</f>
        <v>APAC</v>
      </c>
      <c r="F250" t="s">
        <v>13</v>
      </c>
      <c r="G250" t="s">
        <v>667</v>
      </c>
      <c r="H250" t="s">
        <v>14</v>
      </c>
      <c r="I250" t="s">
        <v>593</v>
      </c>
      <c r="J250" s="15">
        <v>-22932</v>
      </c>
      <c r="K250" s="12">
        <v>-25232.159</v>
      </c>
      <c r="L250" s="12">
        <v>25232.159</v>
      </c>
      <c r="M250" s="12">
        <v>-48223.02</v>
      </c>
      <c r="N250" t="s">
        <v>668</v>
      </c>
      <c r="O250" t="s">
        <v>14</v>
      </c>
      <c r="P250" t="s">
        <v>669</v>
      </c>
      <c r="AH250"/>
      <c r="AT250"/>
    </row>
    <row r="251" spans="1:46">
      <c r="A251" t="s">
        <v>662</v>
      </c>
      <c r="B251" s="10">
        <v>45093</v>
      </c>
      <c r="C251" s="10" t="str">
        <f>UPPER(TEXT(B251, "[$-en-US]mmmm"))</f>
        <v>JUNE</v>
      </c>
      <c r="D251" s="41">
        <f>YEAR(B251)</f>
        <v>2023</v>
      </c>
      <c r="E251" s="10" t="str">
        <f>VLOOKUP(A251,Sheet2!A:B,2,0)</f>
        <v>APAC</v>
      </c>
      <c r="F251" t="s">
        <v>13</v>
      </c>
      <c r="G251" t="s">
        <v>670</v>
      </c>
      <c r="H251" t="s">
        <v>14</v>
      </c>
      <c r="I251" t="s">
        <v>664</v>
      </c>
      <c r="J251" s="19">
        <v>-29376.6</v>
      </c>
      <c r="K251" s="12">
        <v>-22990.862000000001</v>
      </c>
      <c r="L251" s="12">
        <v>22990.862000000001</v>
      </c>
      <c r="M251" s="12">
        <v>-48223.02</v>
      </c>
      <c r="N251" t="s">
        <v>668</v>
      </c>
      <c r="O251" t="s">
        <v>14</v>
      </c>
      <c r="P251" t="s">
        <v>671</v>
      </c>
      <c r="AH251"/>
      <c r="AT251"/>
    </row>
    <row r="252" spans="1:46">
      <c r="A252" t="s">
        <v>662</v>
      </c>
      <c r="B252" s="10">
        <v>45093</v>
      </c>
      <c r="C252" s="10" t="str">
        <f>UPPER(TEXT(B252, "[$-en-US]mmmm"))</f>
        <v>JUNE</v>
      </c>
      <c r="D252" s="41">
        <f>YEAR(B252)</f>
        <v>2023</v>
      </c>
      <c r="E252" s="10" t="str">
        <f>VLOOKUP(A252,Sheet2!A:B,2,0)</f>
        <v>APAC</v>
      </c>
      <c r="F252" t="s">
        <v>13</v>
      </c>
      <c r="G252" t="s">
        <v>672</v>
      </c>
      <c r="H252" t="s">
        <v>14</v>
      </c>
      <c r="I252" t="s">
        <v>664</v>
      </c>
      <c r="J252" s="19">
        <v>-15334</v>
      </c>
      <c r="K252" s="12">
        <v>-12000.772000000001</v>
      </c>
      <c r="L252" s="12">
        <v>12000.772000000001</v>
      </c>
      <c r="M252" s="12">
        <v>-16462</v>
      </c>
      <c r="N252" t="s">
        <v>673</v>
      </c>
      <c r="O252" t="s">
        <v>14</v>
      </c>
      <c r="P252" t="s">
        <v>674</v>
      </c>
      <c r="AH252"/>
      <c r="AT252"/>
    </row>
    <row r="253" spans="1:46">
      <c r="A253" t="s">
        <v>662</v>
      </c>
      <c r="B253" s="10">
        <v>45712</v>
      </c>
      <c r="C253" s="10" t="str">
        <f>UPPER(TEXT(B253, "[$-en-US]mmmm"))</f>
        <v>FEBRUARY</v>
      </c>
      <c r="D253" s="41">
        <f>YEAR(B253)</f>
        <v>2025</v>
      </c>
      <c r="E253" s="10" t="str">
        <f>VLOOKUP(A253,Sheet2!A:B,2,0)</f>
        <v>APAC</v>
      </c>
      <c r="F253" t="s">
        <v>13</v>
      </c>
      <c r="G253" t="s">
        <v>675</v>
      </c>
      <c r="H253" t="s">
        <v>1615</v>
      </c>
      <c r="I253" t="s">
        <v>15</v>
      </c>
      <c r="J253" s="11">
        <v>-46200</v>
      </c>
      <c r="K253" s="12">
        <v>-47256.743999999999</v>
      </c>
      <c r="L253" s="12">
        <v>11814.186</v>
      </c>
      <c r="M253" s="12">
        <v>1148.6669999999999</v>
      </c>
      <c r="N253" t="s">
        <v>676</v>
      </c>
      <c r="O253" t="s">
        <v>14</v>
      </c>
      <c r="P253" t="s">
        <v>677</v>
      </c>
      <c r="AH253"/>
      <c r="AT253"/>
    </row>
    <row r="254" spans="1:46">
      <c r="A254" t="s">
        <v>662</v>
      </c>
      <c r="B254" s="10">
        <v>45093</v>
      </c>
      <c r="C254" s="10" t="str">
        <f>UPPER(TEXT(B254, "[$-en-US]mmmm"))</f>
        <v>JUNE</v>
      </c>
      <c r="D254" s="41">
        <f>YEAR(B254)</f>
        <v>2023</v>
      </c>
      <c r="E254" s="10" t="str">
        <f>VLOOKUP(A254,Sheet2!A:B,2,0)</f>
        <v>APAC</v>
      </c>
      <c r="F254" t="s">
        <v>13</v>
      </c>
      <c r="G254" t="s">
        <v>678</v>
      </c>
      <c r="H254" t="s">
        <v>14</v>
      </c>
      <c r="I254" t="s">
        <v>593</v>
      </c>
      <c r="J254" s="15">
        <v>-10479.58</v>
      </c>
      <c r="K254" s="12">
        <v>-11467.601000000001</v>
      </c>
      <c r="L254" s="12">
        <v>11467.601000000001</v>
      </c>
      <c r="M254" s="12">
        <v>-11467.601000000001</v>
      </c>
      <c r="N254" t="s">
        <v>679</v>
      </c>
      <c r="O254" t="s">
        <v>14</v>
      </c>
      <c r="P254" t="s">
        <v>680</v>
      </c>
      <c r="AH254"/>
      <c r="AT254"/>
    </row>
    <row r="255" spans="1:46">
      <c r="A255" t="s">
        <v>662</v>
      </c>
      <c r="B255" s="10">
        <v>46024</v>
      </c>
      <c r="C255" s="10" t="str">
        <f>UPPER(TEXT(B255, "[$-en-US]mmmm"))</f>
        <v>JANUARY</v>
      </c>
      <c r="D255" s="41">
        <f>YEAR(B255)</f>
        <v>2026</v>
      </c>
      <c r="E255" s="10" t="str">
        <f>VLOOKUP(A255,Sheet2!A:B,2,0)</f>
        <v>APAC</v>
      </c>
      <c r="F255" t="s">
        <v>13</v>
      </c>
      <c r="G255" t="s">
        <v>681</v>
      </c>
      <c r="H255" t="s">
        <v>1616</v>
      </c>
      <c r="I255" t="s">
        <v>15</v>
      </c>
      <c r="J255" s="11">
        <v>-70186.67</v>
      </c>
      <c r="K255" s="12">
        <v>-70600.781000000003</v>
      </c>
      <c r="L255" s="12">
        <v>7564.3680000000004</v>
      </c>
      <c r="M255" s="12">
        <v>-7564.3680000000004</v>
      </c>
      <c r="N255" t="s">
        <v>682</v>
      </c>
      <c r="O255" t="s">
        <v>14</v>
      </c>
      <c r="P255" t="s">
        <v>14</v>
      </c>
      <c r="AH255"/>
      <c r="AT255"/>
    </row>
    <row r="256" spans="1:46">
      <c r="A256" t="s">
        <v>662</v>
      </c>
      <c r="B256" s="10">
        <v>45093</v>
      </c>
      <c r="C256" s="10" t="str">
        <f>UPPER(TEXT(B256, "[$-en-US]mmmm"))</f>
        <v>JUNE</v>
      </c>
      <c r="D256" s="41">
        <f>YEAR(B256)</f>
        <v>2023</v>
      </c>
      <c r="E256" s="10" t="str">
        <f>VLOOKUP(A256,Sheet2!A:B,2,0)</f>
        <v>APAC</v>
      </c>
      <c r="F256" t="s">
        <v>13</v>
      </c>
      <c r="G256" t="s">
        <v>683</v>
      </c>
      <c r="H256" t="s">
        <v>14</v>
      </c>
      <c r="I256" t="s">
        <v>664</v>
      </c>
      <c r="J256" s="19">
        <v>-7074.6</v>
      </c>
      <c r="K256" s="12">
        <v>-5536.759</v>
      </c>
      <c r="L256" s="12">
        <v>5536.759</v>
      </c>
      <c r="M256" s="12">
        <v>-5536.759</v>
      </c>
      <c r="N256" t="s">
        <v>684</v>
      </c>
      <c r="O256" t="s">
        <v>14</v>
      </c>
      <c r="P256" t="s">
        <v>685</v>
      </c>
      <c r="AH256"/>
      <c r="AT256"/>
    </row>
    <row r="257" spans="1:46">
      <c r="A257" t="s">
        <v>662</v>
      </c>
      <c r="B257" s="10">
        <v>46038</v>
      </c>
      <c r="C257" s="10" t="str">
        <f>UPPER(TEXT(B257, "[$-en-US]mmmm"))</f>
        <v>JANUARY</v>
      </c>
      <c r="D257" s="41">
        <f>YEAR(B257)</f>
        <v>2026</v>
      </c>
      <c r="E257" s="10" t="str">
        <f>VLOOKUP(A257,Sheet2!A:B,2,0)</f>
        <v>APAC</v>
      </c>
      <c r="F257" t="s">
        <v>13</v>
      </c>
      <c r="G257" t="s">
        <v>686</v>
      </c>
      <c r="H257" t="s">
        <v>1617</v>
      </c>
      <c r="I257" t="s">
        <v>15</v>
      </c>
      <c r="J257" s="11">
        <v>-10080</v>
      </c>
      <c r="K257" s="12">
        <v>-9954.8490000000002</v>
      </c>
      <c r="L257" s="12">
        <v>4977.4250000000002</v>
      </c>
      <c r="M257" s="12">
        <v>-4977.4250000000002</v>
      </c>
      <c r="N257" t="s">
        <v>687</v>
      </c>
      <c r="O257" t="s">
        <v>14</v>
      </c>
      <c r="P257" t="s">
        <v>688</v>
      </c>
      <c r="AH257"/>
      <c r="AT257"/>
    </row>
    <row r="258" spans="1:46">
      <c r="A258" t="s">
        <v>662</v>
      </c>
      <c r="B258" s="10">
        <v>45973</v>
      </c>
      <c r="C258" s="10" t="str">
        <f>UPPER(TEXT(B258, "[$-en-US]mmmm"))</f>
        <v>NOVEMBER</v>
      </c>
      <c r="D258" s="41">
        <f>YEAR(B258)</f>
        <v>2025</v>
      </c>
      <c r="E258" s="10" t="str">
        <f>VLOOKUP(A258,Sheet2!A:B,2,0)</f>
        <v>APAC</v>
      </c>
      <c r="F258" t="s">
        <v>484</v>
      </c>
      <c r="G258" t="s">
        <v>689</v>
      </c>
      <c r="H258" t="s">
        <v>14</v>
      </c>
      <c r="I258" t="s">
        <v>593</v>
      </c>
      <c r="J258" s="15">
        <v>-4054.05</v>
      </c>
      <c r="K258" s="12">
        <v>-4461.2290000000003</v>
      </c>
      <c r="L258" s="12">
        <v>4461.2290000000003</v>
      </c>
      <c r="M258" s="12">
        <v>-16462</v>
      </c>
      <c r="N258" t="s">
        <v>673</v>
      </c>
      <c r="O258" t="s">
        <v>14</v>
      </c>
      <c r="P258" t="s">
        <v>690</v>
      </c>
      <c r="AH258"/>
      <c r="AT258"/>
    </row>
    <row r="259" spans="1:46">
      <c r="A259" t="s">
        <v>662</v>
      </c>
      <c r="B259" s="10">
        <v>45093</v>
      </c>
      <c r="C259" s="10" t="str">
        <f>UPPER(TEXT(B259, "[$-en-US]mmmm"))</f>
        <v>JUNE</v>
      </c>
      <c r="D259" s="41">
        <f>YEAR(B259)</f>
        <v>2023</v>
      </c>
      <c r="E259" s="10" t="str">
        <f>VLOOKUP(A259,Sheet2!A:B,2,0)</f>
        <v>APAC</v>
      </c>
      <c r="F259" t="s">
        <v>13</v>
      </c>
      <c r="G259" t="s">
        <v>691</v>
      </c>
      <c r="H259" t="s">
        <v>14</v>
      </c>
      <c r="I259" t="s">
        <v>15</v>
      </c>
      <c r="J259" s="11">
        <v>-3888</v>
      </c>
      <c r="K259" s="12">
        <v>-4101.7299999999996</v>
      </c>
      <c r="L259" s="12">
        <v>4101.7299999999996</v>
      </c>
      <c r="M259" s="12">
        <v>-4101.7299999999996</v>
      </c>
      <c r="N259" t="s">
        <v>692</v>
      </c>
      <c r="O259" t="s">
        <v>14</v>
      </c>
      <c r="P259" t="s">
        <v>693</v>
      </c>
      <c r="AH259"/>
      <c r="AT259"/>
    </row>
    <row r="260" spans="1:46">
      <c r="A260" t="s">
        <v>662</v>
      </c>
      <c r="B260" s="10">
        <v>46127</v>
      </c>
      <c r="C260" s="10" t="str">
        <f>UPPER(TEXT(B260, "[$-en-US]mmmm"))</f>
        <v>APRIL</v>
      </c>
      <c r="D260" s="41">
        <f>YEAR(B260)</f>
        <v>2026</v>
      </c>
      <c r="E260" s="10" t="str">
        <f>VLOOKUP(A260,Sheet2!A:B,2,0)</f>
        <v>APAC</v>
      </c>
      <c r="F260" t="s">
        <v>484</v>
      </c>
      <c r="G260" t="s">
        <v>694</v>
      </c>
      <c r="H260" t="s">
        <v>1618</v>
      </c>
      <c r="I260" t="s">
        <v>15</v>
      </c>
      <c r="J260" s="11">
        <v>-35840</v>
      </c>
      <c r="K260" s="12">
        <v>-35672.517</v>
      </c>
      <c r="L260" s="12">
        <v>3822.0590000000002</v>
      </c>
      <c r="M260" s="12">
        <v>-3822.0590000000002</v>
      </c>
      <c r="N260" t="s">
        <v>695</v>
      </c>
      <c r="O260" t="s">
        <v>14</v>
      </c>
      <c r="P260" t="s">
        <v>696</v>
      </c>
      <c r="AH260"/>
      <c r="AT260"/>
    </row>
    <row r="261" spans="1:46">
      <c r="A261" t="s">
        <v>662</v>
      </c>
      <c r="B261" s="10">
        <v>46127</v>
      </c>
      <c r="C261" s="10" t="str">
        <f>UPPER(TEXT(B261, "[$-en-US]mmmm"))</f>
        <v>APRIL</v>
      </c>
      <c r="D261" s="41">
        <f>YEAR(B261)</f>
        <v>2026</v>
      </c>
      <c r="E261" s="10" t="str">
        <f>VLOOKUP(A261,Sheet2!A:B,2,0)</f>
        <v>APAC</v>
      </c>
      <c r="F261" t="s">
        <v>13</v>
      </c>
      <c r="G261" t="s">
        <v>697</v>
      </c>
      <c r="H261" t="s">
        <v>1619</v>
      </c>
      <c r="I261" t="s">
        <v>15</v>
      </c>
      <c r="J261" s="11">
        <v>-32076.799999999999</v>
      </c>
      <c r="K261" s="12">
        <v>-31278.687999999998</v>
      </c>
      <c r="L261" s="12">
        <v>3351.2860000000001</v>
      </c>
      <c r="M261" s="12">
        <v>-3351.2860000000001</v>
      </c>
      <c r="N261" t="s">
        <v>698</v>
      </c>
      <c r="O261" t="s">
        <v>14</v>
      </c>
      <c r="P261" t="s">
        <v>699</v>
      </c>
      <c r="AH261"/>
      <c r="AT261"/>
    </row>
    <row r="262" spans="1:46">
      <c r="A262" t="s">
        <v>662</v>
      </c>
      <c r="B262" s="10">
        <v>46146</v>
      </c>
      <c r="C262" s="10" t="str">
        <f>UPPER(TEXT(B262, "[$-en-US]mmmm"))</f>
        <v>MAY</v>
      </c>
      <c r="D262" s="41">
        <f>YEAR(B262)</f>
        <v>2026</v>
      </c>
      <c r="E262" s="10" t="str">
        <f>VLOOKUP(A262,Sheet2!A:B,2,0)</f>
        <v>APAC</v>
      </c>
      <c r="F262" t="s">
        <v>13</v>
      </c>
      <c r="G262" t="s">
        <v>1748</v>
      </c>
      <c r="H262" t="s">
        <v>14</v>
      </c>
      <c r="I262" t="s">
        <v>664</v>
      </c>
      <c r="J262" s="19">
        <v>-4086</v>
      </c>
      <c r="K262" s="12">
        <v>-3197.806</v>
      </c>
      <c r="L262" s="12">
        <v>3197.806</v>
      </c>
      <c r="M262" s="12">
        <v>-3197.806</v>
      </c>
      <c r="N262" t="s">
        <v>1749</v>
      </c>
      <c r="O262" t="s">
        <v>720</v>
      </c>
      <c r="P262" t="s">
        <v>1750</v>
      </c>
      <c r="AH262"/>
      <c r="AT262"/>
    </row>
    <row r="263" spans="1:46">
      <c r="A263" t="s">
        <v>662</v>
      </c>
      <c r="B263" s="10">
        <v>46147</v>
      </c>
      <c r="C263" s="10" t="str">
        <f>UPPER(TEXT(B263, "[$-en-US]mmmm"))</f>
        <v>MAY</v>
      </c>
      <c r="D263" s="41">
        <f>YEAR(B263)</f>
        <v>2026</v>
      </c>
      <c r="E263" s="10" t="str">
        <f>VLOOKUP(A263,Sheet2!A:B,2,0)</f>
        <v>APAC</v>
      </c>
      <c r="F263" t="s">
        <v>13</v>
      </c>
      <c r="G263" t="s">
        <v>1751</v>
      </c>
      <c r="H263" t="s">
        <v>1752</v>
      </c>
      <c r="I263" t="s">
        <v>15</v>
      </c>
      <c r="J263" s="11">
        <v>-20213.8</v>
      </c>
      <c r="K263" s="12">
        <v>-19806.392</v>
      </c>
      <c r="L263" s="12">
        <v>2127.0500000000002</v>
      </c>
      <c r="M263" s="12">
        <v>-2127.0500000000002</v>
      </c>
      <c r="N263" t="s">
        <v>1753</v>
      </c>
      <c r="O263" t="s">
        <v>14</v>
      </c>
      <c r="P263" t="s">
        <v>1754</v>
      </c>
      <c r="AH263"/>
      <c r="AT263"/>
    </row>
    <row r="264" spans="1:46">
      <c r="A264" t="s">
        <v>662</v>
      </c>
      <c r="B264" s="10">
        <v>46065</v>
      </c>
      <c r="C264" s="10" t="str">
        <f>UPPER(TEXT(B264, "[$-en-US]mmmm"))</f>
        <v>FEBRUARY</v>
      </c>
      <c r="D264" s="41">
        <f>YEAR(B264)</f>
        <v>2026</v>
      </c>
      <c r="E264" s="10" t="str">
        <f>VLOOKUP(A264,Sheet2!A:B,2,0)</f>
        <v>APAC</v>
      </c>
      <c r="F264" t="s">
        <v>13</v>
      </c>
      <c r="G264" t="s">
        <v>700</v>
      </c>
      <c r="H264" t="s">
        <v>1620</v>
      </c>
      <c r="I264" t="s">
        <v>15</v>
      </c>
      <c r="J264" s="11">
        <v>-5000</v>
      </c>
      <c r="K264" s="12">
        <v>-4974.2860000000001</v>
      </c>
      <c r="L264" s="12">
        <v>1909.018</v>
      </c>
      <c r="M264" s="12">
        <v>-1909.018</v>
      </c>
      <c r="N264" t="s">
        <v>701</v>
      </c>
      <c r="O264" t="s">
        <v>14</v>
      </c>
      <c r="P264" t="s">
        <v>14</v>
      </c>
      <c r="AH264"/>
      <c r="AT264"/>
    </row>
    <row r="265" spans="1:46">
      <c r="A265" t="s">
        <v>662</v>
      </c>
      <c r="B265" s="10">
        <v>46142</v>
      </c>
      <c r="C265" s="10" t="str">
        <f>UPPER(TEXT(B265, "[$-en-US]mmmm"))</f>
        <v>APRIL</v>
      </c>
      <c r="D265" s="41">
        <f>YEAR(B265)</f>
        <v>2026</v>
      </c>
      <c r="E265" s="10" t="str">
        <f>VLOOKUP(A265,Sheet2!A:B,2,0)</f>
        <v>APAC</v>
      </c>
      <c r="F265" t="s">
        <v>13</v>
      </c>
      <c r="G265" t="s">
        <v>702</v>
      </c>
      <c r="H265" t="s">
        <v>1621</v>
      </c>
      <c r="I265" t="s">
        <v>15</v>
      </c>
      <c r="J265" s="11">
        <v>-14235.5</v>
      </c>
      <c r="K265" s="12">
        <v>-13975.742</v>
      </c>
      <c r="L265" s="12">
        <v>1498.9770000000001</v>
      </c>
      <c r="M265" s="12">
        <v>-1498.9770000000001</v>
      </c>
      <c r="N265" t="s">
        <v>703</v>
      </c>
      <c r="O265" t="s">
        <v>14</v>
      </c>
      <c r="P265" t="s">
        <v>704</v>
      </c>
      <c r="AH265"/>
      <c r="AT265"/>
    </row>
    <row r="266" spans="1:46">
      <c r="A266" t="s">
        <v>662</v>
      </c>
      <c r="B266" s="10">
        <v>46128</v>
      </c>
      <c r="C266" s="10" t="str">
        <f>UPPER(TEXT(B266, "[$-en-US]mmmm"))</f>
        <v>APRIL</v>
      </c>
      <c r="D266" s="41">
        <f>YEAR(B266)</f>
        <v>2026</v>
      </c>
      <c r="E266" s="10" t="str">
        <f>VLOOKUP(A266,Sheet2!A:B,2,0)</f>
        <v>APAC</v>
      </c>
      <c r="F266" t="s">
        <v>13</v>
      </c>
      <c r="G266" t="s">
        <v>705</v>
      </c>
      <c r="H266" t="s">
        <v>1622</v>
      </c>
      <c r="I266" t="s">
        <v>15</v>
      </c>
      <c r="J266" s="11">
        <v>-7433</v>
      </c>
      <c r="K266" s="12">
        <v>-7244.3059999999996</v>
      </c>
      <c r="L266" s="12">
        <v>777.74099999999999</v>
      </c>
      <c r="M266" s="12">
        <v>-777.74099999999999</v>
      </c>
      <c r="N266" t="s">
        <v>706</v>
      </c>
      <c r="O266" t="s">
        <v>14</v>
      </c>
      <c r="P266" t="s">
        <v>707</v>
      </c>
      <c r="AH266"/>
      <c r="AT266"/>
    </row>
    <row r="267" spans="1:46">
      <c r="A267" t="s">
        <v>662</v>
      </c>
      <c r="B267" s="10">
        <v>45236</v>
      </c>
      <c r="C267" s="10" t="str">
        <f>UPPER(TEXT(B267, "[$-en-US]mmmm"))</f>
        <v>NOVEMBER</v>
      </c>
      <c r="D267" s="41">
        <f>YEAR(B267)</f>
        <v>2023</v>
      </c>
      <c r="E267" s="10" t="str">
        <f>VLOOKUP(A267,Sheet2!A:B,2,0)</f>
        <v>APAC</v>
      </c>
      <c r="F267" t="s">
        <v>13</v>
      </c>
      <c r="G267" t="s">
        <v>708</v>
      </c>
      <c r="H267" t="s">
        <v>14</v>
      </c>
      <c r="I267" t="s">
        <v>664</v>
      </c>
      <c r="J267" s="19">
        <v>-782.25</v>
      </c>
      <c r="K267" s="12">
        <v>-612.20799999999997</v>
      </c>
      <c r="L267" s="12">
        <v>612.20799999999997</v>
      </c>
      <c r="M267" s="12">
        <v>-612.20799999999997</v>
      </c>
      <c r="N267" t="s">
        <v>709</v>
      </c>
      <c r="O267" t="s">
        <v>14</v>
      </c>
      <c r="P267" t="s">
        <v>710</v>
      </c>
      <c r="AH267"/>
      <c r="AT267"/>
    </row>
    <row r="268" spans="1:46">
      <c r="A268" t="s">
        <v>662</v>
      </c>
      <c r="B268" s="10">
        <v>45063</v>
      </c>
      <c r="C268" s="10" t="str">
        <f>UPPER(TEXT(B268, "[$-en-US]mmmm"))</f>
        <v>MAY</v>
      </c>
      <c r="D268" s="41">
        <f>YEAR(B268)</f>
        <v>2023</v>
      </c>
      <c r="E268" s="10" t="str">
        <f>VLOOKUP(A268,Sheet2!A:B,2,0)</f>
        <v>APAC</v>
      </c>
      <c r="F268" t="s">
        <v>13</v>
      </c>
      <c r="G268" t="s">
        <v>711</v>
      </c>
      <c r="H268" t="s">
        <v>14</v>
      </c>
      <c r="I268" t="s">
        <v>664</v>
      </c>
      <c r="J268" s="19">
        <v>-761.07</v>
      </c>
      <c r="K268" s="12">
        <v>-595.63199999999995</v>
      </c>
      <c r="L268" s="12">
        <v>595.63199999999995</v>
      </c>
      <c r="M268" s="12">
        <v>-595.63199999999995</v>
      </c>
      <c r="N268" t="s">
        <v>712</v>
      </c>
      <c r="O268" t="s">
        <v>14</v>
      </c>
      <c r="P268" t="s">
        <v>713</v>
      </c>
      <c r="AH268"/>
      <c r="AT268"/>
    </row>
    <row r="269" spans="1:46">
      <c r="A269" t="s">
        <v>662</v>
      </c>
      <c r="B269" s="10">
        <v>46140</v>
      </c>
      <c r="C269" s="10" t="str">
        <f>UPPER(TEXT(B269, "[$-en-US]mmmm"))</f>
        <v>APRIL</v>
      </c>
      <c r="D269" s="41">
        <f>YEAR(B269)</f>
        <v>2026</v>
      </c>
      <c r="E269" s="10" t="str">
        <f>VLOOKUP(A269,Sheet2!A:B,2,0)</f>
        <v>APAC</v>
      </c>
      <c r="F269" t="s">
        <v>13</v>
      </c>
      <c r="G269" t="s">
        <v>714</v>
      </c>
      <c r="H269" t="s">
        <v>1623</v>
      </c>
      <c r="I269" t="s">
        <v>15</v>
      </c>
      <c r="J269" s="11">
        <v>-5115.6000000000004</v>
      </c>
      <c r="K269" s="12">
        <v>-5001.3729999999996</v>
      </c>
      <c r="L269" s="12">
        <v>535.86300000000006</v>
      </c>
      <c r="M269" s="12">
        <v>-535.86300000000006</v>
      </c>
      <c r="N269" t="s">
        <v>715</v>
      </c>
      <c r="O269" t="s">
        <v>14</v>
      </c>
      <c r="P269" t="s">
        <v>716</v>
      </c>
      <c r="AH269"/>
      <c r="AT269"/>
    </row>
    <row r="270" spans="1:46">
      <c r="A270" t="s">
        <v>662</v>
      </c>
      <c r="B270" s="10">
        <v>46090</v>
      </c>
      <c r="C270" s="10" t="str">
        <f>UPPER(TEXT(B270, "[$-en-US]mmmm"))</f>
        <v>MARCH</v>
      </c>
      <c r="D270" s="41">
        <f>YEAR(B270)</f>
        <v>2026</v>
      </c>
      <c r="E270" s="10" t="str">
        <f>VLOOKUP(A270,Sheet2!A:B,2,0)</f>
        <v>APAC</v>
      </c>
      <c r="F270" t="s">
        <v>13</v>
      </c>
      <c r="G270" t="s">
        <v>717</v>
      </c>
      <c r="H270" t="s">
        <v>1624</v>
      </c>
      <c r="I270" t="s">
        <v>664</v>
      </c>
      <c r="J270" s="19">
        <v>-8595.74</v>
      </c>
      <c r="K270" s="12">
        <v>-6727.241</v>
      </c>
      <c r="L270" s="12">
        <v>17.053000000000001</v>
      </c>
      <c r="M270" s="12">
        <v>6693.134</v>
      </c>
      <c r="N270" t="s">
        <v>718</v>
      </c>
      <c r="O270" t="s">
        <v>14</v>
      </c>
      <c r="P270" t="s">
        <v>719</v>
      </c>
      <c r="AH270"/>
      <c r="AT270"/>
    </row>
    <row r="271" spans="1:46">
      <c r="A271" t="s">
        <v>721</v>
      </c>
      <c r="B271" s="10">
        <v>45079</v>
      </c>
      <c r="C271" s="10" t="str">
        <f>UPPER(TEXT(B271, "[$-en-US]mmmm"))</f>
        <v>JUNE</v>
      </c>
      <c r="D271" s="41">
        <f>YEAR(B271)</f>
        <v>2023</v>
      </c>
      <c r="E271" s="10" t="str">
        <f>VLOOKUP(A271,Sheet2!A:B,2,0)</f>
        <v>EMEA</v>
      </c>
      <c r="F271" t="s">
        <v>13</v>
      </c>
      <c r="G271" t="s">
        <v>722</v>
      </c>
      <c r="H271" t="s">
        <v>14</v>
      </c>
      <c r="I271" t="s">
        <v>593</v>
      </c>
      <c r="J271" s="15">
        <v>-24200</v>
      </c>
      <c r="K271" s="12">
        <v>-28300.69</v>
      </c>
      <c r="L271" s="12">
        <v>28300.69</v>
      </c>
      <c r="M271" s="12">
        <v>-28300.69</v>
      </c>
      <c r="N271" t="s">
        <v>723</v>
      </c>
      <c r="O271" t="s">
        <v>724</v>
      </c>
      <c r="P271" t="s">
        <v>725</v>
      </c>
      <c r="AH271"/>
      <c r="AT271"/>
    </row>
    <row r="272" spans="1:46">
      <c r="A272" t="s">
        <v>721</v>
      </c>
      <c r="B272" s="10">
        <v>46108</v>
      </c>
      <c r="C272" s="10" t="str">
        <f>UPPER(TEXT(B272, "[$-en-US]mmmm"))</f>
        <v>MARCH</v>
      </c>
      <c r="D272" s="41">
        <f>YEAR(B272)</f>
        <v>2026</v>
      </c>
      <c r="E272" s="10" t="str">
        <f>VLOOKUP(A272,Sheet2!A:B,2,0)</f>
        <v>EMEA</v>
      </c>
      <c r="F272" t="s">
        <v>13</v>
      </c>
      <c r="G272" t="s">
        <v>726</v>
      </c>
      <c r="H272" t="s">
        <v>14</v>
      </c>
      <c r="I272" t="s">
        <v>593</v>
      </c>
      <c r="J272" s="15">
        <v>-12337.5</v>
      </c>
      <c r="K272" s="12">
        <v>-14428.089</v>
      </c>
      <c r="L272" s="12">
        <v>14428.089</v>
      </c>
      <c r="M272" s="12">
        <v>-17457.993999999999</v>
      </c>
      <c r="N272" t="s">
        <v>727</v>
      </c>
      <c r="O272" t="s">
        <v>724</v>
      </c>
      <c r="P272" t="s">
        <v>728</v>
      </c>
      <c r="AH272"/>
      <c r="AT272"/>
    </row>
    <row r="273" spans="1:46">
      <c r="A273" t="s">
        <v>721</v>
      </c>
      <c r="B273" s="10">
        <v>44922</v>
      </c>
      <c r="C273" s="10" t="str">
        <f>UPPER(TEXT(B273, "[$-en-US]mmmm"))</f>
        <v>DECEMBER</v>
      </c>
      <c r="D273" s="41">
        <f>YEAR(B273)</f>
        <v>2022</v>
      </c>
      <c r="E273" s="10" t="str">
        <f>VLOOKUP(A273,Sheet2!A:B,2,0)</f>
        <v>EMEA</v>
      </c>
      <c r="F273" t="s">
        <v>13</v>
      </c>
      <c r="G273" t="s">
        <v>729</v>
      </c>
      <c r="H273" t="s">
        <v>1625</v>
      </c>
      <c r="I273" t="s">
        <v>593</v>
      </c>
      <c r="J273" s="15">
        <v>-37510</v>
      </c>
      <c r="K273" s="12">
        <v>-43866.07</v>
      </c>
      <c r="L273" s="12">
        <v>12854.173000000001</v>
      </c>
      <c r="M273" s="12">
        <v>-12854.173000000001</v>
      </c>
      <c r="N273" t="s">
        <v>730</v>
      </c>
      <c r="O273" t="s">
        <v>724</v>
      </c>
      <c r="P273" t="s">
        <v>731</v>
      </c>
      <c r="AH273"/>
      <c r="AT273"/>
    </row>
    <row r="274" spans="1:46">
      <c r="A274" t="s">
        <v>721</v>
      </c>
      <c r="B274" s="10">
        <v>46085</v>
      </c>
      <c r="C274" s="10" t="str">
        <f>UPPER(TEXT(B274, "[$-en-US]mmmm"))</f>
        <v>MARCH</v>
      </c>
      <c r="D274" s="41">
        <f>YEAR(B274)</f>
        <v>2026</v>
      </c>
      <c r="E274" s="10" t="str">
        <f>VLOOKUP(A274,Sheet2!A:B,2,0)</f>
        <v>EMEA</v>
      </c>
      <c r="F274" t="s">
        <v>13</v>
      </c>
      <c r="G274" t="s">
        <v>732</v>
      </c>
      <c r="H274" t="s">
        <v>1626</v>
      </c>
      <c r="I274" t="s">
        <v>593</v>
      </c>
      <c r="J274" s="15">
        <v>-25676.21</v>
      </c>
      <c r="K274" s="12">
        <v>-30027.044000000002</v>
      </c>
      <c r="L274" s="12">
        <v>11407.54</v>
      </c>
      <c r="M274" s="12">
        <v>-11407.54</v>
      </c>
      <c r="N274" t="s">
        <v>733</v>
      </c>
      <c r="O274" t="s">
        <v>724</v>
      </c>
      <c r="P274" t="s">
        <v>734</v>
      </c>
      <c r="AH274"/>
      <c r="AT274"/>
    </row>
    <row r="275" spans="1:46">
      <c r="A275" t="s">
        <v>721</v>
      </c>
      <c r="B275" s="10">
        <v>45246</v>
      </c>
      <c r="C275" s="10" t="str">
        <f>UPPER(TEXT(B275, "[$-en-US]mmmm"))</f>
        <v>NOVEMBER</v>
      </c>
      <c r="D275" s="41">
        <f>YEAR(B275)</f>
        <v>2023</v>
      </c>
      <c r="E275" s="10" t="str">
        <f>VLOOKUP(A275,Sheet2!A:B,2,0)</f>
        <v>EMEA</v>
      </c>
      <c r="F275" t="s">
        <v>13</v>
      </c>
      <c r="G275" t="s">
        <v>735</v>
      </c>
      <c r="H275" t="s">
        <v>14</v>
      </c>
      <c r="I275" t="s">
        <v>593</v>
      </c>
      <c r="J275" s="15">
        <v>-7865</v>
      </c>
      <c r="K275" s="12">
        <v>-9197.7240000000002</v>
      </c>
      <c r="L275" s="12">
        <v>9197.7240000000002</v>
      </c>
      <c r="M275" s="12">
        <v>-9197.7240000000002</v>
      </c>
      <c r="N275" t="s">
        <v>736</v>
      </c>
      <c r="O275" t="s">
        <v>724</v>
      </c>
      <c r="P275" t="s">
        <v>737</v>
      </c>
      <c r="AH275"/>
      <c r="AT275"/>
    </row>
    <row r="276" spans="1:46">
      <c r="A276" t="s">
        <v>721</v>
      </c>
      <c r="B276" s="10">
        <v>45246</v>
      </c>
      <c r="C276" s="10" t="str">
        <f>UPPER(TEXT(B276, "[$-en-US]mmmm"))</f>
        <v>NOVEMBER</v>
      </c>
      <c r="D276" s="41">
        <f>YEAR(B276)</f>
        <v>2023</v>
      </c>
      <c r="E276" s="10" t="str">
        <f>VLOOKUP(A276,Sheet2!A:B,2,0)</f>
        <v>EMEA</v>
      </c>
      <c r="F276" t="s">
        <v>13</v>
      </c>
      <c r="G276" t="s">
        <v>738</v>
      </c>
      <c r="H276" t="s">
        <v>14</v>
      </c>
      <c r="I276" t="s">
        <v>593</v>
      </c>
      <c r="J276" s="15">
        <v>-5929</v>
      </c>
      <c r="K276" s="12">
        <v>-6933.6689999999999</v>
      </c>
      <c r="L276" s="12">
        <v>6933.6689999999999</v>
      </c>
      <c r="M276" s="12">
        <v>-6933.6689999999999</v>
      </c>
      <c r="N276" t="s">
        <v>739</v>
      </c>
      <c r="O276" t="s">
        <v>724</v>
      </c>
      <c r="P276" t="s">
        <v>740</v>
      </c>
      <c r="AH276"/>
      <c r="AT276"/>
    </row>
    <row r="277" spans="1:46">
      <c r="A277" t="s">
        <v>721</v>
      </c>
      <c r="B277" s="10">
        <v>46010</v>
      </c>
      <c r="C277" s="10" t="str">
        <f>UPPER(TEXT(B277, "[$-en-US]mmmm"))</f>
        <v>DECEMBER</v>
      </c>
      <c r="D277" s="41">
        <f>YEAR(B277)</f>
        <v>2025</v>
      </c>
      <c r="E277" s="10" t="str">
        <f>VLOOKUP(A277,Sheet2!A:B,2,0)</f>
        <v>EMEA</v>
      </c>
      <c r="F277" t="s">
        <v>13</v>
      </c>
      <c r="G277" t="s">
        <v>741</v>
      </c>
      <c r="H277" t="s">
        <v>1627</v>
      </c>
      <c r="I277" t="s">
        <v>593</v>
      </c>
      <c r="J277" s="15">
        <v>-8578.5</v>
      </c>
      <c r="K277" s="12">
        <v>-10032.127</v>
      </c>
      <c r="L277" s="12">
        <v>4297.7290000000003</v>
      </c>
      <c r="M277" s="12">
        <v>-4297.7290000000003</v>
      </c>
      <c r="N277" t="s">
        <v>742</v>
      </c>
      <c r="O277" t="s">
        <v>724</v>
      </c>
      <c r="P277" t="s">
        <v>743</v>
      </c>
      <c r="AH277"/>
      <c r="AT277"/>
    </row>
    <row r="278" spans="1:46">
      <c r="A278" t="s">
        <v>721</v>
      </c>
      <c r="B278" s="10">
        <v>44733</v>
      </c>
      <c r="C278" s="10" t="str">
        <f>UPPER(TEXT(B278, "[$-en-US]mmmm"))</f>
        <v>JUNE</v>
      </c>
      <c r="D278" s="41">
        <f>YEAR(B278)</f>
        <v>2022</v>
      </c>
      <c r="E278" s="10" t="str">
        <f>VLOOKUP(A278,Sheet2!A:B,2,0)</f>
        <v>EMEA</v>
      </c>
      <c r="F278" t="s">
        <v>13</v>
      </c>
      <c r="G278" t="s">
        <v>744</v>
      </c>
      <c r="H278" t="s">
        <v>1628</v>
      </c>
      <c r="I278" t="s">
        <v>593</v>
      </c>
      <c r="J278" s="15">
        <v>-29040</v>
      </c>
      <c r="K278" s="12">
        <v>-33960.828000000001</v>
      </c>
      <c r="L278" s="12">
        <v>4245.1040000000003</v>
      </c>
      <c r="M278" s="12">
        <v>-4245.1040000000003</v>
      </c>
      <c r="N278" t="s">
        <v>745</v>
      </c>
      <c r="O278" t="s">
        <v>724</v>
      </c>
      <c r="P278" t="s">
        <v>746</v>
      </c>
      <c r="AH278"/>
      <c r="AT278"/>
    </row>
    <row r="279" spans="1:46">
      <c r="A279" t="s">
        <v>721</v>
      </c>
      <c r="B279" s="10">
        <v>45000</v>
      </c>
      <c r="C279" s="10" t="str">
        <f>UPPER(TEXT(B279, "[$-en-US]mmmm"))</f>
        <v>MARCH</v>
      </c>
      <c r="D279" s="41">
        <f>YEAR(B279)</f>
        <v>2023</v>
      </c>
      <c r="E279" s="10" t="str">
        <f>VLOOKUP(A279,Sheet2!A:B,2,0)</f>
        <v>EMEA</v>
      </c>
      <c r="F279" t="s">
        <v>13</v>
      </c>
      <c r="G279" t="s">
        <v>747</v>
      </c>
      <c r="H279" t="s">
        <v>14</v>
      </c>
      <c r="I279" t="s">
        <v>593</v>
      </c>
      <c r="J279" s="15">
        <v>-3623.95</v>
      </c>
      <c r="K279" s="12">
        <v>-4238.0280000000002</v>
      </c>
      <c r="L279" s="12">
        <v>4238.0280000000002</v>
      </c>
      <c r="M279" s="12">
        <v>-8203.4699999999993</v>
      </c>
      <c r="N279" t="s">
        <v>748</v>
      </c>
      <c r="O279" t="s">
        <v>724</v>
      </c>
      <c r="P279" t="s">
        <v>749</v>
      </c>
      <c r="AH279"/>
      <c r="AT279"/>
    </row>
    <row r="280" spans="1:46">
      <c r="A280" t="s">
        <v>721</v>
      </c>
      <c r="B280" s="10">
        <v>45345</v>
      </c>
      <c r="C280" s="10" t="str">
        <f>UPPER(TEXT(B280, "[$-en-US]mmmm"))</f>
        <v>FEBRUARY</v>
      </c>
      <c r="D280" s="41">
        <f>YEAR(B280)</f>
        <v>2024</v>
      </c>
      <c r="E280" s="10" t="str">
        <f>VLOOKUP(A280,Sheet2!A:B,2,0)</f>
        <v>EMEA</v>
      </c>
      <c r="F280" t="s">
        <v>13</v>
      </c>
      <c r="G280" t="s">
        <v>750</v>
      </c>
      <c r="H280" t="s">
        <v>14</v>
      </c>
      <c r="I280" t="s">
        <v>593</v>
      </c>
      <c r="J280" s="15">
        <v>-3390.86</v>
      </c>
      <c r="K280" s="12">
        <v>-3965.4409999999998</v>
      </c>
      <c r="L280" s="12">
        <v>3965.4409999999998</v>
      </c>
      <c r="M280" s="12">
        <v>-8203.4699999999993</v>
      </c>
      <c r="N280" t="s">
        <v>748</v>
      </c>
      <c r="O280" t="s">
        <v>724</v>
      </c>
      <c r="P280" t="s">
        <v>751</v>
      </c>
      <c r="AH280"/>
      <c r="AT280"/>
    </row>
    <row r="281" spans="1:46">
      <c r="A281" t="s">
        <v>721</v>
      </c>
      <c r="B281" s="10">
        <v>45693</v>
      </c>
      <c r="C281" s="10" t="str">
        <f>UPPER(TEXT(B281, "[$-en-US]mmmm"))</f>
        <v>FEBRUARY</v>
      </c>
      <c r="D281" s="41">
        <f>YEAR(B281)</f>
        <v>2025</v>
      </c>
      <c r="E281" s="10" t="str">
        <f>VLOOKUP(A281,Sheet2!A:B,2,0)</f>
        <v>EMEA</v>
      </c>
      <c r="F281" t="s">
        <v>13</v>
      </c>
      <c r="G281" t="s">
        <v>752</v>
      </c>
      <c r="H281" t="s">
        <v>1629</v>
      </c>
      <c r="I281" t="s">
        <v>593</v>
      </c>
      <c r="J281" s="15">
        <v>-12039.5</v>
      </c>
      <c r="K281" s="12">
        <v>-14079.593000000001</v>
      </c>
      <c r="L281" s="12">
        <v>2443.5659999999998</v>
      </c>
      <c r="M281" s="12">
        <v>-2443.5659999999998</v>
      </c>
      <c r="N281" t="s">
        <v>753</v>
      </c>
      <c r="O281" t="s">
        <v>754</v>
      </c>
      <c r="P281" t="s">
        <v>755</v>
      </c>
      <c r="AH281"/>
      <c r="AT281"/>
    </row>
    <row r="282" spans="1:46">
      <c r="A282" t="s">
        <v>721</v>
      </c>
      <c r="B282" s="10">
        <v>44922</v>
      </c>
      <c r="C282" s="10" t="str">
        <f>UPPER(TEXT(B282, "[$-en-US]mmmm"))</f>
        <v>DECEMBER</v>
      </c>
      <c r="D282" s="41">
        <f>YEAR(B282)</f>
        <v>2022</v>
      </c>
      <c r="E282" s="10" t="str">
        <f>VLOOKUP(A282,Sheet2!A:B,2,0)</f>
        <v>EMEA</v>
      </c>
      <c r="F282" t="s">
        <v>13</v>
      </c>
      <c r="G282" t="s">
        <v>756</v>
      </c>
      <c r="H282" t="s">
        <v>1630</v>
      </c>
      <c r="I282" t="s">
        <v>593</v>
      </c>
      <c r="J282" s="15">
        <v>-8984.25</v>
      </c>
      <c r="K282" s="12">
        <v>-10506.630999999999</v>
      </c>
      <c r="L282" s="12">
        <v>477.58</v>
      </c>
      <c r="M282" s="12">
        <v>-477.58</v>
      </c>
      <c r="N282" t="s">
        <v>757</v>
      </c>
      <c r="O282" t="s">
        <v>724</v>
      </c>
      <c r="P282" t="s">
        <v>758</v>
      </c>
      <c r="AH282"/>
      <c r="AT282"/>
    </row>
    <row r="283" spans="1:46">
      <c r="A283" t="s">
        <v>759</v>
      </c>
      <c r="B283" s="10">
        <v>46086</v>
      </c>
      <c r="C283" s="10" t="str">
        <f>UPPER(TEXT(B283, "[$-en-US]mmmm"))</f>
        <v>MARCH</v>
      </c>
      <c r="D283" s="41">
        <f>YEAR(B283)</f>
        <v>2026</v>
      </c>
      <c r="E283" s="10" t="str">
        <f>VLOOKUP(A283,Sheet2!A:B,2,0)</f>
        <v>EMEA</v>
      </c>
      <c r="F283" t="s">
        <v>484</v>
      </c>
      <c r="G283" t="s">
        <v>760</v>
      </c>
      <c r="H283" t="s">
        <v>1631</v>
      </c>
      <c r="I283" t="s">
        <v>593</v>
      </c>
      <c r="J283" s="15">
        <v>-169254.39</v>
      </c>
      <c r="K283" s="12">
        <v>-197934.546</v>
      </c>
      <c r="L283" s="12">
        <v>77986.527000000002</v>
      </c>
      <c r="M283" s="12">
        <v>-77986.527000000002</v>
      </c>
      <c r="N283" t="s">
        <v>761</v>
      </c>
      <c r="O283" t="s">
        <v>762</v>
      </c>
      <c r="P283" t="s">
        <v>763</v>
      </c>
      <c r="AH283"/>
      <c r="AT283"/>
    </row>
    <row r="284" spans="1:46">
      <c r="A284" t="s">
        <v>759</v>
      </c>
      <c r="B284" s="10">
        <v>46085</v>
      </c>
      <c r="C284" s="10" t="str">
        <f>UPPER(TEXT(B284, "[$-en-US]mmmm"))</f>
        <v>MARCH</v>
      </c>
      <c r="D284" s="41">
        <f>YEAR(B284)</f>
        <v>2026</v>
      </c>
      <c r="E284" s="10" t="str">
        <f>VLOOKUP(A284,Sheet2!A:B,2,0)</f>
        <v>EMEA</v>
      </c>
      <c r="F284" t="s">
        <v>484</v>
      </c>
      <c r="G284" t="s">
        <v>764</v>
      </c>
      <c r="H284" t="s">
        <v>14</v>
      </c>
      <c r="I284" t="s">
        <v>593</v>
      </c>
      <c r="J284" s="15">
        <v>-32188.71</v>
      </c>
      <c r="K284" s="12">
        <v>-37643.087</v>
      </c>
      <c r="L284" s="12">
        <v>37643.087</v>
      </c>
      <c r="M284" s="12">
        <v>-37643.087</v>
      </c>
      <c r="N284" t="s">
        <v>765</v>
      </c>
      <c r="O284" t="s">
        <v>762</v>
      </c>
      <c r="P284" t="s">
        <v>766</v>
      </c>
      <c r="AH284"/>
      <c r="AT284"/>
    </row>
    <row r="285" spans="1:46">
      <c r="A285" t="s">
        <v>759</v>
      </c>
      <c r="B285" s="10">
        <v>45680</v>
      </c>
      <c r="C285" s="10" t="str">
        <f>UPPER(TEXT(B285, "[$-en-US]mmmm"))</f>
        <v>JANUARY</v>
      </c>
      <c r="D285" s="41">
        <f>YEAR(B285)</f>
        <v>2025</v>
      </c>
      <c r="E285" s="10" t="str">
        <f>VLOOKUP(A285,Sheet2!A:B,2,0)</f>
        <v>EMEA</v>
      </c>
      <c r="F285" t="s">
        <v>13</v>
      </c>
      <c r="G285" t="s">
        <v>767</v>
      </c>
      <c r="H285" t="s">
        <v>1632</v>
      </c>
      <c r="I285" t="s">
        <v>593</v>
      </c>
      <c r="J285" s="15">
        <v>-25280.06</v>
      </c>
      <c r="K285" s="12">
        <v>-29563.766</v>
      </c>
      <c r="L285" s="12">
        <v>23310.062000000002</v>
      </c>
      <c r="M285" s="12">
        <v>44115.116000000002</v>
      </c>
      <c r="N285" t="s">
        <v>768</v>
      </c>
      <c r="O285" t="s">
        <v>762</v>
      </c>
      <c r="P285" t="s">
        <v>769</v>
      </c>
      <c r="AH285"/>
      <c r="AT285"/>
    </row>
    <row r="286" spans="1:46">
      <c r="A286" t="s">
        <v>759</v>
      </c>
      <c r="B286" s="10">
        <v>45678</v>
      </c>
      <c r="C286" s="10" t="str">
        <f>UPPER(TEXT(B286, "[$-en-US]mmmm"))</f>
        <v>JANUARY</v>
      </c>
      <c r="D286" s="41">
        <f>YEAR(B286)</f>
        <v>2025</v>
      </c>
      <c r="E286" s="10" t="str">
        <f>VLOOKUP(A286,Sheet2!A:B,2,0)</f>
        <v>EMEA</v>
      </c>
      <c r="F286" t="s">
        <v>13</v>
      </c>
      <c r="G286" t="s">
        <v>770</v>
      </c>
      <c r="H286" t="s">
        <v>14</v>
      </c>
      <c r="I286" t="s">
        <v>593</v>
      </c>
      <c r="J286" s="15">
        <v>-14994</v>
      </c>
      <c r="K286" s="12">
        <v>-17534.733</v>
      </c>
      <c r="L286" s="12">
        <v>17534.733</v>
      </c>
      <c r="M286" s="12">
        <v>-17534.733</v>
      </c>
      <c r="N286" t="s">
        <v>771</v>
      </c>
      <c r="O286" t="s">
        <v>762</v>
      </c>
      <c r="P286" t="s">
        <v>772</v>
      </c>
      <c r="AH286"/>
      <c r="AT286"/>
    </row>
    <row r="287" spans="1:46">
      <c r="A287" t="s">
        <v>759</v>
      </c>
      <c r="B287" s="10">
        <v>46146</v>
      </c>
      <c r="C287" s="10" t="str">
        <f>UPPER(TEXT(B287, "[$-en-US]mmmm"))</f>
        <v>MAY</v>
      </c>
      <c r="D287" s="41">
        <f>YEAR(B287)</f>
        <v>2026</v>
      </c>
      <c r="E287" s="10" t="str">
        <f>VLOOKUP(A287,Sheet2!A:B,2,0)</f>
        <v>EMEA</v>
      </c>
      <c r="F287" t="s">
        <v>13</v>
      </c>
      <c r="G287" t="s">
        <v>1755</v>
      </c>
      <c r="H287" t="s">
        <v>14</v>
      </c>
      <c r="I287" t="s">
        <v>593</v>
      </c>
      <c r="J287" s="15">
        <v>-14700</v>
      </c>
      <c r="K287" s="12">
        <v>-17190.915000000001</v>
      </c>
      <c r="L287" s="12">
        <v>17190.915000000001</v>
      </c>
      <c r="M287" s="12">
        <v>-34031.697</v>
      </c>
      <c r="N287" t="s">
        <v>1756</v>
      </c>
      <c r="O287" t="s">
        <v>829</v>
      </c>
      <c r="P287" t="s">
        <v>1757</v>
      </c>
      <c r="AH287"/>
      <c r="AT287"/>
    </row>
    <row r="288" spans="1:46">
      <c r="A288" t="s">
        <v>759</v>
      </c>
      <c r="B288" s="10">
        <v>46146</v>
      </c>
      <c r="C288" s="10" t="str">
        <f>UPPER(TEXT(B288, "[$-en-US]mmmm"))</f>
        <v>MAY</v>
      </c>
      <c r="D288" s="41">
        <f>YEAR(B288)</f>
        <v>2026</v>
      </c>
      <c r="E288" s="10" t="str">
        <f>VLOOKUP(A288,Sheet2!A:B,2,0)</f>
        <v>EMEA</v>
      </c>
      <c r="F288" t="s">
        <v>13</v>
      </c>
      <c r="G288" t="s">
        <v>1758</v>
      </c>
      <c r="H288" t="s">
        <v>14</v>
      </c>
      <c r="I288" t="s">
        <v>593</v>
      </c>
      <c r="J288" s="15">
        <v>-14400.6</v>
      </c>
      <c r="K288" s="12">
        <v>-16840.781999999999</v>
      </c>
      <c r="L288" s="12">
        <v>16840.781999999999</v>
      </c>
      <c r="M288" s="12">
        <v>-34031.697</v>
      </c>
      <c r="N288" t="s">
        <v>1756</v>
      </c>
      <c r="O288" t="s">
        <v>829</v>
      </c>
      <c r="P288" t="s">
        <v>1759</v>
      </c>
      <c r="AH288"/>
      <c r="AT288"/>
    </row>
    <row r="289" spans="1:46">
      <c r="A289" t="s">
        <v>759</v>
      </c>
      <c r="B289" s="10">
        <v>45635</v>
      </c>
      <c r="C289" s="10" t="str">
        <f>UPPER(TEXT(B289, "[$-en-US]mmmm"))</f>
        <v>DECEMBER</v>
      </c>
      <c r="D289" s="41">
        <f>YEAR(B289)</f>
        <v>2024</v>
      </c>
      <c r="E289" s="10" t="str">
        <f>VLOOKUP(A289,Sheet2!A:B,2,0)</f>
        <v>EMEA</v>
      </c>
      <c r="F289" t="s">
        <v>13</v>
      </c>
      <c r="G289" t="s">
        <v>773</v>
      </c>
      <c r="H289" t="s">
        <v>14</v>
      </c>
      <c r="I289" t="s">
        <v>593</v>
      </c>
      <c r="J289" s="15">
        <v>-13860</v>
      </c>
      <c r="K289" s="12">
        <v>-16208.576999999999</v>
      </c>
      <c r="L289" s="12">
        <v>16208.576999999999</v>
      </c>
      <c r="M289" s="12">
        <v>-16208.576999999999</v>
      </c>
      <c r="N289" t="s">
        <v>774</v>
      </c>
      <c r="O289" t="s">
        <v>14</v>
      </c>
      <c r="P289" t="s">
        <v>775</v>
      </c>
      <c r="AH289"/>
      <c r="AT289"/>
    </row>
    <row r="290" spans="1:46">
      <c r="A290" t="s">
        <v>759</v>
      </c>
      <c r="B290" s="10">
        <v>45197</v>
      </c>
      <c r="C290" s="10" t="str">
        <f>UPPER(TEXT(B290, "[$-en-US]mmmm"))</f>
        <v>SEPTEMBER</v>
      </c>
      <c r="D290" s="41">
        <f>YEAR(B290)</f>
        <v>2023</v>
      </c>
      <c r="E290" s="10" t="str">
        <f>VLOOKUP(A290,Sheet2!A:B,2,0)</f>
        <v>EMEA</v>
      </c>
      <c r="F290" t="s">
        <v>13</v>
      </c>
      <c r="G290" t="s">
        <v>776</v>
      </c>
      <c r="H290" t="s">
        <v>14</v>
      </c>
      <c r="I290" t="s">
        <v>593</v>
      </c>
      <c r="J290" s="15">
        <v>-13000</v>
      </c>
      <c r="K290" s="12">
        <v>-15202.85</v>
      </c>
      <c r="L290" s="12">
        <v>15202.85</v>
      </c>
      <c r="M290" s="12">
        <v>-15202.85</v>
      </c>
      <c r="N290" t="s">
        <v>777</v>
      </c>
      <c r="O290" t="s">
        <v>762</v>
      </c>
      <c r="P290" t="s">
        <v>778</v>
      </c>
      <c r="AH290"/>
      <c r="AT290"/>
    </row>
    <row r="291" spans="1:46">
      <c r="A291" t="s">
        <v>759</v>
      </c>
      <c r="B291" s="10">
        <v>44879</v>
      </c>
      <c r="C291" s="10" t="str">
        <f>UPPER(TEXT(B291, "[$-en-US]mmmm"))</f>
        <v>NOVEMBER</v>
      </c>
      <c r="D291" s="41">
        <f>YEAR(B291)</f>
        <v>2022</v>
      </c>
      <c r="E291" s="10" t="str">
        <f>VLOOKUP(A291,Sheet2!A:B,2,0)</f>
        <v>EMEA</v>
      </c>
      <c r="F291" t="s">
        <v>13</v>
      </c>
      <c r="G291" t="s">
        <v>779</v>
      </c>
      <c r="H291" t="s">
        <v>14</v>
      </c>
      <c r="I291" t="s">
        <v>593</v>
      </c>
      <c r="J291" s="15">
        <v>-9000</v>
      </c>
      <c r="K291" s="12">
        <v>-10525.05</v>
      </c>
      <c r="L291" s="12">
        <v>10525.05</v>
      </c>
      <c r="M291" s="12">
        <v>-32386.678</v>
      </c>
      <c r="N291" t="s">
        <v>780</v>
      </c>
      <c r="O291" t="s">
        <v>762</v>
      </c>
      <c r="P291" t="s">
        <v>781</v>
      </c>
      <c r="AH291"/>
      <c r="AT291"/>
    </row>
    <row r="292" spans="1:46">
      <c r="A292" t="s">
        <v>759</v>
      </c>
      <c r="B292" s="10">
        <v>45670</v>
      </c>
      <c r="C292" s="10" t="str">
        <f>UPPER(TEXT(B292, "[$-en-US]mmmm"))</f>
        <v>JANUARY</v>
      </c>
      <c r="D292" s="41">
        <f>YEAR(B292)</f>
        <v>2025</v>
      </c>
      <c r="E292" s="10" t="str">
        <f>VLOOKUP(A292,Sheet2!A:B,2,0)</f>
        <v>EMEA</v>
      </c>
      <c r="F292" t="s">
        <v>13</v>
      </c>
      <c r="G292" t="s">
        <v>782</v>
      </c>
      <c r="H292" t="s">
        <v>14</v>
      </c>
      <c r="I292" t="s">
        <v>593</v>
      </c>
      <c r="J292" s="15">
        <v>-8627.5</v>
      </c>
      <c r="K292" s="12">
        <v>-10089.43</v>
      </c>
      <c r="L292" s="12">
        <v>10089.43</v>
      </c>
      <c r="M292" s="12">
        <v>-10089.43</v>
      </c>
      <c r="N292" t="s">
        <v>783</v>
      </c>
      <c r="O292" t="s">
        <v>14</v>
      </c>
      <c r="P292" t="s">
        <v>784</v>
      </c>
      <c r="AH292"/>
      <c r="AT292"/>
    </row>
    <row r="293" spans="1:46">
      <c r="A293" t="s">
        <v>759</v>
      </c>
      <c r="B293" s="10">
        <v>45674</v>
      </c>
      <c r="C293" s="10" t="str">
        <f>UPPER(TEXT(B293, "[$-en-US]mmmm"))</f>
        <v>JANUARY</v>
      </c>
      <c r="D293" s="41">
        <f>YEAR(B293)</f>
        <v>2025</v>
      </c>
      <c r="E293" s="10" t="str">
        <f>VLOOKUP(A293,Sheet2!A:B,2,0)</f>
        <v>EMEA</v>
      </c>
      <c r="F293" t="s">
        <v>13</v>
      </c>
      <c r="G293" t="s">
        <v>785</v>
      </c>
      <c r="H293" t="s">
        <v>14</v>
      </c>
      <c r="I293" t="s">
        <v>593</v>
      </c>
      <c r="J293" s="15">
        <v>-7973</v>
      </c>
      <c r="K293" s="12">
        <v>-9324.0249999999996</v>
      </c>
      <c r="L293" s="12">
        <v>9324.0249999999996</v>
      </c>
      <c r="M293" s="12">
        <v>-9324.0249999999996</v>
      </c>
      <c r="N293" t="s">
        <v>786</v>
      </c>
      <c r="O293" t="s">
        <v>762</v>
      </c>
      <c r="P293" t="s">
        <v>787</v>
      </c>
      <c r="AH293"/>
      <c r="AT293"/>
    </row>
    <row r="294" spans="1:46">
      <c r="A294" t="s">
        <v>759</v>
      </c>
      <c r="B294" s="10">
        <v>45330</v>
      </c>
      <c r="C294" s="10" t="str">
        <f>UPPER(TEXT(B294, "[$-en-US]mmmm"))</f>
        <v>FEBRUARY</v>
      </c>
      <c r="D294" s="41">
        <f>YEAR(B294)</f>
        <v>2024</v>
      </c>
      <c r="E294" s="10" t="str">
        <f>VLOOKUP(A294,Sheet2!A:B,2,0)</f>
        <v>EMEA</v>
      </c>
      <c r="F294" t="s">
        <v>13</v>
      </c>
      <c r="G294" t="s">
        <v>788</v>
      </c>
      <c r="H294" t="s">
        <v>14</v>
      </c>
      <c r="I294" t="s">
        <v>593</v>
      </c>
      <c r="J294" s="15">
        <v>-7905</v>
      </c>
      <c r="K294" s="12">
        <v>-9244.5020000000004</v>
      </c>
      <c r="L294" s="12">
        <v>9244.5020000000004</v>
      </c>
      <c r="M294" s="12">
        <v>-9244.5020000000004</v>
      </c>
      <c r="N294" t="s">
        <v>789</v>
      </c>
      <c r="O294" t="s">
        <v>790</v>
      </c>
      <c r="P294" t="s">
        <v>791</v>
      </c>
      <c r="AH294"/>
      <c r="AT294"/>
    </row>
    <row r="295" spans="1:46">
      <c r="A295" t="s">
        <v>759</v>
      </c>
      <c r="B295" s="10">
        <v>45455</v>
      </c>
      <c r="C295" s="10" t="str">
        <f>UPPER(TEXT(B295, "[$-en-US]mmmm"))</f>
        <v>JUNE</v>
      </c>
      <c r="D295" s="41">
        <f>YEAR(B295)</f>
        <v>2024</v>
      </c>
      <c r="E295" s="10" t="str">
        <f>VLOOKUP(A295,Sheet2!A:B,2,0)</f>
        <v>EMEA</v>
      </c>
      <c r="F295" t="s">
        <v>13</v>
      </c>
      <c r="G295" t="s">
        <v>792</v>
      </c>
      <c r="H295" t="s">
        <v>1633</v>
      </c>
      <c r="I295" t="s">
        <v>593</v>
      </c>
      <c r="J295" s="15">
        <v>-47600</v>
      </c>
      <c r="K295" s="12">
        <v>-55665.82</v>
      </c>
      <c r="L295" s="12">
        <v>8887.82</v>
      </c>
      <c r="M295" s="12">
        <v>-8887.82</v>
      </c>
      <c r="N295" t="s">
        <v>793</v>
      </c>
      <c r="O295" t="s">
        <v>14</v>
      </c>
      <c r="P295" t="s">
        <v>794</v>
      </c>
      <c r="AH295"/>
      <c r="AT295"/>
    </row>
    <row r="296" spans="1:46">
      <c r="A296" t="s">
        <v>759</v>
      </c>
      <c r="B296" s="10">
        <v>45953</v>
      </c>
      <c r="C296" s="10" t="str">
        <f>UPPER(TEXT(B296, "[$-en-US]mmmm"))</f>
        <v>OCTOBER</v>
      </c>
      <c r="D296" s="41">
        <f>YEAR(B296)</f>
        <v>2025</v>
      </c>
      <c r="E296" s="10" t="str">
        <f>VLOOKUP(A296,Sheet2!A:B,2,0)</f>
        <v>EMEA</v>
      </c>
      <c r="F296" t="s">
        <v>13</v>
      </c>
      <c r="G296" t="s">
        <v>795</v>
      </c>
      <c r="H296" t="s">
        <v>1634</v>
      </c>
      <c r="I296" t="s">
        <v>593</v>
      </c>
      <c r="J296" s="15">
        <v>-34319.599999999999</v>
      </c>
      <c r="K296" s="12">
        <v>-40135.055999999997</v>
      </c>
      <c r="L296" s="12">
        <v>8489.0380000000005</v>
      </c>
      <c r="M296" s="12">
        <v>-8489.0380000000005</v>
      </c>
      <c r="N296" t="s">
        <v>796</v>
      </c>
      <c r="O296" t="s">
        <v>762</v>
      </c>
      <c r="P296" t="s">
        <v>797</v>
      </c>
      <c r="AH296"/>
      <c r="AT296"/>
    </row>
    <row r="297" spans="1:46">
      <c r="A297" t="s">
        <v>759</v>
      </c>
      <c r="B297" s="10">
        <v>44804</v>
      </c>
      <c r="C297" s="10" t="str">
        <f>UPPER(TEXT(B297, "[$-en-US]mmmm"))</f>
        <v>AUGUST</v>
      </c>
      <c r="D297" s="41">
        <f>YEAR(B297)</f>
        <v>2022</v>
      </c>
      <c r="E297" s="10" t="str">
        <f>VLOOKUP(A297,Sheet2!A:B,2,0)</f>
        <v>EMEA</v>
      </c>
      <c r="F297" t="s">
        <v>13</v>
      </c>
      <c r="G297" t="s">
        <v>798</v>
      </c>
      <c r="H297" t="s">
        <v>14</v>
      </c>
      <c r="I297" t="s">
        <v>593</v>
      </c>
      <c r="J297" s="15">
        <v>-7200</v>
      </c>
      <c r="K297" s="12">
        <v>-8420.0400000000009</v>
      </c>
      <c r="L297" s="12">
        <v>8420.0400000000009</v>
      </c>
      <c r="M297" s="12">
        <v>-8420.0400000000009</v>
      </c>
      <c r="N297" t="s">
        <v>799</v>
      </c>
      <c r="O297" t="s">
        <v>800</v>
      </c>
      <c r="P297" t="s">
        <v>801</v>
      </c>
      <c r="AH297"/>
      <c r="AT297"/>
    </row>
    <row r="298" spans="1:46">
      <c r="A298" t="s">
        <v>759</v>
      </c>
      <c r="B298" s="10">
        <v>45065</v>
      </c>
      <c r="C298" s="10" t="str">
        <f>UPPER(TEXT(B298, "[$-en-US]mmmm"))</f>
        <v>MAY</v>
      </c>
      <c r="D298" s="41">
        <f>YEAR(B298)</f>
        <v>2023</v>
      </c>
      <c r="E298" s="10" t="str">
        <f>VLOOKUP(A298,Sheet2!A:B,2,0)</f>
        <v>EMEA</v>
      </c>
      <c r="F298" t="s">
        <v>13</v>
      </c>
      <c r="G298" t="s">
        <v>802</v>
      </c>
      <c r="H298" t="s">
        <v>14</v>
      </c>
      <c r="I298" t="s">
        <v>593</v>
      </c>
      <c r="J298" s="15">
        <v>-7114.81</v>
      </c>
      <c r="K298" s="12">
        <v>-8320.4150000000009</v>
      </c>
      <c r="L298" s="12">
        <v>8320.4150000000009</v>
      </c>
      <c r="M298" s="12">
        <v>-32386.678</v>
      </c>
      <c r="N298" t="s">
        <v>780</v>
      </c>
      <c r="O298" t="s">
        <v>762</v>
      </c>
      <c r="P298" t="s">
        <v>803</v>
      </c>
      <c r="AH298"/>
      <c r="AT298"/>
    </row>
    <row r="299" spans="1:46">
      <c r="A299" t="s">
        <v>759</v>
      </c>
      <c r="B299" s="10">
        <v>45057</v>
      </c>
      <c r="C299" s="10" t="str">
        <f>UPPER(TEXT(B299, "[$-en-US]mmmm"))</f>
        <v>MAY</v>
      </c>
      <c r="D299" s="41">
        <f>YEAR(B299)</f>
        <v>2023</v>
      </c>
      <c r="E299" s="10" t="str">
        <f>VLOOKUP(A299,Sheet2!A:B,2,0)</f>
        <v>EMEA</v>
      </c>
      <c r="F299" t="s">
        <v>13</v>
      </c>
      <c r="G299" t="s">
        <v>804</v>
      </c>
      <c r="H299" t="s">
        <v>14</v>
      </c>
      <c r="I299" t="s">
        <v>593</v>
      </c>
      <c r="J299" s="15">
        <v>-6500</v>
      </c>
      <c r="K299" s="12">
        <v>-7601.4250000000002</v>
      </c>
      <c r="L299" s="12">
        <v>7601.4250000000002</v>
      </c>
      <c r="M299" s="12">
        <v>-7601.4250000000002</v>
      </c>
      <c r="N299" t="s">
        <v>805</v>
      </c>
      <c r="O299" t="s">
        <v>800</v>
      </c>
      <c r="P299" t="s">
        <v>806</v>
      </c>
      <c r="AH299"/>
      <c r="AT299"/>
    </row>
    <row r="300" spans="1:46">
      <c r="A300" t="s">
        <v>759</v>
      </c>
      <c r="B300" s="10">
        <v>45307</v>
      </c>
      <c r="C300" s="10" t="str">
        <f>UPPER(TEXT(B300, "[$-en-US]mmmm"))</f>
        <v>JANUARY</v>
      </c>
      <c r="D300" s="41">
        <f>YEAR(B300)</f>
        <v>2024</v>
      </c>
      <c r="E300" s="10" t="str">
        <f>VLOOKUP(A300,Sheet2!A:B,2,0)</f>
        <v>EMEA</v>
      </c>
      <c r="F300" t="s">
        <v>13</v>
      </c>
      <c r="G300" t="s">
        <v>807</v>
      </c>
      <c r="H300" t="s">
        <v>14</v>
      </c>
      <c r="I300" t="s">
        <v>593</v>
      </c>
      <c r="J300" s="15">
        <v>-6500</v>
      </c>
      <c r="K300" s="12">
        <v>-7601.4250000000002</v>
      </c>
      <c r="L300" s="12">
        <v>7601.4250000000002</v>
      </c>
      <c r="M300" s="12">
        <v>-7601.4250000000002</v>
      </c>
      <c r="N300" t="s">
        <v>808</v>
      </c>
      <c r="O300" t="s">
        <v>14</v>
      </c>
      <c r="P300" t="s">
        <v>809</v>
      </c>
      <c r="AH300"/>
      <c r="AT300"/>
    </row>
    <row r="301" spans="1:46">
      <c r="A301" t="s">
        <v>759</v>
      </c>
      <c r="B301" s="10">
        <v>45019</v>
      </c>
      <c r="C301" s="10" t="str">
        <f>UPPER(TEXT(B301, "[$-en-US]mmmm"))</f>
        <v>APRIL</v>
      </c>
      <c r="D301" s="41">
        <f>YEAR(B301)</f>
        <v>2023</v>
      </c>
      <c r="E301" s="10" t="str">
        <f>VLOOKUP(A301,Sheet2!A:B,2,0)</f>
        <v>EMEA</v>
      </c>
      <c r="F301" t="s">
        <v>13</v>
      </c>
      <c r="G301" t="s">
        <v>810</v>
      </c>
      <c r="H301" t="s">
        <v>14</v>
      </c>
      <c r="I301" t="s">
        <v>593</v>
      </c>
      <c r="J301" s="15">
        <v>-5500</v>
      </c>
      <c r="K301" s="12">
        <v>-6431.9750000000004</v>
      </c>
      <c r="L301" s="12">
        <v>6431.9750000000004</v>
      </c>
      <c r="M301" s="12">
        <v>-6431.9750000000004</v>
      </c>
      <c r="N301" t="s">
        <v>811</v>
      </c>
      <c r="O301" t="s">
        <v>812</v>
      </c>
      <c r="P301" t="s">
        <v>813</v>
      </c>
      <c r="AH301"/>
      <c r="AT301"/>
    </row>
    <row r="302" spans="1:46">
      <c r="A302" t="s">
        <v>759</v>
      </c>
      <c r="B302" s="10">
        <v>45058</v>
      </c>
      <c r="C302" s="10" t="str">
        <f>UPPER(TEXT(B302, "[$-en-US]mmmm"))</f>
        <v>MAY</v>
      </c>
      <c r="D302" s="41">
        <f>YEAR(B302)</f>
        <v>2023</v>
      </c>
      <c r="E302" s="10" t="str">
        <f>VLOOKUP(A302,Sheet2!A:B,2,0)</f>
        <v>EMEA</v>
      </c>
      <c r="F302" t="s">
        <v>13</v>
      </c>
      <c r="G302" t="s">
        <v>814</v>
      </c>
      <c r="H302" t="s">
        <v>1635</v>
      </c>
      <c r="I302" t="s">
        <v>593</v>
      </c>
      <c r="J302" s="15">
        <v>-7327</v>
      </c>
      <c r="K302" s="12">
        <v>-8568.56</v>
      </c>
      <c r="L302" s="12">
        <v>6431.9750000000004</v>
      </c>
      <c r="M302" s="12">
        <v>-6431.9750000000004</v>
      </c>
      <c r="N302" t="s">
        <v>815</v>
      </c>
      <c r="O302" t="s">
        <v>800</v>
      </c>
      <c r="P302" t="s">
        <v>816</v>
      </c>
      <c r="AH302"/>
      <c r="AT302"/>
    </row>
    <row r="303" spans="1:46">
      <c r="A303" t="s">
        <v>759</v>
      </c>
      <c r="B303" s="10">
        <v>45912</v>
      </c>
      <c r="C303" s="10" t="str">
        <f>UPPER(TEXT(B303, "[$-en-US]mmmm"))</f>
        <v>SEPTEMBER</v>
      </c>
      <c r="D303" s="41">
        <f>YEAR(B303)</f>
        <v>2025</v>
      </c>
      <c r="E303" s="10" t="str">
        <f>VLOOKUP(A303,Sheet2!A:B,2,0)</f>
        <v>EMEA</v>
      </c>
      <c r="F303" t="s">
        <v>13</v>
      </c>
      <c r="G303" t="s">
        <v>817</v>
      </c>
      <c r="H303" t="s">
        <v>817</v>
      </c>
      <c r="I303" t="s">
        <v>15</v>
      </c>
      <c r="J303" s="11">
        <v>-17950</v>
      </c>
      <c r="K303" s="12">
        <v>-17750.427</v>
      </c>
      <c r="L303" s="12">
        <v>5883.8419999999996</v>
      </c>
      <c r="M303" s="12">
        <v>-5883.8419999999996</v>
      </c>
      <c r="N303" t="s">
        <v>280</v>
      </c>
      <c r="O303" t="s">
        <v>762</v>
      </c>
      <c r="P303" t="s">
        <v>818</v>
      </c>
      <c r="AH303"/>
      <c r="AT303"/>
    </row>
    <row r="304" spans="1:46">
      <c r="A304" t="s">
        <v>759</v>
      </c>
      <c r="B304" s="10">
        <v>46128</v>
      </c>
      <c r="C304" s="10" t="str">
        <f>UPPER(TEXT(B304, "[$-en-US]mmmm"))</f>
        <v>APRIL</v>
      </c>
      <c r="D304" s="41">
        <f>YEAR(B304)</f>
        <v>2026</v>
      </c>
      <c r="E304" s="10" t="str">
        <f>VLOOKUP(A304,Sheet2!A:B,2,0)</f>
        <v>EMEA</v>
      </c>
      <c r="F304" t="s">
        <v>13</v>
      </c>
      <c r="G304" t="s">
        <v>819</v>
      </c>
      <c r="H304" t="s">
        <v>14</v>
      </c>
      <c r="I304" t="s">
        <v>593</v>
      </c>
      <c r="J304" s="15">
        <v>-4557.7</v>
      </c>
      <c r="K304" s="12">
        <v>-5330.0020000000004</v>
      </c>
      <c r="L304" s="12">
        <v>5330.0020000000004</v>
      </c>
      <c r="M304" s="12">
        <v>-5330.0020000000004</v>
      </c>
      <c r="N304" t="s">
        <v>820</v>
      </c>
      <c r="O304" t="s">
        <v>762</v>
      </c>
      <c r="P304" t="s">
        <v>821</v>
      </c>
      <c r="AH304"/>
      <c r="AT304"/>
    </row>
    <row r="305" spans="1:46">
      <c r="A305" t="s">
        <v>759</v>
      </c>
      <c r="B305" s="10">
        <v>45699</v>
      </c>
      <c r="C305" s="10" t="str">
        <f>UPPER(TEXT(B305, "[$-en-US]mmmm"))</f>
        <v>FEBRUARY</v>
      </c>
      <c r="D305" s="41">
        <f>YEAR(B305)</f>
        <v>2025</v>
      </c>
      <c r="E305" s="10" t="str">
        <f>VLOOKUP(A305,Sheet2!A:B,2,0)</f>
        <v>EMEA</v>
      </c>
      <c r="F305" t="s">
        <v>13</v>
      </c>
      <c r="G305" t="s">
        <v>822</v>
      </c>
      <c r="H305" t="s">
        <v>14</v>
      </c>
      <c r="I305" t="s">
        <v>593</v>
      </c>
      <c r="J305" s="15">
        <v>-3866</v>
      </c>
      <c r="K305" s="12">
        <v>-4521.0940000000001</v>
      </c>
      <c r="L305" s="12">
        <v>4521.0940000000001</v>
      </c>
      <c r="M305" s="12">
        <v>-4521.0940000000001</v>
      </c>
      <c r="N305" t="s">
        <v>823</v>
      </c>
      <c r="O305" t="s">
        <v>14</v>
      </c>
      <c r="P305" t="s">
        <v>824</v>
      </c>
      <c r="AH305"/>
      <c r="AT305"/>
    </row>
    <row r="306" spans="1:46">
      <c r="A306" t="s">
        <v>759</v>
      </c>
      <c r="B306" s="10">
        <v>44932</v>
      </c>
      <c r="C306" s="10" t="str">
        <f>UPPER(TEXT(B306, "[$-en-US]mmmm"))</f>
        <v>JANUARY</v>
      </c>
      <c r="D306" s="41">
        <f>YEAR(B306)</f>
        <v>2023</v>
      </c>
      <c r="E306" s="10" t="str">
        <f>VLOOKUP(A306,Sheet2!A:B,2,0)</f>
        <v>EMEA</v>
      </c>
      <c r="F306" t="s">
        <v>13</v>
      </c>
      <c r="G306" t="s">
        <v>825</v>
      </c>
      <c r="H306" t="s">
        <v>14</v>
      </c>
      <c r="I306" t="s">
        <v>593</v>
      </c>
      <c r="J306" s="15">
        <v>-3831</v>
      </c>
      <c r="K306" s="12">
        <v>-4480.1629999999996</v>
      </c>
      <c r="L306" s="12">
        <v>4480.1629999999996</v>
      </c>
      <c r="M306" s="12">
        <v>-32386.678</v>
      </c>
      <c r="N306" t="s">
        <v>780</v>
      </c>
      <c r="O306" t="s">
        <v>762</v>
      </c>
      <c r="P306" t="s">
        <v>826</v>
      </c>
      <c r="AH306"/>
      <c r="AT306"/>
    </row>
    <row r="307" spans="1:46">
      <c r="A307" t="s">
        <v>759</v>
      </c>
      <c r="B307" s="10">
        <v>46134</v>
      </c>
      <c r="C307" s="10" t="str">
        <f>UPPER(TEXT(B307, "[$-en-US]mmmm"))</f>
        <v>APRIL</v>
      </c>
      <c r="D307" s="41">
        <f>YEAR(B307)</f>
        <v>2026</v>
      </c>
      <c r="E307" s="10" t="str">
        <f>VLOOKUP(A307,Sheet2!A:B,2,0)</f>
        <v>EMEA</v>
      </c>
      <c r="F307" t="s">
        <v>13</v>
      </c>
      <c r="G307" t="s">
        <v>827</v>
      </c>
      <c r="H307" t="s">
        <v>1636</v>
      </c>
      <c r="I307" t="s">
        <v>593</v>
      </c>
      <c r="J307" s="15">
        <v>-20570</v>
      </c>
      <c r="K307" s="12">
        <v>-24055.587</v>
      </c>
      <c r="L307" s="12">
        <v>4174.9369999999999</v>
      </c>
      <c r="M307" s="12">
        <v>-4174.9369999999999</v>
      </c>
      <c r="N307" t="s">
        <v>828</v>
      </c>
      <c r="O307" t="s">
        <v>829</v>
      </c>
      <c r="P307" t="s">
        <v>830</v>
      </c>
      <c r="AH307"/>
      <c r="AT307"/>
    </row>
    <row r="308" spans="1:46">
      <c r="A308" t="s">
        <v>759</v>
      </c>
      <c r="B308" s="10">
        <v>45945</v>
      </c>
      <c r="C308" s="10" t="str">
        <f>UPPER(TEXT(B308, "[$-en-US]mmmm"))</f>
        <v>OCTOBER</v>
      </c>
      <c r="D308" s="41">
        <f>YEAR(B308)</f>
        <v>2025</v>
      </c>
      <c r="E308" s="10" t="str">
        <f>VLOOKUP(A308,Sheet2!A:B,2,0)</f>
        <v>EMEA</v>
      </c>
      <c r="F308" t="s">
        <v>13</v>
      </c>
      <c r="G308" t="s">
        <v>831</v>
      </c>
      <c r="H308" t="s">
        <v>14</v>
      </c>
      <c r="I308" t="s">
        <v>593</v>
      </c>
      <c r="J308" s="15">
        <v>-3188</v>
      </c>
      <c r="K308" s="12">
        <v>-3728.2069999999999</v>
      </c>
      <c r="L308" s="12">
        <v>3728.2069999999999</v>
      </c>
      <c r="M308" s="12">
        <v>-32386.678</v>
      </c>
      <c r="N308" t="s">
        <v>780</v>
      </c>
      <c r="O308" t="s">
        <v>762</v>
      </c>
      <c r="P308" t="s">
        <v>832</v>
      </c>
      <c r="AH308"/>
      <c r="AT308"/>
    </row>
    <row r="309" spans="1:46">
      <c r="A309" t="s">
        <v>759</v>
      </c>
      <c r="B309" s="10">
        <v>45517</v>
      </c>
      <c r="C309" s="10" t="str">
        <f>UPPER(TEXT(B309, "[$-en-US]mmmm"))</f>
        <v>AUGUST</v>
      </c>
      <c r="D309" s="41">
        <f>YEAR(B309)</f>
        <v>2024</v>
      </c>
      <c r="E309" s="10" t="str">
        <f>VLOOKUP(A309,Sheet2!A:B,2,0)</f>
        <v>EMEA</v>
      </c>
      <c r="F309" t="s">
        <v>13</v>
      </c>
      <c r="G309" t="s">
        <v>833</v>
      </c>
      <c r="H309" t="s">
        <v>14</v>
      </c>
      <c r="I309" t="s">
        <v>593</v>
      </c>
      <c r="J309" s="15">
        <v>-3123.75</v>
      </c>
      <c r="K309" s="12">
        <v>-3653.069</v>
      </c>
      <c r="L309" s="12">
        <v>3653.069</v>
      </c>
      <c r="M309" s="12">
        <v>-3979.346</v>
      </c>
      <c r="N309" t="s">
        <v>834</v>
      </c>
      <c r="O309" t="s">
        <v>762</v>
      </c>
      <c r="P309" t="s">
        <v>835</v>
      </c>
      <c r="AH309"/>
      <c r="AT309"/>
    </row>
    <row r="310" spans="1:46">
      <c r="A310" t="s">
        <v>759</v>
      </c>
      <c r="B310" s="10">
        <v>46135</v>
      </c>
      <c r="C310" s="10" t="str">
        <f>UPPER(TEXT(B310, "[$-en-US]mmmm"))</f>
        <v>APRIL</v>
      </c>
      <c r="D310" s="41">
        <f>YEAR(B310)</f>
        <v>2026</v>
      </c>
      <c r="E310" s="10" t="str">
        <f>VLOOKUP(A310,Sheet2!A:B,2,0)</f>
        <v>EMEA</v>
      </c>
      <c r="F310" t="s">
        <v>13</v>
      </c>
      <c r="G310" t="s">
        <v>836</v>
      </c>
      <c r="H310" t="s">
        <v>1637</v>
      </c>
      <c r="I310" t="s">
        <v>593</v>
      </c>
      <c r="J310" s="15">
        <v>-16128.07</v>
      </c>
      <c r="K310" s="12">
        <v>-18860.971000000001</v>
      </c>
      <c r="L310" s="12">
        <v>3526.8510000000001</v>
      </c>
      <c r="M310" s="12">
        <v>-3526.8510000000001</v>
      </c>
      <c r="N310" t="s">
        <v>837</v>
      </c>
      <c r="O310" t="s">
        <v>762</v>
      </c>
      <c r="P310" t="s">
        <v>838</v>
      </c>
      <c r="AH310"/>
      <c r="AT310"/>
    </row>
    <row r="311" spans="1:46">
      <c r="A311" t="s">
        <v>759</v>
      </c>
      <c r="B311" s="10">
        <v>45091</v>
      </c>
      <c r="C311" s="10" t="str">
        <f>UPPER(TEXT(B311, "[$-en-US]mmmm"))</f>
        <v>JUNE</v>
      </c>
      <c r="D311" s="41">
        <f>YEAR(B311)</f>
        <v>2023</v>
      </c>
      <c r="E311" s="10" t="str">
        <f>VLOOKUP(A311,Sheet2!A:B,2,0)</f>
        <v>EMEA</v>
      </c>
      <c r="F311" t="s">
        <v>13</v>
      </c>
      <c r="G311" t="s">
        <v>839</v>
      </c>
      <c r="H311" t="s">
        <v>14</v>
      </c>
      <c r="I311" t="s">
        <v>593</v>
      </c>
      <c r="J311" s="15">
        <v>-2826.24</v>
      </c>
      <c r="K311" s="12">
        <v>-3305.1460000000002</v>
      </c>
      <c r="L311" s="12">
        <v>3305.1460000000002</v>
      </c>
      <c r="M311" s="12">
        <v>-3305.1460000000002</v>
      </c>
      <c r="N311" t="s">
        <v>840</v>
      </c>
      <c r="O311" t="s">
        <v>762</v>
      </c>
      <c r="P311" t="s">
        <v>841</v>
      </c>
      <c r="AH311"/>
      <c r="AT311"/>
    </row>
    <row r="312" spans="1:46">
      <c r="A312" t="s">
        <v>759</v>
      </c>
      <c r="B312" s="10">
        <v>46134</v>
      </c>
      <c r="C312" s="10" t="str">
        <f>UPPER(TEXT(B312, "[$-en-US]mmmm"))</f>
        <v>APRIL</v>
      </c>
      <c r="D312" s="41">
        <f>YEAR(B312)</f>
        <v>2026</v>
      </c>
      <c r="E312" s="10" t="str">
        <f>VLOOKUP(A312,Sheet2!A:B,2,0)</f>
        <v>EMEA</v>
      </c>
      <c r="F312" t="s">
        <v>13</v>
      </c>
      <c r="G312" t="s">
        <v>842</v>
      </c>
      <c r="H312" t="s">
        <v>1638</v>
      </c>
      <c r="I312" t="s">
        <v>593</v>
      </c>
      <c r="J312" s="15">
        <v>-16200</v>
      </c>
      <c r="K312" s="12">
        <v>-18945.09</v>
      </c>
      <c r="L312" s="12">
        <v>3157.5149999999999</v>
      </c>
      <c r="M312" s="12">
        <v>-3157.5149999999999</v>
      </c>
      <c r="N312" t="s">
        <v>843</v>
      </c>
      <c r="O312" t="s">
        <v>829</v>
      </c>
      <c r="P312" t="s">
        <v>844</v>
      </c>
      <c r="AH312"/>
      <c r="AT312"/>
    </row>
    <row r="313" spans="1:46">
      <c r="A313" t="s">
        <v>759</v>
      </c>
      <c r="B313" s="10">
        <v>45008</v>
      </c>
      <c r="C313" s="10" t="str">
        <f>UPPER(TEXT(B313, "[$-en-US]mmmm"))</f>
        <v>MARCH</v>
      </c>
      <c r="D313" s="41">
        <f>YEAR(B313)</f>
        <v>2023</v>
      </c>
      <c r="E313" s="10" t="str">
        <f>VLOOKUP(A313,Sheet2!A:B,2,0)</f>
        <v>EMEA</v>
      </c>
      <c r="F313" t="s">
        <v>13</v>
      </c>
      <c r="G313" t="s">
        <v>845</v>
      </c>
      <c r="H313" t="s">
        <v>1639</v>
      </c>
      <c r="I313" t="s">
        <v>593</v>
      </c>
      <c r="J313" s="15">
        <v>-30631</v>
      </c>
      <c r="K313" s="12">
        <v>-35821.423000000003</v>
      </c>
      <c r="L313" s="12">
        <v>2655.8209999999999</v>
      </c>
      <c r="M313" s="12">
        <v>-2655.8209999999999</v>
      </c>
      <c r="N313" t="s">
        <v>846</v>
      </c>
      <c r="O313" t="s">
        <v>762</v>
      </c>
      <c r="P313" t="s">
        <v>847</v>
      </c>
      <c r="AH313"/>
      <c r="AT313"/>
    </row>
    <row r="314" spans="1:46">
      <c r="A314" t="s">
        <v>759</v>
      </c>
      <c r="B314" s="10">
        <v>45923</v>
      </c>
      <c r="C314" s="10" t="str">
        <f>UPPER(TEXT(B314, "[$-en-US]mmmm"))</f>
        <v>SEPTEMBER</v>
      </c>
      <c r="D314" s="41">
        <f>YEAR(B314)</f>
        <v>2025</v>
      </c>
      <c r="E314" s="10" t="str">
        <f>VLOOKUP(A314,Sheet2!A:B,2,0)</f>
        <v>EMEA</v>
      </c>
      <c r="F314" t="s">
        <v>13</v>
      </c>
      <c r="G314" t="s">
        <v>848</v>
      </c>
      <c r="H314" t="s">
        <v>14</v>
      </c>
      <c r="I314" t="s">
        <v>593</v>
      </c>
      <c r="J314" s="15">
        <v>-2180</v>
      </c>
      <c r="K314" s="12">
        <v>-2549.4009999999998</v>
      </c>
      <c r="L314" s="12">
        <v>2549.4009999999998</v>
      </c>
      <c r="M314" s="12">
        <v>-2549.4009999999998</v>
      </c>
      <c r="N314" t="s">
        <v>849</v>
      </c>
      <c r="O314" t="s">
        <v>829</v>
      </c>
      <c r="P314" t="s">
        <v>850</v>
      </c>
      <c r="AH314"/>
      <c r="AT314"/>
    </row>
    <row r="315" spans="1:46">
      <c r="A315" t="s">
        <v>759</v>
      </c>
      <c r="B315" s="10">
        <v>45917</v>
      </c>
      <c r="C315" s="10" t="str">
        <f>UPPER(TEXT(B315, "[$-en-US]mmmm"))</f>
        <v>SEPTEMBER</v>
      </c>
      <c r="D315" s="41">
        <f>YEAR(B315)</f>
        <v>2025</v>
      </c>
      <c r="E315" s="10" t="str">
        <f>VLOOKUP(A315,Sheet2!A:B,2,0)</f>
        <v>EMEA</v>
      </c>
      <c r="F315" t="s">
        <v>13</v>
      </c>
      <c r="G315" t="s">
        <v>851</v>
      </c>
      <c r="H315" t="s">
        <v>1640</v>
      </c>
      <c r="I315" t="s">
        <v>593</v>
      </c>
      <c r="J315" s="15">
        <v>-5976</v>
      </c>
      <c r="K315" s="12">
        <v>-6988.6329999999998</v>
      </c>
      <c r="L315" s="12">
        <v>2352.933</v>
      </c>
      <c r="M315" s="12">
        <v>-2352.933</v>
      </c>
      <c r="N315" t="s">
        <v>852</v>
      </c>
      <c r="O315" t="s">
        <v>829</v>
      </c>
      <c r="P315" t="s">
        <v>853</v>
      </c>
      <c r="AH315"/>
      <c r="AT315"/>
    </row>
    <row r="316" spans="1:46">
      <c r="A316" t="s">
        <v>759</v>
      </c>
      <c r="B316" s="10">
        <v>44953</v>
      </c>
      <c r="C316" s="10" t="str">
        <f>UPPER(TEXT(B316, "[$-en-US]mmmm"))</f>
        <v>JANUARY</v>
      </c>
      <c r="D316" s="41">
        <f>YEAR(B316)</f>
        <v>2023</v>
      </c>
      <c r="E316" s="10" t="str">
        <f>VLOOKUP(A316,Sheet2!A:B,2,0)</f>
        <v>EMEA</v>
      </c>
      <c r="F316" t="s">
        <v>13</v>
      </c>
      <c r="G316" t="s">
        <v>854</v>
      </c>
      <c r="H316" t="s">
        <v>14</v>
      </c>
      <c r="I316" t="s">
        <v>593</v>
      </c>
      <c r="J316" s="15">
        <v>-2000</v>
      </c>
      <c r="K316" s="12">
        <v>-2338.9</v>
      </c>
      <c r="L316" s="12">
        <v>2338.9</v>
      </c>
      <c r="M316" s="12">
        <v>-2338.9</v>
      </c>
      <c r="N316" t="s">
        <v>855</v>
      </c>
      <c r="O316" t="s">
        <v>829</v>
      </c>
      <c r="P316" t="s">
        <v>856</v>
      </c>
      <c r="AH316"/>
      <c r="AT316"/>
    </row>
    <row r="317" spans="1:46">
      <c r="A317" t="s">
        <v>759</v>
      </c>
      <c r="B317" s="10">
        <v>45442</v>
      </c>
      <c r="C317" s="10" t="str">
        <f>UPPER(TEXT(B317, "[$-en-US]mmmm"))</f>
        <v>MAY</v>
      </c>
      <c r="D317" s="41">
        <f>YEAR(B317)</f>
        <v>2024</v>
      </c>
      <c r="E317" s="10" t="str">
        <f>VLOOKUP(A317,Sheet2!A:B,2,0)</f>
        <v>EMEA</v>
      </c>
      <c r="F317" t="s">
        <v>13</v>
      </c>
      <c r="G317" t="s">
        <v>857</v>
      </c>
      <c r="H317" t="s">
        <v>1641</v>
      </c>
      <c r="I317" t="s">
        <v>593</v>
      </c>
      <c r="J317" s="15">
        <v>-15500</v>
      </c>
      <c r="K317" s="12">
        <v>-18126.474999999999</v>
      </c>
      <c r="L317" s="12">
        <v>2338.9</v>
      </c>
      <c r="M317" s="12">
        <v>-32386.678</v>
      </c>
      <c r="N317" t="s">
        <v>780</v>
      </c>
      <c r="O317" t="s">
        <v>762</v>
      </c>
      <c r="P317" t="s">
        <v>858</v>
      </c>
      <c r="AH317"/>
      <c r="AT317"/>
    </row>
    <row r="318" spans="1:46">
      <c r="A318" t="s">
        <v>759</v>
      </c>
      <c r="B318" s="10">
        <v>45119</v>
      </c>
      <c r="C318" s="10" t="str">
        <f>UPPER(TEXT(B318, "[$-en-US]mmmm"))</f>
        <v>JULY</v>
      </c>
      <c r="D318" s="41">
        <f>YEAR(B318)</f>
        <v>2023</v>
      </c>
      <c r="E318" s="10" t="str">
        <f>VLOOKUP(A318,Sheet2!A:B,2,0)</f>
        <v>EMEA</v>
      </c>
      <c r="F318" t="s">
        <v>13</v>
      </c>
      <c r="G318" t="s">
        <v>859</v>
      </c>
      <c r="H318" t="s">
        <v>14</v>
      </c>
      <c r="I318" t="s">
        <v>593</v>
      </c>
      <c r="J318" s="15">
        <v>-1785</v>
      </c>
      <c r="K318" s="12">
        <v>-2087.4679999999998</v>
      </c>
      <c r="L318" s="12">
        <v>2087.4679999999998</v>
      </c>
      <c r="M318" s="12">
        <v>-2087.4679999999998</v>
      </c>
      <c r="N318" t="s">
        <v>860</v>
      </c>
      <c r="O318" t="s">
        <v>762</v>
      </c>
      <c r="P318" t="s">
        <v>861</v>
      </c>
      <c r="AH318"/>
      <c r="AT318"/>
    </row>
    <row r="319" spans="1:46">
      <c r="A319" t="s">
        <v>759</v>
      </c>
      <c r="B319" s="10">
        <v>44860</v>
      </c>
      <c r="C319" s="10" t="str">
        <f>UPPER(TEXT(B319, "[$-en-US]mmmm"))</f>
        <v>OCTOBER</v>
      </c>
      <c r="D319" s="41">
        <f>YEAR(B319)</f>
        <v>2022</v>
      </c>
      <c r="E319" s="10" t="str">
        <f>VLOOKUP(A319,Sheet2!A:B,2,0)</f>
        <v>EMEA</v>
      </c>
      <c r="F319" t="s">
        <v>13</v>
      </c>
      <c r="G319" t="s">
        <v>862</v>
      </c>
      <c r="H319" t="s">
        <v>14</v>
      </c>
      <c r="I319" t="s">
        <v>593</v>
      </c>
      <c r="J319" s="15">
        <v>-1111.3</v>
      </c>
      <c r="K319" s="12">
        <v>-1299.6099999999999</v>
      </c>
      <c r="L319" s="12">
        <v>1299.6099999999999</v>
      </c>
      <c r="M319" s="12">
        <v>-32386.678</v>
      </c>
      <c r="N319" t="s">
        <v>780</v>
      </c>
      <c r="O319" t="s">
        <v>762</v>
      </c>
      <c r="P319" t="s">
        <v>863</v>
      </c>
      <c r="AH319"/>
      <c r="AT319"/>
    </row>
    <row r="320" spans="1:46">
      <c r="A320" t="s">
        <v>759</v>
      </c>
      <c r="B320" s="10">
        <v>45002</v>
      </c>
      <c r="C320" s="10" t="str">
        <f>UPPER(TEXT(B320, "[$-en-US]mmmm"))</f>
        <v>MARCH</v>
      </c>
      <c r="D320" s="41">
        <f>YEAR(B320)</f>
        <v>2023</v>
      </c>
      <c r="E320" s="10" t="str">
        <f>VLOOKUP(A320,Sheet2!A:B,2,0)</f>
        <v>EMEA</v>
      </c>
      <c r="F320" t="s">
        <v>13</v>
      </c>
      <c r="G320" t="s">
        <v>864</v>
      </c>
      <c r="H320" t="s">
        <v>1642</v>
      </c>
      <c r="I320" t="s">
        <v>593</v>
      </c>
      <c r="J320" s="15">
        <v>-27965</v>
      </c>
      <c r="K320" s="12">
        <v>-32703.669000000002</v>
      </c>
      <c r="L320" s="12">
        <v>1283.097</v>
      </c>
      <c r="M320" s="12">
        <v>-1283.097</v>
      </c>
      <c r="N320" t="s">
        <v>865</v>
      </c>
      <c r="O320" t="s">
        <v>762</v>
      </c>
      <c r="P320" t="s">
        <v>866</v>
      </c>
      <c r="AH320"/>
      <c r="AT320"/>
    </row>
    <row r="321" spans="1:46">
      <c r="A321" t="s">
        <v>759</v>
      </c>
      <c r="B321" s="10">
        <v>46120</v>
      </c>
      <c r="C321" s="10" t="str">
        <f>UPPER(TEXT(B321, "[$-en-US]mmmm"))</f>
        <v>APRIL</v>
      </c>
      <c r="D321" s="41">
        <f>YEAR(B321)</f>
        <v>2026</v>
      </c>
      <c r="E321" s="10" t="str">
        <f>VLOOKUP(A321,Sheet2!A:B,2,0)</f>
        <v>EMEA</v>
      </c>
      <c r="F321" t="s">
        <v>13</v>
      </c>
      <c r="G321" t="s">
        <v>867</v>
      </c>
      <c r="H321" t="s">
        <v>1643</v>
      </c>
      <c r="I321" t="s">
        <v>593</v>
      </c>
      <c r="J321" s="15">
        <v>-6573.6</v>
      </c>
      <c r="K321" s="12">
        <v>-7687.4970000000003</v>
      </c>
      <c r="L321" s="12">
        <v>1281.249</v>
      </c>
      <c r="M321" s="12">
        <v>-1281.249</v>
      </c>
      <c r="N321" t="s">
        <v>868</v>
      </c>
      <c r="O321" t="s">
        <v>829</v>
      </c>
      <c r="P321" t="s">
        <v>869</v>
      </c>
      <c r="AH321"/>
      <c r="AT321"/>
    </row>
    <row r="322" spans="1:46">
      <c r="A322" t="s">
        <v>759</v>
      </c>
      <c r="B322" s="10">
        <v>45155</v>
      </c>
      <c r="C322" s="10" t="str">
        <f>UPPER(TEXT(B322, "[$-en-US]mmmm"))</f>
        <v>AUGUST</v>
      </c>
      <c r="D322" s="41">
        <f>YEAR(B322)</f>
        <v>2023</v>
      </c>
      <c r="E322" s="10" t="str">
        <f>VLOOKUP(A322,Sheet2!A:B,2,0)</f>
        <v>EMEA</v>
      </c>
      <c r="F322" t="s">
        <v>13</v>
      </c>
      <c r="G322" t="s">
        <v>870</v>
      </c>
      <c r="H322" t="s">
        <v>14</v>
      </c>
      <c r="I322" t="s">
        <v>593</v>
      </c>
      <c r="J322" s="15">
        <v>-1038.58</v>
      </c>
      <c r="K322" s="12">
        <v>-1214.567</v>
      </c>
      <c r="L322" s="12">
        <v>1214.567</v>
      </c>
      <c r="M322" s="12">
        <v>-32386.678</v>
      </c>
      <c r="N322" t="s">
        <v>780</v>
      </c>
      <c r="O322" t="s">
        <v>762</v>
      </c>
      <c r="P322" t="s">
        <v>871</v>
      </c>
      <c r="AH322"/>
      <c r="AT322"/>
    </row>
    <row r="323" spans="1:46">
      <c r="A323" t="s">
        <v>759</v>
      </c>
      <c r="B323" s="10">
        <v>45811</v>
      </c>
      <c r="C323" s="10" t="str">
        <f>UPPER(TEXT(B323, "[$-en-US]mmmm"))</f>
        <v>JUNE</v>
      </c>
      <c r="D323" s="41">
        <f>YEAR(B323)</f>
        <v>2025</v>
      </c>
      <c r="E323" s="10" t="str">
        <f>VLOOKUP(A323,Sheet2!A:B,2,0)</f>
        <v>EMEA</v>
      </c>
      <c r="F323" t="s">
        <v>13</v>
      </c>
      <c r="G323" t="s">
        <v>872</v>
      </c>
      <c r="H323" t="s">
        <v>1644</v>
      </c>
      <c r="I323" t="s">
        <v>593</v>
      </c>
      <c r="J323" s="15">
        <v>-5950</v>
      </c>
      <c r="K323" s="12">
        <v>-6958.2280000000001</v>
      </c>
      <c r="L323" s="12">
        <v>1110.9780000000001</v>
      </c>
      <c r="M323" s="12">
        <v>-1110.9780000000001</v>
      </c>
      <c r="N323" t="s">
        <v>873</v>
      </c>
      <c r="O323" t="s">
        <v>874</v>
      </c>
      <c r="P323" t="s">
        <v>875</v>
      </c>
      <c r="AH323"/>
      <c r="AT323"/>
    </row>
    <row r="324" spans="1:46">
      <c r="A324" t="s">
        <v>759</v>
      </c>
      <c r="B324" s="10">
        <v>45247</v>
      </c>
      <c r="C324" s="10" t="str">
        <f>UPPER(TEXT(B324, "[$-en-US]mmmm"))</f>
        <v>NOVEMBER</v>
      </c>
      <c r="D324" s="41">
        <f>YEAR(B324)</f>
        <v>2023</v>
      </c>
      <c r="E324" s="10" t="str">
        <f>VLOOKUP(A324,Sheet2!A:B,2,0)</f>
        <v>EMEA</v>
      </c>
      <c r="F324" t="s">
        <v>13</v>
      </c>
      <c r="G324" t="s">
        <v>876</v>
      </c>
      <c r="H324" t="s">
        <v>14</v>
      </c>
      <c r="I324" t="s">
        <v>593</v>
      </c>
      <c r="J324" s="15">
        <v>-942.93</v>
      </c>
      <c r="K324" s="12">
        <v>-1102.7090000000001</v>
      </c>
      <c r="L324" s="12">
        <v>1102.7090000000001</v>
      </c>
      <c r="M324" s="12">
        <v>-1102.7090000000001</v>
      </c>
      <c r="N324" t="s">
        <v>877</v>
      </c>
      <c r="O324" t="s">
        <v>762</v>
      </c>
      <c r="P324" t="s">
        <v>878</v>
      </c>
      <c r="AH324"/>
      <c r="AT324"/>
    </row>
    <row r="325" spans="1:46">
      <c r="A325" t="s">
        <v>759</v>
      </c>
      <c r="B325" s="10">
        <v>46008</v>
      </c>
      <c r="C325" s="10" t="str">
        <f>UPPER(TEXT(B325, "[$-en-US]mmmm"))</f>
        <v>DECEMBER</v>
      </c>
      <c r="D325" s="41">
        <f>YEAR(B325)</f>
        <v>2025</v>
      </c>
      <c r="E325" s="10" t="str">
        <f>VLOOKUP(A325,Sheet2!A:B,2,0)</f>
        <v>EMEA</v>
      </c>
      <c r="F325" t="s">
        <v>13</v>
      </c>
      <c r="G325" t="s">
        <v>879</v>
      </c>
      <c r="H325" t="s">
        <v>1645</v>
      </c>
      <c r="I325" t="s">
        <v>593</v>
      </c>
      <c r="J325" s="15">
        <v>-14237.53</v>
      </c>
      <c r="K325" s="12">
        <v>-16650.079000000002</v>
      </c>
      <c r="L325" s="12">
        <v>988.80499999999995</v>
      </c>
      <c r="M325" s="12">
        <v>-988.80499999999995</v>
      </c>
      <c r="N325" t="s">
        <v>880</v>
      </c>
      <c r="O325" t="s">
        <v>762</v>
      </c>
      <c r="P325" t="s">
        <v>881</v>
      </c>
      <c r="AH325"/>
      <c r="AT325"/>
    </row>
    <row r="326" spans="1:46">
      <c r="A326" t="s">
        <v>759</v>
      </c>
      <c r="B326" s="10">
        <v>45660</v>
      </c>
      <c r="C326" s="10" t="str">
        <f>UPPER(TEXT(B326, "[$-en-US]mmmm"))</f>
        <v>JANUARY</v>
      </c>
      <c r="D326" s="41">
        <f>YEAR(B326)</f>
        <v>2025</v>
      </c>
      <c r="E326" s="10" t="str">
        <f>VLOOKUP(A326,Sheet2!A:B,2,0)</f>
        <v>EMEA</v>
      </c>
      <c r="F326" t="s">
        <v>13</v>
      </c>
      <c r="G326" t="s">
        <v>882</v>
      </c>
      <c r="H326" t="s">
        <v>1646</v>
      </c>
      <c r="I326" t="s">
        <v>593</v>
      </c>
      <c r="J326" s="15">
        <v>-8330</v>
      </c>
      <c r="K326" s="12">
        <v>-9741.5190000000002</v>
      </c>
      <c r="L326" s="12">
        <v>974.15200000000004</v>
      </c>
      <c r="M326" s="12">
        <v>-974.15200000000004</v>
      </c>
      <c r="N326" t="s">
        <v>883</v>
      </c>
      <c r="O326" t="s">
        <v>762</v>
      </c>
      <c r="P326" t="s">
        <v>884</v>
      </c>
      <c r="AH326"/>
      <c r="AT326"/>
    </row>
    <row r="327" spans="1:46">
      <c r="A327" t="s">
        <v>759</v>
      </c>
      <c r="B327" s="10">
        <v>44680</v>
      </c>
      <c r="C327" s="10" t="str">
        <f>UPPER(TEXT(B327, "[$-en-US]mmmm"))</f>
        <v>APRIL</v>
      </c>
      <c r="D327" s="41">
        <f>YEAR(B327)</f>
        <v>2022</v>
      </c>
      <c r="E327" s="10" t="str">
        <f>VLOOKUP(A327,Sheet2!A:B,2,0)</f>
        <v>EMEA</v>
      </c>
      <c r="F327" t="s">
        <v>13</v>
      </c>
      <c r="G327" t="s">
        <v>885</v>
      </c>
      <c r="H327" t="s">
        <v>1647</v>
      </c>
      <c r="I327" t="s">
        <v>593</v>
      </c>
      <c r="J327" s="15">
        <v>-9392.67</v>
      </c>
      <c r="K327" s="12">
        <v>-10984.258</v>
      </c>
      <c r="L327" s="12">
        <v>964.41</v>
      </c>
      <c r="M327" s="12">
        <v>-964.41</v>
      </c>
      <c r="N327" t="s">
        <v>886</v>
      </c>
      <c r="O327" t="s">
        <v>762</v>
      </c>
      <c r="P327" t="s">
        <v>887</v>
      </c>
      <c r="AH327"/>
      <c r="AT327"/>
    </row>
    <row r="328" spans="1:46">
      <c r="A328" t="s">
        <v>759</v>
      </c>
      <c r="B328" s="10">
        <v>46139</v>
      </c>
      <c r="C328" s="10" t="str">
        <f>UPPER(TEXT(B328, "[$-en-US]mmmm"))</f>
        <v>APRIL</v>
      </c>
      <c r="D328" s="41">
        <f>YEAR(B328)</f>
        <v>2026</v>
      </c>
      <c r="E328" s="10" t="str">
        <f>VLOOKUP(A328,Sheet2!A:B,2,0)</f>
        <v>EMEA</v>
      </c>
      <c r="F328" t="s">
        <v>13</v>
      </c>
      <c r="G328" t="s">
        <v>888</v>
      </c>
      <c r="H328" t="s">
        <v>14</v>
      </c>
      <c r="I328" t="s">
        <v>593</v>
      </c>
      <c r="J328" s="15">
        <v>-692.25</v>
      </c>
      <c r="K328" s="12">
        <v>-809.55200000000002</v>
      </c>
      <c r="L328" s="12">
        <v>809.55200000000002</v>
      </c>
      <c r="M328" s="12">
        <v>0</v>
      </c>
      <c r="N328" t="s">
        <v>889</v>
      </c>
      <c r="O328" t="s">
        <v>762</v>
      </c>
      <c r="P328" t="s">
        <v>890</v>
      </c>
      <c r="AH328"/>
      <c r="AT328"/>
    </row>
    <row r="329" spans="1:46">
      <c r="A329" t="s">
        <v>759</v>
      </c>
      <c r="B329" s="10">
        <v>45842</v>
      </c>
      <c r="C329" s="10" t="str">
        <f>UPPER(TEXT(B329, "[$-en-US]mmmm"))</f>
        <v>JULY</v>
      </c>
      <c r="D329" s="41">
        <f>YEAR(B329)</f>
        <v>2025</v>
      </c>
      <c r="E329" s="10" t="str">
        <f>VLOOKUP(A329,Sheet2!A:B,2,0)</f>
        <v>EMEA</v>
      </c>
      <c r="F329" t="s">
        <v>13</v>
      </c>
      <c r="G329" t="s">
        <v>891</v>
      </c>
      <c r="H329" t="s">
        <v>1648</v>
      </c>
      <c r="I329" t="s">
        <v>593</v>
      </c>
      <c r="J329" s="15">
        <v>-11858</v>
      </c>
      <c r="K329" s="12">
        <v>-13867.338</v>
      </c>
      <c r="L329" s="12">
        <v>769.49800000000005</v>
      </c>
      <c r="M329" s="12">
        <v>-769.49800000000005</v>
      </c>
      <c r="N329" t="s">
        <v>892</v>
      </c>
      <c r="O329" t="s">
        <v>762</v>
      </c>
      <c r="P329" t="s">
        <v>893</v>
      </c>
      <c r="AH329"/>
      <c r="AT329"/>
    </row>
    <row r="330" spans="1:46">
      <c r="A330" t="s">
        <v>759</v>
      </c>
      <c r="B330" s="10">
        <v>44994</v>
      </c>
      <c r="C330" s="10" t="str">
        <f>UPPER(TEXT(B330, "[$-en-US]mmmm"))</f>
        <v>MARCH</v>
      </c>
      <c r="D330" s="41">
        <f>YEAR(B330)</f>
        <v>2023</v>
      </c>
      <c r="E330" s="10" t="str">
        <f>VLOOKUP(A330,Sheet2!A:B,2,0)</f>
        <v>EMEA</v>
      </c>
      <c r="F330" t="s">
        <v>13</v>
      </c>
      <c r="G330" t="s">
        <v>894</v>
      </c>
      <c r="H330" t="s">
        <v>14</v>
      </c>
      <c r="I330" t="s">
        <v>593</v>
      </c>
      <c r="J330" s="15">
        <v>-561.5</v>
      </c>
      <c r="K330" s="12">
        <v>-656.64599999999996</v>
      </c>
      <c r="L330" s="12">
        <v>656.64599999999996</v>
      </c>
      <c r="M330" s="12">
        <v>-656.64599999999996</v>
      </c>
      <c r="N330" t="s">
        <v>895</v>
      </c>
      <c r="O330" t="s">
        <v>800</v>
      </c>
      <c r="P330" t="s">
        <v>896</v>
      </c>
      <c r="AH330"/>
      <c r="AT330"/>
    </row>
    <row r="331" spans="1:46">
      <c r="A331" t="s">
        <v>759</v>
      </c>
      <c r="B331" s="10">
        <v>45790</v>
      </c>
      <c r="C331" s="10" t="str">
        <f>UPPER(TEXT(B331, "[$-en-US]mmmm"))</f>
        <v>MAY</v>
      </c>
      <c r="D331" s="41">
        <f>YEAR(B331)</f>
        <v>2025</v>
      </c>
      <c r="E331" s="10" t="str">
        <f>VLOOKUP(A331,Sheet2!A:B,2,0)</f>
        <v>EMEA</v>
      </c>
      <c r="F331" t="s">
        <v>13</v>
      </c>
      <c r="G331" t="s">
        <v>897</v>
      </c>
      <c r="H331" t="s">
        <v>1649</v>
      </c>
      <c r="I331" t="s">
        <v>593</v>
      </c>
      <c r="J331" s="15">
        <v>-9996</v>
      </c>
      <c r="K331" s="12">
        <v>-11689.822</v>
      </c>
      <c r="L331" s="12">
        <v>556.65800000000002</v>
      </c>
      <c r="M331" s="12">
        <v>-556.65800000000002</v>
      </c>
      <c r="N331" t="s">
        <v>898</v>
      </c>
      <c r="O331" t="s">
        <v>762</v>
      </c>
      <c r="P331" t="s">
        <v>899</v>
      </c>
      <c r="AH331"/>
      <c r="AT331"/>
    </row>
    <row r="332" spans="1:46">
      <c r="A332" t="s">
        <v>759</v>
      </c>
      <c r="B332" s="10">
        <v>45317</v>
      </c>
      <c r="C332" s="10" t="str">
        <f>UPPER(TEXT(B332, "[$-en-US]mmmm"))</f>
        <v>JANUARY</v>
      </c>
      <c r="D332" s="41">
        <f>YEAR(B332)</f>
        <v>2024</v>
      </c>
      <c r="E332" s="10" t="str">
        <f>VLOOKUP(A332,Sheet2!A:B,2,0)</f>
        <v>EMEA</v>
      </c>
      <c r="F332" t="s">
        <v>13</v>
      </c>
      <c r="G332" t="s">
        <v>900</v>
      </c>
      <c r="H332" t="s">
        <v>1650</v>
      </c>
      <c r="I332" t="s">
        <v>593</v>
      </c>
      <c r="J332" s="15">
        <v>-5503.75</v>
      </c>
      <c r="K332" s="12">
        <v>-6436.36</v>
      </c>
      <c r="L332" s="12">
        <v>491.16899999999998</v>
      </c>
      <c r="M332" s="12">
        <v>-491.16899999999998</v>
      </c>
      <c r="N332" t="s">
        <v>901</v>
      </c>
      <c r="O332" t="s">
        <v>762</v>
      </c>
      <c r="P332" t="s">
        <v>902</v>
      </c>
      <c r="AH332"/>
      <c r="AT332"/>
    </row>
    <row r="333" spans="1:46">
      <c r="A333" t="s">
        <v>759</v>
      </c>
      <c r="B333" s="10">
        <v>45629</v>
      </c>
      <c r="C333" s="10" t="str">
        <f>UPPER(TEXT(B333, "[$-en-US]mmmm"))</f>
        <v>DECEMBER</v>
      </c>
      <c r="D333" s="41">
        <f>YEAR(B333)</f>
        <v>2024</v>
      </c>
      <c r="E333" s="10" t="str">
        <f>VLOOKUP(A333,Sheet2!A:B,2,0)</f>
        <v>EMEA</v>
      </c>
      <c r="F333" t="s">
        <v>13</v>
      </c>
      <c r="G333" t="s">
        <v>903</v>
      </c>
      <c r="H333" t="s">
        <v>14</v>
      </c>
      <c r="I333" t="s">
        <v>593</v>
      </c>
      <c r="J333" s="15">
        <v>-415.36</v>
      </c>
      <c r="K333" s="12">
        <v>-485.74299999999999</v>
      </c>
      <c r="L333" s="12">
        <v>485.74299999999999</v>
      </c>
      <c r="M333" s="12">
        <v>-485.74299999999999</v>
      </c>
      <c r="N333" t="s">
        <v>904</v>
      </c>
      <c r="O333" t="s">
        <v>762</v>
      </c>
      <c r="P333" t="s">
        <v>905</v>
      </c>
      <c r="AH333"/>
      <c r="AT333"/>
    </row>
    <row r="334" spans="1:46">
      <c r="A334" t="s">
        <v>759</v>
      </c>
      <c r="B334" s="10">
        <v>45747</v>
      </c>
      <c r="C334" s="10" t="str">
        <f>UPPER(TEXT(B334, "[$-en-US]mmmm"))</f>
        <v>MARCH</v>
      </c>
      <c r="D334" s="41">
        <f>YEAR(B334)</f>
        <v>2025</v>
      </c>
      <c r="E334" s="10" t="str">
        <f>VLOOKUP(A334,Sheet2!A:B,2,0)</f>
        <v>EMEA</v>
      </c>
      <c r="F334" t="s">
        <v>13</v>
      </c>
      <c r="G334" t="s">
        <v>906</v>
      </c>
      <c r="H334" t="s">
        <v>14</v>
      </c>
      <c r="I334" t="s">
        <v>593</v>
      </c>
      <c r="J334" s="15">
        <v>-378</v>
      </c>
      <c r="K334" s="12">
        <v>-442.05200000000002</v>
      </c>
      <c r="L334" s="12">
        <v>442.05200000000002</v>
      </c>
      <c r="M334" s="12">
        <v>-442.05200000000002</v>
      </c>
      <c r="N334" t="s">
        <v>907</v>
      </c>
      <c r="O334" t="s">
        <v>800</v>
      </c>
      <c r="P334" t="s">
        <v>908</v>
      </c>
      <c r="AH334"/>
      <c r="AT334"/>
    </row>
    <row r="335" spans="1:46">
      <c r="A335" t="s">
        <v>759</v>
      </c>
      <c r="B335" s="10">
        <v>45111</v>
      </c>
      <c r="C335" s="10" t="str">
        <f>UPPER(TEXT(B335, "[$-en-US]mmmm"))</f>
        <v>JULY</v>
      </c>
      <c r="D335" s="41">
        <f>YEAR(B335)</f>
        <v>2023</v>
      </c>
      <c r="E335" s="10" t="str">
        <f>VLOOKUP(A335,Sheet2!A:B,2,0)</f>
        <v>EMEA</v>
      </c>
      <c r="F335" t="s">
        <v>13</v>
      </c>
      <c r="G335" t="s">
        <v>909</v>
      </c>
      <c r="H335" t="s">
        <v>14</v>
      </c>
      <c r="I335" t="s">
        <v>593</v>
      </c>
      <c r="J335" s="15">
        <v>-372.47</v>
      </c>
      <c r="K335" s="12">
        <v>-435.58499999999998</v>
      </c>
      <c r="L335" s="12">
        <v>435.58499999999998</v>
      </c>
      <c r="M335" s="12">
        <v>-435.58499999999998</v>
      </c>
      <c r="N335" t="s">
        <v>910</v>
      </c>
      <c r="O335" t="s">
        <v>762</v>
      </c>
      <c r="P335" t="s">
        <v>911</v>
      </c>
      <c r="AH335"/>
      <c r="AT335"/>
    </row>
    <row r="336" spans="1:46">
      <c r="A336" t="s">
        <v>759</v>
      </c>
      <c r="B336" s="10">
        <v>45015</v>
      </c>
      <c r="C336" s="10" t="str">
        <f>UPPER(TEXT(B336, "[$-en-US]mmmm"))</f>
        <v>MARCH</v>
      </c>
      <c r="D336" s="41">
        <f>YEAR(B336)</f>
        <v>2023</v>
      </c>
      <c r="E336" s="10" t="str">
        <f>VLOOKUP(A336,Sheet2!A:B,2,0)</f>
        <v>EMEA</v>
      </c>
      <c r="F336" t="s">
        <v>13</v>
      </c>
      <c r="G336" t="s">
        <v>912</v>
      </c>
      <c r="H336" t="s">
        <v>14</v>
      </c>
      <c r="I336" t="s">
        <v>593</v>
      </c>
      <c r="J336" s="15">
        <v>-330</v>
      </c>
      <c r="K336" s="12">
        <v>-385.91899999999998</v>
      </c>
      <c r="L336" s="12">
        <v>385.91899999999998</v>
      </c>
      <c r="M336" s="12">
        <v>-32386.678</v>
      </c>
      <c r="N336" t="s">
        <v>780</v>
      </c>
      <c r="O336" t="s">
        <v>762</v>
      </c>
      <c r="P336" t="s">
        <v>913</v>
      </c>
      <c r="AH336"/>
      <c r="AT336"/>
    </row>
    <row r="337" spans="1:46">
      <c r="A337" t="s">
        <v>759</v>
      </c>
      <c r="B337" s="10">
        <v>45527</v>
      </c>
      <c r="C337" s="10" t="str">
        <f>UPPER(TEXT(B337, "[$-en-US]mmmm"))</f>
        <v>AUGUST</v>
      </c>
      <c r="D337" s="41">
        <f>YEAR(B337)</f>
        <v>2024</v>
      </c>
      <c r="E337" s="10" t="str">
        <f>VLOOKUP(A337,Sheet2!A:B,2,0)</f>
        <v>EMEA</v>
      </c>
      <c r="F337" t="s">
        <v>13</v>
      </c>
      <c r="G337" t="s">
        <v>914</v>
      </c>
      <c r="H337" t="s">
        <v>1651</v>
      </c>
      <c r="I337" t="s">
        <v>593</v>
      </c>
      <c r="J337" s="15">
        <v>-2320.5</v>
      </c>
      <c r="K337" s="12">
        <v>-2713.7089999999998</v>
      </c>
      <c r="L337" s="12">
        <v>358.29599999999999</v>
      </c>
      <c r="M337" s="12">
        <v>-358.29599999999999</v>
      </c>
      <c r="N337" t="s">
        <v>915</v>
      </c>
      <c r="O337" t="s">
        <v>762</v>
      </c>
      <c r="P337" t="s">
        <v>916</v>
      </c>
      <c r="AH337"/>
      <c r="AT337"/>
    </row>
    <row r="338" spans="1:46">
      <c r="A338" t="s">
        <v>759</v>
      </c>
      <c r="B338" s="10">
        <v>45314</v>
      </c>
      <c r="C338" s="10" t="str">
        <f>UPPER(TEXT(B338, "[$-en-US]mmmm"))</f>
        <v>JANUARY</v>
      </c>
      <c r="D338" s="41">
        <f>YEAR(B338)</f>
        <v>2024</v>
      </c>
      <c r="E338" s="10" t="str">
        <f>VLOOKUP(A338,Sheet2!A:B,2,0)</f>
        <v>EMEA</v>
      </c>
      <c r="F338" t="s">
        <v>13</v>
      </c>
      <c r="G338" t="s">
        <v>917</v>
      </c>
      <c r="H338" t="s">
        <v>1652</v>
      </c>
      <c r="I338" t="s">
        <v>593</v>
      </c>
      <c r="J338" s="15">
        <v>-7047.78</v>
      </c>
      <c r="K338" s="12">
        <v>-8242.0259999999998</v>
      </c>
      <c r="L338" s="12">
        <v>350.83499999999998</v>
      </c>
      <c r="M338" s="12">
        <v>-350.83499999999998</v>
      </c>
      <c r="N338" t="s">
        <v>918</v>
      </c>
      <c r="O338" t="s">
        <v>762</v>
      </c>
      <c r="P338" t="s">
        <v>919</v>
      </c>
      <c r="AH338"/>
      <c r="AT338"/>
    </row>
    <row r="339" spans="1:46">
      <c r="A339" t="s">
        <v>759</v>
      </c>
      <c r="B339" s="10">
        <v>46084</v>
      </c>
      <c r="C339" s="10" t="str">
        <f>UPPER(TEXT(B339, "[$-en-US]mmmm"))</f>
        <v>MARCH</v>
      </c>
      <c r="D339" s="41">
        <f>YEAR(B339)</f>
        <v>2026</v>
      </c>
      <c r="E339" s="10" t="str">
        <f>VLOOKUP(A339,Sheet2!A:B,2,0)</f>
        <v>EMEA</v>
      </c>
      <c r="F339" t="s">
        <v>13</v>
      </c>
      <c r="G339" t="s">
        <v>920</v>
      </c>
      <c r="H339" t="s">
        <v>1653</v>
      </c>
      <c r="I339" t="s">
        <v>593</v>
      </c>
      <c r="J339" s="15">
        <v>-1800</v>
      </c>
      <c r="K339" s="12">
        <v>-2105.0100000000002</v>
      </c>
      <c r="L339" s="12">
        <v>350.83499999999998</v>
      </c>
      <c r="M339" s="12">
        <v>3332.933</v>
      </c>
      <c r="N339" t="s">
        <v>921</v>
      </c>
      <c r="O339" t="s">
        <v>829</v>
      </c>
      <c r="P339" t="s">
        <v>922</v>
      </c>
      <c r="AH339"/>
      <c r="AT339"/>
    </row>
    <row r="340" spans="1:46">
      <c r="A340" t="s">
        <v>759</v>
      </c>
      <c r="B340" s="10">
        <v>45309</v>
      </c>
      <c r="C340" s="10" t="str">
        <f>UPPER(TEXT(B340, "[$-en-US]mmmm"))</f>
        <v>JANUARY</v>
      </c>
      <c r="D340" s="41">
        <f>YEAR(B340)</f>
        <v>2024</v>
      </c>
      <c r="E340" s="10" t="str">
        <f>VLOOKUP(A340,Sheet2!A:B,2,0)</f>
        <v>EMEA</v>
      </c>
      <c r="F340" t="s">
        <v>13</v>
      </c>
      <c r="G340" t="s">
        <v>923</v>
      </c>
      <c r="H340" t="s">
        <v>1654</v>
      </c>
      <c r="I340" t="s">
        <v>593</v>
      </c>
      <c r="J340" s="15">
        <v>-15827</v>
      </c>
      <c r="K340" s="12">
        <v>-18508.884999999998</v>
      </c>
      <c r="L340" s="12">
        <v>326.27699999999999</v>
      </c>
      <c r="M340" s="12">
        <v>-3979.346</v>
      </c>
      <c r="N340" t="s">
        <v>834</v>
      </c>
      <c r="O340" t="s">
        <v>762</v>
      </c>
      <c r="P340" t="s">
        <v>924</v>
      </c>
      <c r="AH340"/>
      <c r="AT340"/>
    </row>
    <row r="341" spans="1:46">
      <c r="A341" t="s">
        <v>759</v>
      </c>
      <c r="B341" s="10">
        <v>45321</v>
      </c>
      <c r="C341" s="10" t="str">
        <f>UPPER(TEXT(B341, "[$-en-US]mmmm"))</f>
        <v>JANUARY</v>
      </c>
      <c r="D341" s="41">
        <f>YEAR(B341)</f>
        <v>2024</v>
      </c>
      <c r="E341" s="10" t="str">
        <f>VLOOKUP(A341,Sheet2!A:B,2,0)</f>
        <v>EMEA</v>
      </c>
      <c r="F341" t="s">
        <v>13</v>
      </c>
      <c r="G341" t="s">
        <v>925</v>
      </c>
      <c r="H341" t="s">
        <v>1655</v>
      </c>
      <c r="I341" t="s">
        <v>593</v>
      </c>
      <c r="J341" s="15">
        <v>-3010.7</v>
      </c>
      <c r="K341" s="12">
        <v>-3520.8629999999998</v>
      </c>
      <c r="L341" s="12">
        <v>326.27699999999999</v>
      </c>
      <c r="M341" s="12">
        <v>-326.27699999999999</v>
      </c>
      <c r="N341" t="s">
        <v>926</v>
      </c>
      <c r="O341" t="s">
        <v>762</v>
      </c>
      <c r="P341" t="s">
        <v>927</v>
      </c>
      <c r="AH341"/>
      <c r="AT341"/>
    </row>
    <row r="342" spans="1:46">
      <c r="A342" t="s">
        <v>759</v>
      </c>
      <c r="B342" s="10">
        <v>46141</v>
      </c>
      <c r="C342" s="10" t="str">
        <f>UPPER(TEXT(B342, "[$-en-US]mmmm"))</f>
        <v>APRIL</v>
      </c>
      <c r="D342" s="41">
        <f>YEAR(B342)</f>
        <v>2026</v>
      </c>
      <c r="E342" s="10" t="str">
        <f>VLOOKUP(A342,Sheet2!A:B,2,0)</f>
        <v>EMEA</v>
      </c>
      <c r="F342" t="s">
        <v>13</v>
      </c>
      <c r="G342" t="s">
        <v>928</v>
      </c>
      <c r="H342" t="s">
        <v>1656</v>
      </c>
      <c r="I342" t="s">
        <v>593</v>
      </c>
      <c r="J342" s="15">
        <v>-5936.77</v>
      </c>
      <c r="K342" s="12">
        <v>-6942.7560000000003</v>
      </c>
      <c r="L342" s="12">
        <v>262.85700000000003</v>
      </c>
      <c r="M342" s="12">
        <v>-262.85700000000003</v>
      </c>
      <c r="N342" t="s">
        <v>929</v>
      </c>
      <c r="O342" t="s">
        <v>762</v>
      </c>
      <c r="P342" t="s">
        <v>930</v>
      </c>
      <c r="AH342"/>
      <c r="AT342"/>
    </row>
    <row r="343" spans="1:46">
      <c r="A343" t="s">
        <v>759</v>
      </c>
      <c r="B343" s="10">
        <v>45313</v>
      </c>
      <c r="C343" s="10" t="str">
        <f>UPPER(TEXT(B343, "[$-en-US]mmmm"))</f>
        <v>JANUARY</v>
      </c>
      <c r="D343" s="41">
        <f>YEAR(B343)</f>
        <v>2024</v>
      </c>
      <c r="E343" s="10" t="str">
        <f>VLOOKUP(A343,Sheet2!A:B,2,0)</f>
        <v>EMEA</v>
      </c>
      <c r="F343" t="s">
        <v>13</v>
      </c>
      <c r="G343" t="s">
        <v>931</v>
      </c>
      <c r="H343" t="s">
        <v>1657</v>
      </c>
      <c r="I343" t="s">
        <v>593</v>
      </c>
      <c r="J343" s="15">
        <v>-8925</v>
      </c>
      <c r="K343" s="12">
        <v>-10437.341</v>
      </c>
      <c r="L343" s="12">
        <v>259.61799999999999</v>
      </c>
      <c r="M343" s="12">
        <v>-259.61799999999999</v>
      </c>
      <c r="N343" t="s">
        <v>932</v>
      </c>
      <c r="O343" t="s">
        <v>762</v>
      </c>
      <c r="P343" t="s">
        <v>933</v>
      </c>
      <c r="AH343"/>
      <c r="AT343"/>
    </row>
    <row r="344" spans="1:46">
      <c r="A344" t="s">
        <v>759</v>
      </c>
      <c r="B344" s="10">
        <v>45174</v>
      </c>
      <c r="C344" s="10" t="str">
        <f>UPPER(TEXT(B344, "[$-en-US]mmmm"))</f>
        <v>SEPTEMBER</v>
      </c>
      <c r="D344" s="41">
        <f>YEAR(B344)</f>
        <v>2023</v>
      </c>
      <c r="E344" s="10" t="str">
        <f>VLOOKUP(A344,Sheet2!A:B,2,0)</f>
        <v>EMEA</v>
      </c>
      <c r="F344" t="s">
        <v>13</v>
      </c>
      <c r="G344" t="s">
        <v>934</v>
      </c>
      <c r="H344" t="s">
        <v>1658</v>
      </c>
      <c r="I344" t="s">
        <v>593</v>
      </c>
      <c r="J344" s="15">
        <v>-9163</v>
      </c>
      <c r="K344" s="12">
        <v>-10715.67</v>
      </c>
      <c r="L344" s="12">
        <v>245.58500000000001</v>
      </c>
      <c r="M344" s="12">
        <v>-245.58500000000001</v>
      </c>
      <c r="N344" t="s">
        <v>935</v>
      </c>
      <c r="O344" t="s">
        <v>762</v>
      </c>
      <c r="P344" t="s">
        <v>936</v>
      </c>
      <c r="AH344"/>
      <c r="AT344"/>
    </row>
    <row r="345" spans="1:46">
      <c r="A345" t="s">
        <v>759</v>
      </c>
      <c r="B345" s="10">
        <v>45603</v>
      </c>
      <c r="C345" s="10" t="str">
        <f>UPPER(TEXT(B345, "[$-en-US]mmmm"))</f>
        <v>NOVEMBER</v>
      </c>
      <c r="D345" s="41">
        <f>YEAR(B345)</f>
        <v>2024</v>
      </c>
      <c r="E345" s="10" t="str">
        <f>VLOOKUP(A345,Sheet2!A:B,2,0)</f>
        <v>EMEA</v>
      </c>
      <c r="F345" t="s">
        <v>13</v>
      </c>
      <c r="G345" t="s">
        <v>937</v>
      </c>
      <c r="H345" t="s">
        <v>1659</v>
      </c>
      <c r="I345" t="s">
        <v>593</v>
      </c>
      <c r="J345" s="15">
        <v>-7425</v>
      </c>
      <c r="K345" s="12">
        <v>-8683.1659999999993</v>
      </c>
      <c r="L345" s="12">
        <v>210.501</v>
      </c>
      <c r="M345" s="12">
        <v>-210.501</v>
      </c>
      <c r="N345" t="s">
        <v>938</v>
      </c>
      <c r="O345" t="s">
        <v>14</v>
      </c>
      <c r="P345" t="s">
        <v>939</v>
      </c>
      <c r="AH345"/>
      <c r="AT345"/>
    </row>
    <row r="346" spans="1:46">
      <c r="A346" t="s">
        <v>759</v>
      </c>
      <c r="B346" s="10">
        <v>45791</v>
      </c>
      <c r="C346" s="10" t="str">
        <f>UPPER(TEXT(B346, "[$-en-US]mmmm"))</f>
        <v>MAY</v>
      </c>
      <c r="D346" s="41">
        <f>YEAR(B346)</f>
        <v>2025</v>
      </c>
      <c r="E346" s="10" t="str">
        <f>VLOOKUP(A346,Sheet2!A:B,2,0)</f>
        <v>EMEA</v>
      </c>
      <c r="F346" t="s">
        <v>13</v>
      </c>
      <c r="G346" t="s">
        <v>940</v>
      </c>
      <c r="H346" t="s">
        <v>14</v>
      </c>
      <c r="I346" t="s">
        <v>593</v>
      </c>
      <c r="J346" s="15">
        <v>-160.55000000000001</v>
      </c>
      <c r="K346" s="12">
        <v>-187.755</v>
      </c>
      <c r="L346" s="12">
        <v>187.755</v>
      </c>
      <c r="M346" s="12">
        <v>-187.755</v>
      </c>
      <c r="N346" t="s">
        <v>941</v>
      </c>
      <c r="O346" t="s">
        <v>762</v>
      </c>
      <c r="P346" t="s">
        <v>942</v>
      </c>
      <c r="AH346"/>
      <c r="AT346"/>
    </row>
    <row r="347" spans="1:46">
      <c r="A347" t="s">
        <v>759</v>
      </c>
      <c r="B347" s="10">
        <v>45217</v>
      </c>
      <c r="C347" s="10" t="str">
        <f>UPPER(TEXT(B347, "[$-en-US]mmmm"))</f>
        <v>OCTOBER</v>
      </c>
      <c r="D347" s="41">
        <f>YEAR(B347)</f>
        <v>2023</v>
      </c>
      <c r="E347" s="10" t="str">
        <f>VLOOKUP(A347,Sheet2!A:B,2,0)</f>
        <v>EMEA</v>
      </c>
      <c r="F347" t="s">
        <v>13</v>
      </c>
      <c r="G347" t="s">
        <v>943</v>
      </c>
      <c r="H347" t="s">
        <v>1660</v>
      </c>
      <c r="I347" t="s">
        <v>593</v>
      </c>
      <c r="J347" s="15">
        <v>-9048.76</v>
      </c>
      <c r="K347" s="12">
        <v>-10582.072</v>
      </c>
      <c r="L347" s="12">
        <v>175.41800000000001</v>
      </c>
      <c r="M347" s="12">
        <v>-175.41800000000001</v>
      </c>
      <c r="N347" t="s">
        <v>944</v>
      </c>
      <c r="O347" t="s">
        <v>762</v>
      </c>
      <c r="P347" t="s">
        <v>945</v>
      </c>
      <c r="AH347"/>
      <c r="AT347"/>
    </row>
    <row r="348" spans="1:46">
      <c r="A348" t="s">
        <v>759</v>
      </c>
      <c r="B348" s="10">
        <v>45295</v>
      </c>
      <c r="C348" s="10" t="str">
        <f>UPPER(TEXT(B348, "[$-en-US]mmmm"))</f>
        <v>JANUARY</v>
      </c>
      <c r="D348" s="41">
        <f>YEAR(B348)</f>
        <v>2024</v>
      </c>
      <c r="E348" s="10" t="str">
        <f>VLOOKUP(A348,Sheet2!A:B,2,0)</f>
        <v>EMEA</v>
      </c>
      <c r="F348" t="s">
        <v>13</v>
      </c>
      <c r="G348" t="s">
        <v>946</v>
      </c>
      <c r="H348" t="s">
        <v>1661</v>
      </c>
      <c r="I348" t="s">
        <v>593</v>
      </c>
      <c r="J348" s="15">
        <v>-6188</v>
      </c>
      <c r="K348" s="12">
        <v>-7236.5569999999998</v>
      </c>
      <c r="L348" s="12">
        <v>175.41800000000001</v>
      </c>
      <c r="M348" s="12">
        <v>-175.41800000000001</v>
      </c>
      <c r="N348" t="s">
        <v>947</v>
      </c>
      <c r="O348" t="s">
        <v>762</v>
      </c>
      <c r="P348" t="s">
        <v>948</v>
      </c>
      <c r="AH348"/>
      <c r="AT348"/>
    </row>
    <row r="349" spans="1:46">
      <c r="A349" t="s">
        <v>759</v>
      </c>
      <c r="B349" s="10">
        <v>45176</v>
      </c>
      <c r="C349" s="10" t="str">
        <f>UPPER(TEXT(B349, "[$-en-US]mmmm"))</f>
        <v>SEPTEMBER</v>
      </c>
      <c r="D349" s="41">
        <f>YEAR(B349)</f>
        <v>2023</v>
      </c>
      <c r="E349" s="10" t="str">
        <f>VLOOKUP(A349,Sheet2!A:B,2,0)</f>
        <v>EMEA</v>
      </c>
      <c r="F349" t="s">
        <v>13</v>
      </c>
      <c r="G349" t="s">
        <v>949</v>
      </c>
      <c r="H349" t="s">
        <v>1662</v>
      </c>
      <c r="I349" t="s">
        <v>593</v>
      </c>
      <c r="J349" s="15">
        <v>-4879</v>
      </c>
      <c r="K349" s="12">
        <v>-5705.7470000000003</v>
      </c>
      <c r="L349" s="12">
        <v>134.19399999999999</v>
      </c>
      <c r="M349" s="12">
        <v>-134.19399999999999</v>
      </c>
      <c r="N349" t="s">
        <v>950</v>
      </c>
      <c r="O349" t="s">
        <v>762</v>
      </c>
      <c r="P349" t="s">
        <v>951</v>
      </c>
      <c r="AH349"/>
      <c r="AT349"/>
    </row>
    <row r="350" spans="1:46">
      <c r="A350" t="s">
        <v>759</v>
      </c>
      <c r="B350" s="10">
        <v>46146</v>
      </c>
      <c r="C350" s="10" t="str">
        <f>UPPER(TEXT(B350, "[$-en-US]mmmm"))</f>
        <v>MAY</v>
      </c>
      <c r="D350" s="41">
        <f>YEAR(B350)</f>
        <v>2026</v>
      </c>
      <c r="E350" s="10" t="str">
        <f>VLOOKUP(A350,Sheet2!A:B,2,0)</f>
        <v>EMEA</v>
      </c>
      <c r="F350" t="s">
        <v>13</v>
      </c>
      <c r="G350" t="s">
        <v>1760</v>
      </c>
      <c r="H350" t="s">
        <v>14</v>
      </c>
      <c r="I350" t="s">
        <v>593</v>
      </c>
      <c r="J350" s="15">
        <v>-80.25</v>
      </c>
      <c r="K350" s="12">
        <v>-93.847999999999999</v>
      </c>
      <c r="L350" s="12">
        <v>93.847999999999999</v>
      </c>
      <c r="M350" s="12">
        <v>-32386.678</v>
      </c>
      <c r="N350" t="s">
        <v>780</v>
      </c>
      <c r="O350" t="s">
        <v>762</v>
      </c>
      <c r="P350" t="s">
        <v>1761</v>
      </c>
      <c r="AH350"/>
      <c r="AT350"/>
    </row>
    <row r="351" spans="1:46">
      <c r="A351" t="s">
        <v>759</v>
      </c>
      <c r="B351" s="10">
        <v>45601</v>
      </c>
      <c r="C351" s="10" t="str">
        <f>UPPER(TEXT(B351, "[$-en-US]mmmm"))</f>
        <v>NOVEMBER</v>
      </c>
      <c r="D351" s="41">
        <f>YEAR(B351)</f>
        <v>2024</v>
      </c>
      <c r="E351" s="10" t="str">
        <f>VLOOKUP(A351,Sheet2!A:B,2,0)</f>
        <v>EMEA</v>
      </c>
      <c r="F351" t="s">
        <v>13</v>
      </c>
      <c r="G351" t="s">
        <v>952</v>
      </c>
      <c r="H351" t="s">
        <v>1663</v>
      </c>
      <c r="I351" t="s">
        <v>593</v>
      </c>
      <c r="J351" s="15">
        <v>-57200</v>
      </c>
      <c r="K351" s="12">
        <v>-66892.539999999994</v>
      </c>
      <c r="L351" s="12">
        <v>93.555999999999997</v>
      </c>
      <c r="M351" s="12">
        <v>-93.555999999999997</v>
      </c>
      <c r="N351" t="s">
        <v>953</v>
      </c>
      <c r="O351" t="s">
        <v>874</v>
      </c>
      <c r="P351" t="s">
        <v>954</v>
      </c>
      <c r="AH351"/>
      <c r="AT351"/>
    </row>
    <row r="352" spans="1:46">
      <c r="A352" t="s">
        <v>759</v>
      </c>
      <c r="B352" s="10">
        <v>45296</v>
      </c>
      <c r="C352" s="10" t="str">
        <f>UPPER(TEXT(B352, "[$-en-US]mmmm"))</f>
        <v>JANUARY</v>
      </c>
      <c r="D352" s="41">
        <f>YEAR(B352)</f>
        <v>2024</v>
      </c>
      <c r="E352" s="10" t="str">
        <f>VLOOKUP(A352,Sheet2!A:B,2,0)</f>
        <v>EMEA</v>
      </c>
      <c r="F352" t="s">
        <v>13</v>
      </c>
      <c r="G352" t="s">
        <v>955</v>
      </c>
      <c r="H352" t="s">
        <v>1664</v>
      </c>
      <c r="I352" t="s">
        <v>593</v>
      </c>
      <c r="J352" s="15">
        <v>-4105.5</v>
      </c>
      <c r="K352" s="12">
        <v>-4801.1769999999997</v>
      </c>
      <c r="L352" s="12">
        <v>87.709000000000003</v>
      </c>
      <c r="M352" s="12">
        <v>-87.709000000000003</v>
      </c>
      <c r="N352" t="s">
        <v>956</v>
      </c>
      <c r="O352" t="s">
        <v>762</v>
      </c>
      <c r="P352" t="s">
        <v>957</v>
      </c>
      <c r="AH352"/>
      <c r="AT352"/>
    </row>
    <row r="353" spans="1:46">
      <c r="A353" t="s">
        <v>759</v>
      </c>
      <c r="B353" s="10">
        <v>45316</v>
      </c>
      <c r="C353" s="10" t="str">
        <f>UPPER(TEXT(B353, "[$-en-US]mmmm"))</f>
        <v>JANUARY</v>
      </c>
      <c r="D353" s="41">
        <f>YEAR(B353)</f>
        <v>2024</v>
      </c>
      <c r="E353" s="10" t="str">
        <f>VLOOKUP(A353,Sheet2!A:B,2,0)</f>
        <v>EMEA</v>
      </c>
      <c r="F353" t="s">
        <v>13</v>
      </c>
      <c r="G353" t="s">
        <v>958</v>
      </c>
      <c r="H353" t="s">
        <v>1665</v>
      </c>
      <c r="I353" t="s">
        <v>593</v>
      </c>
      <c r="J353" s="15">
        <v>-4373.25</v>
      </c>
      <c r="K353" s="12">
        <v>-5114.2969999999996</v>
      </c>
      <c r="L353" s="12">
        <v>84.411000000000001</v>
      </c>
      <c r="M353" s="12">
        <v>-84.411000000000001</v>
      </c>
      <c r="N353" t="s">
        <v>959</v>
      </c>
      <c r="O353" t="s">
        <v>762</v>
      </c>
      <c r="P353" t="s">
        <v>960</v>
      </c>
      <c r="AH353"/>
      <c r="AT353"/>
    </row>
    <row r="354" spans="1:46">
      <c r="A354" t="s">
        <v>759</v>
      </c>
      <c r="B354" s="10">
        <v>45313</v>
      </c>
      <c r="C354" s="10" t="str">
        <f>UPPER(TEXT(B354, "[$-en-US]mmmm"))</f>
        <v>JANUARY</v>
      </c>
      <c r="D354" s="41">
        <f>YEAR(B354)</f>
        <v>2024</v>
      </c>
      <c r="E354" s="10" t="str">
        <f>VLOOKUP(A354,Sheet2!A:B,2,0)</f>
        <v>EMEA</v>
      </c>
      <c r="F354" t="s">
        <v>13</v>
      </c>
      <c r="G354" t="s">
        <v>961</v>
      </c>
      <c r="H354" t="s">
        <v>1666</v>
      </c>
      <c r="I354" t="s">
        <v>593</v>
      </c>
      <c r="J354" s="15">
        <v>-2018.54</v>
      </c>
      <c r="K354" s="12">
        <v>-2360.5819999999999</v>
      </c>
      <c r="L354" s="12">
        <v>84.2</v>
      </c>
      <c r="M354" s="12">
        <v>-84.2</v>
      </c>
      <c r="N354" t="s">
        <v>962</v>
      </c>
      <c r="O354" t="s">
        <v>762</v>
      </c>
      <c r="P354" t="s">
        <v>963</v>
      </c>
      <c r="AH354"/>
      <c r="AT354"/>
    </row>
    <row r="355" spans="1:46">
      <c r="A355" t="s">
        <v>759</v>
      </c>
      <c r="B355" s="10">
        <v>45212</v>
      </c>
      <c r="C355" s="10" t="str">
        <f>UPPER(TEXT(B355, "[$-en-US]mmmm"))</f>
        <v>OCTOBER</v>
      </c>
      <c r="D355" s="41">
        <f>YEAR(B355)</f>
        <v>2023</v>
      </c>
      <c r="E355" s="10" t="str">
        <f>VLOOKUP(A355,Sheet2!A:B,2,0)</f>
        <v>EMEA</v>
      </c>
      <c r="F355" t="s">
        <v>13</v>
      </c>
      <c r="G355" t="s">
        <v>964</v>
      </c>
      <c r="H355" t="s">
        <v>14</v>
      </c>
      <c r="I355" t="s">
        <v>593</v>
      </c>
      <c r="J355" s="15">
        <v>-68.41</v>
      </c>
      <c r="K355" s="12">
        <v>-80.001999999999995</v>
      </c>
      <c r="L355" s="12">
        <v>80.001999999999995</v>
      </c>
      <c r="M355" s="12">
        <v>-80.001999999999995</v>
      </c>
      <c r="N355" t="s">
        <v>965</v>
      </c>
      <c r="O355" t="s">
        <v>14</v>
      </c>
      <c r="P355" t="s">
        <v>966</v>
      </c>
      <c r="AH355"/>
      <c r="AT355"/>
    </row>
    <row r="356" spans="1:46">
      <c r="A356" t="s">
        <v>967</v>
      </c>
      <c r="B356" s="10">
        <v>45336</v>
      </c>
      <c r="C356" s="10" t="str">
        <f>UPPER(TEXT(B356, "[$-en-US]mmmm"))</f>
        <v>FEBRUARY</v>
      </c>
      <c r="D356" s="41">
        <f>YEAR(B356)</f>
        <v>2024</v>
      </c>
      <c r="E356" s="10" t="str">
        <f>VLOOKUP(A356,Sheet2!A:B,2,0)</f>
        <v>EMEA</v>
      </c>
      <c r="F356" t="s">
        <v>13</v>
      </c>
      <c r="G356" t="s">
        <v>968</v>
      </c>
      <c r="H356" t="s">
        <v>14</v>
      </c>
      <c r="I356" t="s">
        <v>563</v>
      </c>
      <c r="J356" s="14">
        <v>-20447.810000000001</v>
      </c>
      <c r="K356" s="12">
        <v>-27610.269</v>
      </c>
      <c r="L356" s="12">
        <v>27610.269</v>
      </c>
      <c r="M356" s="12">
        <v>-58417.703999999998</v>
      </c>
      <c r="N356" t="s">
        <v>969</v>
      </c>
      <c r="O356" t="s">
        <v>874</v>
      </c>
      <c r="P356" t="s">
        <v>970</v>
      </c>
      <c r="AH356"/>
      <c r="AT356"/>
    </row>
    <row r="357" spans="1:46">
      <c r="A357" t="s">
        <v>967</v>
      </c>
      <c r="B357" s="10">
        <v>45184</v>
      </c>
      <c r="C357" s="10" t="str">
        <f>UPPER(TEXT(B357, "[$-en-US]mmmm"))</f>
        <v>SEPTEMBER</v>
      </c>
      <c r="D357" s="41">
        <f>YEAR(B357)</f>
        <v>2023</v>
      </c>
      <c r="E357" s="10" t="str">
        <f>VLOOKUP(A357,Sheet2!A:B,2,0)</f>
        <v>EMEA</v>
      </c>
      <c r="F357" t="s">
        <v>13</v>
      </c>
      <c r="G357" t="s">
        <v>971</v>
      </c>
      <c r="H357" t="s">
        <v>14</v>
      </c>
      <c r="I357" t="s">
        <v>563</v>
      </c>
      <c r="J357" s="14">
        <v>-10618.95</v>
      </c>
      <c r="K357" s="12">
        <v>-14338.556</v>
      </c>
      <c r="L357" s="12">
        <v>14338.556</v>
      </c>
      <c r="M357" s="12">
        <v>-58417.703999999998</v>
      </c>
      <c r="N357" t="s">
        <v>969</v>
      </c>
      <c r="O357" t="s">
        <v>874</v>
      </c>
      <c r="P357" t="s">
        <v>972</v>
      </c>
      <c r="AH357"/>
      <c r="AT357"/>
    </row>
    <row r="358" spans="1:46">
      <c r="A358" t="s">
        <v>967</v>
      </c>
      <c r="B358" s="10">
        <v>44846</v>
      </c>
      <c r="C358" s="10" t="str">
        <f>UPPER(TEXT(B358, "[$-en-US]mmmm"))</f>
        <v>OCTOBER</v>
      </c>
      <c r="D358" s="41">
        <f>YEAR(B358)</f>
        <v>2022</v>
      </c>
      <c r="E358" s="10" t="str">
        <f>VLOOKUP(A358,Sheet2!A:B,2,0)</f>
        <v>EMEA</v>
      </c>
      <c r="F358" t="s">
        <v>13</v>
      </c>
      <c r="G358" t="s">
        <v>973</v>
      </c>
      <c r="H358" t="s">
        <v>1667</v>
      </c>
      <c r="I358" t="s">
        <v>15</v>
      </c>
      <c r="J358" s="11">
        <v>-55212.34</v>
      </c>
      <c r="K358" s="12">
        <v>-65286.038</v>
      </c>
      <c r="L358" s="12">
        <v>8114.4</v>
      </c>
      <c r="M358" s="12">
        <v>-8114.4</v>
      </c>
      <c r="N358" t="s">
        <v>974</v>
      </c>
      <c r="O358" t="s">
        <v>975</v>
      </c>
      <c r="P358" t="s">
        <v>14</v>
      </c>
      <c r="AH358"/>
      <c r="AT358"/>
    </row>
    <row r="359" spans="1:46">
      <c r="A359" t="s">
        <v>967</v>
      </c>
      <c r="B359" s="10">
        <v>45904</v>
      </c>
      <c r="C359" s="10" t="str">
        <f>UPPER(TEXT(B359, "[$-en-US]mmmm"))</f>
        <v>SEPTEMBER</v>
      </c>
      <c r="D359" s="41">
        <f>YEAR(B359)</f>
        <v>2025</v>
      </c>
      <c r="E359" s="10" t="str">
        <f>VLOOKUP(A359,Sheet2!A:B,2,0)</f>
        <v>EMEA</v>
      </c>
      <c r="F359" t="s">
        <v>13</v>
      </c>
      <c r="G359" t="s">
        <v>976</v>
      </c>
      <c r="H359" t="s">
        <v>1668</v>
      </c>
      <c r="I359" t="s">
        <v>593</v>
      </c>
      <c r="J359" s="15">
        <v>-60079.32</v>
      </c>
      <c r="K359" s="12">
        <v>-68872.097999999998</v>
      </c>
      <c r="L359" s="12">
        <v>8047.25</v>
      </c>
      <c r="M359" s="12">
        <v>-8047.25</v>
      </c>
      <c r="N359" t="s">
        <v>977</v>
      </c>
      <c r="O359" t="s">
        <v>754</v>
      </c>
      <c r="P359" t="s">
        <v>978</v>
      </c>
      <c r="AH359"/>
      <c r="AT359"/>
    </row>
    <row r="360" spans="1:46">
      <c r="A360" t="s">
        <v>967</v>
      </c>
      <c r="B360" s="10">
        <v>44914</v>
      </c>
      <c r="C360" s="10" t="str">
        <f>UPPER(TEXT(B360, "[$-en-US]mmmm"))</f>
        <v>DECEMBER</v>
      </c>
      <c r="D360" s="41">
        <f>YEAR(B360)</f>
        <v>2022</v>
      </c>
      <c r="E360" s="10" t="str">
        <f>VLOOKUP(A360,Sheet2!A:B,2,0)</f>
        <v>EMEA</v>
      </c>
      <c r="F360" t="s">
        <v>13</v>
      </c>
      <c r="G360" t="s">
        <v>979</v>
      </c>
      <c r="H360" t="s">
        <v>1669</v>
      </c>
      <c r="I360" t="s">
        <v>563</v>
      </c>
      <c r="J360" s="14">
        <v>-6711.25</v>
      </c>
      <c r="K360" s="12">
        <v>-9062.0669999999991</v>
      </c>
      <c r="L360" s="12">
        <v>7431.6850000000004</v>
      </c>
      <c r="M360" s="12">
        <v>-9062.0669999999991</v>
      </c>
      <c r="N360" t="s">
        <v>980</v>
      </c>
      <c r="O360" t="s">
        <v>874</v>
      </c>
      <c r="P360" t="s">
        <v>14</v>
      </c>
      <c r="AH360"/>
      <c r="AT360"/>
    </row>
    <row r="361" spans="1:46">
      <c r="A361" t="s">
        <v>967</v>
      </c>
      <c r="B361" s="10">
        <v>45541</v>
      </c>
      <c r="C361" s="10" t="str">
        <f>UPPER(TEXT(B361, "[$-en-US]mmmm"))</f>
        <v>SEPTEMBER</v>
      </c>
      <c r="D361" s="41">
        <f>YEAR(B361)</f>
        <v>2024</v>
      </c>
      <c r="E361" s="10" t="str">
        <f>VLOOKUP(A361,Sheet2!A:B,2,0)</f>
        <v>EMEA</v>
      </c>
      <c r="F361" t="s">
        <v>13</v>
      </c>
      <c r="G361" t="s">
        <v>981</v>
      </c>
      <c r="H361" t="s">
        <v>14</v>
      </c>
      <c r="I361" t="s">
        <v>563</v>
      </c>
      <c r="J361" s="14">
        <v>-5384.29</v>
      </c>
      <c r="K361" s="12">
        <v>-7270.299</v>
      </c>
      <c r="L361" s="12">
        <v>7270.299</v>
      </c>
      <c r="M361" s="12">
        <v>-58417.703999999998</v>
      </c>
      <c r="N361" t="s">
        <v>969</v>
      </c>
      <c r="O361" t="s">
        <v>874</v>
      </c>
      <c r="P361" t="s">
        <v>982</v>
      </c>
      <c r="AH361"/>
      <c r="AT361"/>
    </row>
    <row r="362" spans="1:46">
      <c r="A362" t="s">
        <v>967</v>
      </c>
      <c r="B362" s="10">
        <v>46142</v>
      </c>
      <c r="C362" s="10" t="str">
        <f>UPPER(TEXT(B362, "[$-en-US]mmmm"))</f>
        <v>APRIL</v>
      </c>
      <c r="D362" s="41">
        <f>YEAR(B362)</f>
        <v>2026</v>
      </c>
      <c r="E362" s="10" t="str">
        <f>VLOOKUP(A362,Sheet2!A:B,2,0)</f>
        <v>EMEA</v>
      </c>
      <c r="F362" t="s">
        <v>13</v>
      </c>
      <c r="G362" t="s">
        <v>1762</v>
      </c>
      <c r="H362" t="s">
        <v>14</v>
      </c>
      <c r="I362" t="s">
        <v>15</v>
      </c>
      <c r="J362" s="11">
        <v>-7290</v>
      </c>
      <c r="K362" s="12">
        <v>-7152.393</v>
      </c>
      <c r="L362" s="12">
        <v>7152.393</v>
      </c>
      <c r="M362" s="12">
        <v>-7152.393</v>
      </c>
      <c r="N362" t="s">
        <v>1763</v>
      </c>
      <c r="O362" t="s">
        <v>754</v>
      </c>
      <c r="P362" t="s">
        <v>983</v>
      </c>
      <c r="AH362"/>
      <c r="AT362"/>
    </row>
    <row r="363" spans="1:46">
      <c r="A363" t="s">
        <v>967</v>
      </c>
      <c r="B363" s="10">
        <v>46001</v>
      </c>
      <c r="C363" s="10" t="str">
        <f>UPPER(TEXT(B363, "[$-en-US]mmmm"))</f>
        <v>DECEMBER</v>
      </c>
      <c r="D363" s="41">
        <f>YEAR(B363)</f>
        <v>2025</v>
      </c>
      <c r="E363" s="10" t="str">
        <f>VLOOKUP(A363,Sheet2!A:B,2,0)</f>
        <v>EMEA</v>
      </c>
      <c r="F363" t="s">
        <v>484</v>
      </c>
      <c r="G363" t="s">
        <v>984</v>
      </c>
      <c r="H363" t="s">
        <v>14</v>
      </c>
      <c r="I363" t="s">
        <v>15</v>
      </c>
      <c r="J363" s="11">
        <v>-6942</v>
      </c>
      <c r="K363" s="12">
        <v>-6714.875</v>
      </c>
      <c r="L363" s="12">
        <v>6714.875</v>
      </c>
      <c r="M363" s="12">
        <v>-6714.875</v>
      </c>
      <c r="N363" t="s">
        <v>985</v>
      </c>
      <c r="O363" t="s">
        <v>790</v>
      </c>
      <c r="P363" t="s">
        <v>986</v>
      </c>
      <c r="AH363"/>
      <c r="AT363"/>
    </row>
    <row r="364" spans="1:46">
      <c r="A364" t="s">
        <v>967</v>
      </c>
      <c r="B364" s="10">
        <v>44923</v>
      </c>
      <c r="C364" s="10" t="str">
        <f>UPPER(TEXT(B364, "[$-en-US]mmmm"))</f>
        <v>DECEMBER</v>
      </c>
      <c r="D364" s="41">
        <f>YEAR(B364)</f>
        <v>2022</v>
      </c>
      <c r="E364" s="10" t="str">
        <f>VLOOKUP(A364,Sheet2!A:B,2,0)</f>
        <v>EMEA</v>
      </c>
      <c r="F364" t="s">
        <v>13</v>
      </c>
      <c r="G364" t="s">
        <v>987</v>
      </c>
      <c r="H364" t="s">
        <v>1670</v>
      </c>
      <c r="I364" t="s">
        <v>563</v>
      </c>
      <c r="J364" s="14">
        <v>-13661.38</v>
      </c>
      <c r="K364" s="12">
        <v>-18446.687999999998</v>
      </c>
      <c r="L364" s="12">
        <v>6293.4930000000004</v>
      </c>
      <c r="M364" s="12">
        <v>-6293.4930000000004</v>
      </c>
      <c r="N364" t="s">
        <v>988</v>
      </c>
      <c r="O364" t="s">
        <v>874</v>
      </c>
      <c r="P364" t="s">
        <v>989</v>
      </c>
      <c r="AH364"/>
      <c r="AT364"/>
    </row>
    <row r="365" spans="1:46">
      <c r="A365" t="s">
        <v>967</v>
      </c>
      <c r="B365" s="10">
        <v>45476</v>
      </c>
      <c r="C365" s="10" t="str">
        <f>UPPER(TEXT(B365, "[$-en-US]mmmm"))</f>
        <v>JULY</v>
      </c>
      <c r="D365" s="41">
        <f>YEAR(B365)</f>
        <v>2024</v>
      </c>
      <c r="E365" s="10" t="str">
        <f>VLOOKUP(A365,Sheet2!A:B,2,0)</f>
        <v>EMEA</v>
      </c>
      <c r="F365" t="s">
        <v>13</v>
      </c>
      <c r="G365" t="s">
        <v>990</v>
      </c>
      <c r="H365" t="s">
        <v>14</v>
      </c>
      <c r="I365" t="s">
        <v>563</v>
      </c>
      <c r="J365" s="14">
        <v>-4119.6000000000004</v>
      </c>
      <c r="K365" s="12">
        <v>-5562.6130000000003</v>
      </c>
      <c r="L365" s="12">
        <v>5562.6130000000003</v>
      </c>
      <c r="M365" s="12">
        <v>-5562.6130000000003</v>
      </c>
      <c r="N365" t="s">
        <v>991</v>
      </c>
      <c r="O365" t="s">
        <v>874</v>
      </c>
      <c r="P365" t="s">
        <v>992</v>
      </c>
      <c r="AH365"/>
      <c r="AT365"/>
    </row>
    <row r="366" spans="1:46">
      <c r="A366" t="s">
        <v>967</v>
      </c>
      <c r="B366" s="10">
        <v>45474</v>
      </c>
      <c r="C366" s="10" t="str">
        <f>UPPER(TEXT(B366, "[$-en-US]mmmm"))</f>
        <v>JULY</v>
      </c>
      <c r="D366" s="41">
        <f>YEAR(B366)</f>
        <v>2024</v>
      </c>
      <c r="E366" s="10" t="str">
        <f>VLOOKUP(A366,Sheet2!A:B,2,0)</f>
        <v>EMEA</v>
      </c>
      <c r="F366" t="s">
        <v>13</v>
      </c>
      <c r="G366" t="s">
        <v>993</v>
      </c>
      <c r="H366" t="s">
        <v>14</v>
      </c>
      <c r="I366" t="s">
        <v>563</v>
      </c>
      <c r="J366" s="14">
        <v>-2475</v>
      </c>
      <c r="K366" s="12">
        <v>-3341.9430000000002</v>
      </c>
      <c r="L366" s="12">
        <v>3341.9430000000002</v>
      </c>
      <c r="M366" s="12">
        <v>-3341.9430000000002</v>
      </c>
      <c r="N366" t="s">
        <v>994</v>
      </c>
      <c r="O366" t="s">
        <v>874</v>
      </c>
      <c r="P366" t="s">
        <v>995</v>
      </c>
      <c r="AH366"/>
      <c r="AT366"/>
    </row>
    <row r="367" spans="1:46">
      <c r="A367" t="s">
        <v>967</v>
      </c>
      <c r="B367" s="10">
        <v>45050</v>
      </c>
      <c r="C367" s="10" t="str">
        <f>UPPER(TEXT(B367, "[$-en-US]mmmm"))</f>
        <v>MAY</v>
      </c>
      <c r="D367" s="41">
        <f>YEAR(B367)</f>
        <v>2023</v>
      </c>
      <c r="E367" s="10" t="str">
        <f>VLOOKUP(A367,Sheet2!A:B,2,0)</f>
        <v>EMEA</v>
      </c>
      <c r="F367" t="s">
        <v>13</v>
      </c>
      <c r="G367" t="s">
        <v>996</v>
      </c>
      <c r="H367" t="s">
        <v>14</v>
      </c>
      <c r="I367" t="s">
        <v>563</v>
      </c>
      <c r="J367" s="14">
        <v>-2173.44</v>
      </c>
      <c r="K367" s="12">
        <v>-2934.7530000000002</v>
      </c>
      <c r="L367" s="12">
        <v>2934.7530000000002</v>
      </c>
      <c r="M367" s="12">
        <v>-58417.703999999998</v>
      </c>
      <c r="N367" t="s">
        <v>969</v>
      </c>
      <c r="O367" t="s">
        <v>874</v>
      </c>
      <c r="P367" t="s">
        <v>997</v>
      </c>
      <c r="AH367"/>
      <c r="AT367"/>
    </row>
    <row r="368" spans="1:46">
      <c r="A368" t="s">
        <v>967</v>
      </c>
      <c r="B368" s="10">
        <v>44974</v>
      </c>
      <c r="C368" s="10" t="str">
        <f>UPPER(TEXT(B368, "[$-en-US]mmmm"))</f>
        <v>FEBRUARY</v>
      </c>
      <c r="D368" s="41">
        <f>YEAR(B368)</f>
        <v>2023</v>
      </c>
      <c r="E368" s="10" t="str">
        <f>VLOOKUP(A368,Sheet2!A:B,2,0)</f>
        <v>EMEA</v>
      </c>
      <c r="F368" t="s">
        <v>13</v>
      </c>
      <c r="G368" t="s">
        <v>998</v>
      </c>
      <c r="H368" t="s">
        <v>1671</v>
      </c>
      <c r="I368" t="s">
        <v>563</v>
      </c>
      <c r="J368" s="14">
        <v>-12022.56</v>
      </c>
      <c r="K368" s="12">
        <v>-16233.822</v>
      </c>
      <c r="L368" s="12">
        <v>2817.44</v>
      </c>
      <c r="M368" s="12">
        <v>-2817.44</v>
      </c>
      <c r="N368" t="s">
        <v>999</v>
      </c>
      <c r="O368" t="s">
        <v>874</v>
      </c>
      <c r="P368" t="s">
        <v>1000</v>
      </c>
      <c r="AH368"/>
      <c r="AT368"/>
    </row>
    <row r="369" spans="1:46">
      <c r="A369" t="s">
        <v>967</v>
      </c>
      <c r="B369" s="10">
        <v>45089</v>
      </c>
      <c r="C369" s="10" t="str">
        <f>UPPER(TEXT(B369, "[$-en-US]mmmm"))</f>
        <v>JUNE</v>
      </c>
      <c r="D369" s="41">
        <f>YEAR(B369)</f>
        <v>2023</v>
      </c>
      <c r="E369" s="10" t="str">
        <f>VLOOKUP(A369,Sheet2!A:B,2,0)</f>
        <v>EMEA</v>
      </c>
      <c r="F369" t="s">
        <v>13</v>
      </c>
      <c r="G369" t="s">
        <v>1001</v>
      </c>
      <c r="H369" t="s">
        <v>14</v>
      </c>
      <c r="I369" t="s">
        <v>563</v>
      </c>
      <c r="J369" s="14">
        <v>-2030.14</v>
      </c>
      <c r="K369" s="12">
        <v>-2741.2570000000001</v>
      </c>
      <c r="L369" s="12">
        <v>2741.2570000000001</v>
      </c>
      <c r="M369" s="12">
        <v>-58417.703999999998</v>
      </c>
      <c r="N369" t="s">
        <v>969</v>
      </c>
      <c r="O369" t="s">
        <v>874</v>
      </c>
      <c r="P369" t="s">
        <v>1002</v>
      </c>
      <c r="AH369"/>
      <c r="AT369"/>
    </row>
    <row r="370" spans="1:46">
      <c r="A370" t="s">
        <v>967</v>
      </c>
      <c r="B370" s="10">
        <v>45624</v>
      </c>
      <c r="C370" s="10" t="str">
        <f>UPPER(TEXT(B370, "[$-en-US]mmmm"))</f>
        <v>NOVEMBER</v>
      </c>
      <c r="D370" s="41">
        <f>YEAR(B370)</f>
        <v>2024</v>
      </c>
      <c r="E370" s="10" t="str">
        <f>VLOOKUP(A370,Sheet2!A:B,2,0)</f>
        <v>EMEA</v>
      </c>
      <c r="F370" t="s">
        <v>13</v>
      </c>
      <c r="G370" t="s">
        <v>1003</v>
      </c>
      <c r="H370" t="s">
        <v>1672</v>
      </c>
      <c r="I370" t="s">
        <v>15</v>
      </c>
      <c r="J370" s="11">
        <v>-9232.89</v>
      </c>
      <c r="K370" s="12">
        <v>-9821.9369999999999</v>
      </c>
      <c r="L370" s="12">
        <v>2083.86</v>
      </c>
      <c r="M370" s="12">
        <v>-2083.86</v>
      </c>
      <c r="N370" t="s">
        <v>1004</v>
      </c>
      <c r="O370" t="s">
        <v>754</v>
      </c>
      <c r="P370" t="s">
        <v>1005</v>
      </c>
      <c r="AH370"/>
      <c r="AT370"/>
    </row>
    <row r="371" spans="1:46">
      <c r="A371" t="s">
        <v>967</v>
      </c>
      <c r="B371" s="10">
        <v>45282</v>
      </c>
      <c r="C371" s="10" t="str">
        <f>UPPER(TEXT(B371, "[$-en-US]mmmm"))</f>
        <v>DECEMBER</v>
      </c>
      <c r="D371" s="41">
        <f>YEAR(B371)</f>
        <v>2023</v>
      </c>
      <c r="E371" s="10" t="str">
        <f>VLOOKUP(A371,Sheet2!A:B,2,0)</f>
        <v>EMEA</v>
      </c>
      <c r="F371" t="s">
        <v>13</v>
      </c>
      <c r="G371" t="s">
        <v>1006</v>
      </c>
      <c r="H371" t="s">
        <v>1673</v>
      </c>
      <c r="I371" t="s">
        <v>15</v>
      </c>
      <c r="J371" s="11">
        <v>-4800</v>
      </c>
      <c r="K371" s="12">
        <v>-4998.2640000000001</v>
      </c>
      <c r="L371" s="12">
        <v>1832.6949999999999</v>
      </c>
      <c r="M371" s="12">
        <v>-1832.6949999999999</v>
      </c>
      <c r="N371" t="s">
        <v>1007</v>
      </c>
      <c r="O371" t="s">
        <v>790</v>
      </c>
      <c r="P371" t="s">
        <v>1008</v>
      </c>
      <c r="AH371"/>
      <c r="AT371"/>
    </row>
    <row r="372" spans="1:46">
      <c r="A372" t="s">
        <v>967</v>
      </c>
      <c r="B372" s="10">
        <v>44924</v>
      </c>
      <c r="C372" s="10" t="str">
        <f>UPPER(TEXT(B372, "[$-en-US]mmmm"))</f>
        <v>DECEMBER</v>
      </c>
      <c r="D372" s="41">
        <f>YEAR(B372)</f>
        <v>2022</v>
      </c>
      <c r="E372" s="10" t="str">
        <f>VLOOKUP(A372,Sheet2!A:B,2,0)</f>
        <v>EMEA</v>
      </c>
      <c r="F372" t="s">
        <v>13</v>
      </c>
      <c r="G372" t="s">
        <v>1009</v>
      </c>
      <c r="H372" t="s">
        <v>14</v>
      </c>
      <c r="I372" t="s">
        <v>563</v>
      </c>
      <c r="J372" s="14">
        <v>-1207.44</v>
      </c>
      <c r="K372" s="12">
        <v>-1630.3820000000001</v>
      </c>
      <c r="L372" s="12">
        <v>1630.3820000000001</v>
      </c>
      <c r="M372" s="12">
        <v>-9062.0669999999991</v>
      </c>
      <c r="N372" t="s">
        <v>980</v>
      </c>
      <c r="O372" t="s">
        <v>874</v>
      </c>
      <c r="P372" t="s">
        <v>1010</v>
      </c>
      <c r="AH372"/>
      <c r="AT372"/>
    </row>
    <row r="373" spans="1:46">
      <c r="A373" t="s">
        <v>967</v>
      </c>
      <c r="B373" s="10">
        <v>45310</v>
      </c>
      <c r="C373" s="10" t="str">
        <f>UPPER(TEXT(B373, "[$-en-US]mmmm"))</f>
        <v>JANUARY</v>
      </c>
      <c r="D373" s="41">
        <f>YEAR(B373)</f>
        <v>2024</v>
      </c>
      <c r="E373" s="10" t="str">
        <f>VLOOKUP(A373,Sheet2!A:B,2,0)</f>
        <v>EMEA</v>
      </c>
      <c r="F373" t="s">
        <v>13</v>
      </c>
      <c r="G373" t="s">
        <v>1011</v>
      </c>
      <c r="H373" t="s">
        <v>1674</v>
      </c>
      <c r="I373" t="s">
        <v>563</v>
      </c>
      <c r="J373" s="14">
        <v>-4761.2</v>
      </c>
      <c r="K373" s="12">
        <v>-6428.9530000000004</v>
      </c>
      <c r="L373" s="12">
        <v>1606.8330000000001</v>
      </c>
      <c r="M373" s="12">
        <v>-1606.8330000000001</v>
      </c>
      <c r="N373" t="s">
        <v>1012</v>
      </c>
      <c r="O373" t="s">
        <v>874</v>
      </c>
      <c r="P373" t="s">
        <v>1013</v>
      </c>
      <c r="AH373"/>
      <c r="AT373"/>
    </row>
    <row r="374" spans="1:46">
      <c r="A374" t="s">
        <v>967</v>
      </c>
      <c r="B374" s="10">
        <v>45180</v>
      </c>
      <c r="C374" s="10" t="str">
        <f>UPPER(TEXT(B374, "[$-en-US]mmmm"))</f>
        <v>SEPTEMBER</v>
      </c>
      <c r="D374" s="41">
        <f>YEAR(B374)</f>
        <v>2023</v>
      </c>
      <c r="E374" s="10" t="str">
        <f>VLOOKUP(A374,Sheet2!A:B,2,0)</f>
        <v>EMEA</v>
      </c>
      <c r="F374" t="s">
        <v>13</v>
      </c>
      <c r="G374" t="s">
        <v>1014</v>
      </c>
      <c r="H374" t="s">
        <v>14</v>
      </c>
      <c r="I374" t="s">
        <v>563</v>
      </c>
      <c r="J374" s="14">
        <v>-1038</v>
      </c>
      <c r="K374" s="12">
        <v>-1401.5909999999999</v>
      </c>
      <c r="L374" s="12">
        <v>1401.5909999999999</v>
      </c>
      <c r="M374" s="12">
        <v>-58417.703999999998</v>
      </c>
      <c r="N374" t="s">
        <v>969</v>
      </c>
      <c r="O374" t="s">
        <v>874</v>
      </c>
      <c r="P374" t="s">
        <v>1015</v>
      </c>
      <c r="AH374"/>
      <c r="AT374"/>
    </row>
    <row r="375" spans="1:46">
      <c r="A375" t="s">
        <v>967</v>
      </c>
      <c r="B375" s="10">
        <v>46114</v>
      </c>
      <c r="C375" s="10" t="str">
        <f>UPPER(TEXT(B375, "[$-en-US]mmmm"))</f>
        <v>APRIL</v>
      </c>
      <c r="D375" s="41">
        <f>YEAR(B375)</f>
        <v>2026</v>
      </c>
      <c r="E375" s="10" t="str">
        <f>VLOOKUP(A375,Sheet2!A:B,2,0)</f>
        <v>EMEA</v>
      </c>
      <c r="F375" t="s">
        <v>13</v>
      </c>
      <c r="G375" t="s">
        <v>1016</v>
      </c>
      <c r="H375" t="s">
        <v>14</v>
      </c>
      <c r="I375" t="s">
        <v>563</v>
      </c>
      <c r="J375" s="14">
        <v>-1023.77</v>
      </c>
      <c r="K375" s="12">
        <v>-1382.376</v>
      </c>
      <c r="L375" s="12">
        <v>1382.376</v>
      </c>
      <c r="M375" s="12">
        <v>-58417.703999999998</v>
      </c>
      <c r="N375" t="s">
        <v>969</v>
      </c>
      <c r="O375" t="s">
        <v>874</v>
      </c>
      <c r="P375" t="s">
        <v>1017</v>
      </c>
      <c r="AH375"/>
      <c r="AT375"/>
    </row>
    <row r="376" spans="1:46">
      <c r="A376" t="s">
        <v>967</v>
      </c>
      <c r="B376" s="10">
        <v>45838</v>
      </c>
      <c r="C376" s="10" t="str">
        <f>UPPER(TEXT(B376, "[$-en-US]mmmm"))</f>
        <v>JUNE</v>
      </c>
      <c r="D376" s="41">
        <f>YEAR(B376)</f>
        <v>2025</v>
      </c>
      <c r="E376" s="10" t="str">
        <f>VLOOKUP(A376,Sheet2!A:B,2,0)</f>
        <v>EMEA</v>
      </c>
      <c r="F376" t="s">
        <v>13</v>
      </c>
      <c r="G376" t="s">
        <v>1018</v>
      </c>
      <c r="H376" t="s">
        <v>14</v>
      </c>
      <c r="I376" t="s">
        <v>563</v>
      </c>
      <c r="J376" s="14">
        <v>-689.23</v>
      </c>
      <c r="K376" s="12">
        <v>-930.65300000000002</v>
      </c>
      <c r="L376" s="12">
        <v>930.65300000000002</v>
      </c>
      <c r="M376" s="12">
        <v>-930.65300000000002</v>
      </c>
      <c r="N376" t="s">
        <v>1019</v>
      </c>
      <c r="O376" t="s">
        <v>874</v>
      </c>
      <c r="P376" t="s">
        <v>1020</v>
      </c>
      <c r="AH376"/>
      <c r="AT376"/>
    </row>
    <row r="377" spans="1:46">
      <c r="A377" t="s">
        <v>967</v>
      </c>
      <c r="B377" s="10">
        <v>46020</v>
      </c>
      <c r="C377" s="10" t="str">
        <f>UPPER(TEXT(B377, "[$-en-US]mmmm"))</f>
        <v>DECEMBER</v>
      </c>
      <c r="D377" s="41">
        <f>YEAR(B377)</f>
        <v>2025</v>
      </c>
      <c r="E377" s="10" t="str">
        <f>VLOOKUP(A377,Sheet2!A:B,2,0)</f>
        <v>EMEA</v>
      </c>
      <c r="F377" t="s">
        <v>13</v>
      </c>
      <c r="G377" t="s">
        <v>1021</v>
      </c>
      <c r="H377" t="s">
        <v>1675</v>
      </c>
      <c r="I377" t="s">
        <v>15</v>
      </c>
      <c r="J377" s="11">
        <v>-11467.63</v>
      </c>
      <c r="K377" s="12">
        <v>-10075.992</v>
      </c>
      <c r="L377" s="12">
        <v>853.89</v>
      </c>
      <c r="M377" s="12">
        <v>27233.284</v>
      </c>
      <c r="N377" t="s">
        <v>1022</v>
      </c>
      <c r="O377" t="s">
        <v>790</v>
      </c>
      <c r="P377" t="s">
        <v>1023</v>
      </c>
      <c r="AH377"/>
      <c r="AT377"/>
    </row>
    <row r="378" spans="1:46">
      <c r="A378" t="s">
        <v>967</v>
      </c>
      <c r="B378" s="10">
        <v>45133</v>
      </c>
      <c r="C378" s="10" t="str">
        <f>UPPER(TEXT(B378, "[$-en-US]mmmm"))</f>
        <v>JULY</v>
      </c>
      <c r="D378" s="41">
        <f>YEAR(B378)</f>
        <v>2023</v>
      </c>
      <c r="E378" s="10" t="str">
        <f>VLOOKUP(A378,Sheet2!A:B,2,0)</f>
        <v>EMEA</v>
      </c>
      <c r="F378" t="s">
        <v>13</v>
      </c>
      <c r="G378" t="s">
        <v>1024</v>
      </c>
      <c r="H378" t="s">
        <v>1676</v>
      </c>
      <c r="I378" t="s">
        <v>563</v>
      </c>
      <c r="J378" s="14">
        <v>-1200</v>
      </c>
      <c r="K378" s="12">
        <v>-1620.336</v>
      </c>
      <c r="L378" s="12">
        <v>810.16800000000001</v>
      </c>
      <c r="M378" s="12">
        <v>-810.16800000000001</v>
      </c>
      <c r="N378" t="s">
        <v>1025</v>
      </c>
      <c r="O378" t="s">
        <v>874</v>
      </c>
      <c r="P378" t="s">
        <v>1026</v>
      </c>
      <c r="AH378"/>
      <c r="AT378"/>
    </row>
    <row r="379" spans="1:46">
      <c r="A379" t="s">
        <v>967</v>
      </c>
      <c r="B379" s="10">
        <v>45177</v>
      </c>
      <c r="C379" s="10" t="str">
        <f>UPPER(TEXT(B379, "[$-en-US]mmmm"))</f>
        <v>SEPTEMBER</v>
      </c>
      <c r="D379" s="41">
        <f>YEAR(B379)</f>
        <v>2023</v>
      </c>
      <c r="E379" s="10" t="str">
        <f>VLOOKUP(A379,Sheet2!A:B,2,0)</f>
        <v>EMEA</v>
      </c>
      <c r="F379" t="s">
        <v>13</v>
      </c>
      <c r="G379" t="s">
        <v>1027</v>
      </c>
      <c r="H379" t="s">
        <v>14</v>
      </c>
      <c r="I379" t="s">
        <v>563</v>
      </c>
      <c r="J379" s="14">
        <v>-547</v>
      </c>
      <c r="K379" s="12">
        <v>-738.60299999999995</v>
      </c>
      <c r="L379" s="12">
        <v>738.60299999999995</v>
      </c>
      <c r="M379" s="12">
        <v>-58417.703999999998</v>
      </c>
      <c r="N379" t="s">
        <v>969</v>
      </c>
      <c r="O379" t="s">
        <v>874</v>
      </c>
      <c r="P379" t="s">
        <v>1028</v>
      </c>
      <c r="AH379"/>
      <c r="AT379"/>
    </row>
    <row r="380" spans="1:46">
      <c r="A380" t="s">
        <v>967</v>
      </c>
      <c r="B380" s="10">
        <v>46120</v>
      </c>
      <c r="C380" s="10" t="str">
        <f>UPPER(TEXT(B380, "[$-en-US]mmmm"))</f>
        <v>APRIL</v>
      </c>
      <c r="D380" s="41">
        <f>YEAR(B380)</f>
        <v>2026</v>
      </c>
      <c r="E380" s="10" t="str">
        <f>VLOOKUP(A380,Sheet2!A:B,2,0)</f>
        <v>EMEA</v>
      </c>
      <c r="F380" t="s">
        <v>13</v>
      </c>
      <c r="G380" t="s">
        <v>1029</v>
      </c>
      <c r="H380" t="s">
        <v>1677</v>
      </c>
      <c r="I380" t="s">
        <v>563</v>
      </c>
      <c r="J380" s="14">
        <v>-3741.4</v>
      </c>
      <c r="K380" s="12">
        <v>-5051.9380000000001</v>
      </c>
      <c r="L380" s="12">
        <v>675.14</v>
      </c>
      <c r="M380" s="12">
        <v>-675.14</v>
      </c>
      <c r="N380" t="s">
        <v>1030</v>
      </c>
      <c r="O380" t="s">
        <v>874</v>
      </c>
      <c r="P380" t="s">
        <v>1031</v>
      </c>
      <c r="AH380"/>
      <c r="AT380"/>
    </row>
    <row r="381" spans="1:46">
      <c r="A381" t="s">
        <v>967</v>
      </c>
      <c r="B381" s="10">
        <v>45021</v>
      </c>
      <c r="C381" s="10" t="str">
        <f>UPPER(TEXT(B381, "[$-en-US]mmmm"))</f>
        <v>APRIL</v>
      </c>
      <c r="D381" s="41">
        <f>YEAR(B381)</f>
        <v>2023</v>
      </c>
      <c r="E381" s="10" t="str">
        <f>VLOOKUP(A381,Sheet2!A:B,2,0)</f>
        <v>EMEA</v>
      </c>
      <c r="F381" t="s">
        <v>13</v>
      </c>
      <c r="G381" t="s">
        <v>1032</v>
      </c>
      <c r="H381" t="s">
        <v>1678</v>
      </c>
      <c r="I381" t="s">
        <v>15</v>
      </c>
      <c r="J381" s="11">
        <v>-2671.48</v>
      </c>
      <c r="K381" s="12">
        <v>-2916.605</v>
      </c>
      <c r="L381" s="12">
        <v>558.40800000000002</v>
      </c>
      <c r="M381" s="12">
        <v>-558.40800000000002</v>
      </c>
      <c r="N381" t="s">
        <v>1033</v>
      </c>
      <c r="O381" t="s">
        <v>754</v>
      </c>
      <c r="P381" t="s">
        <v>14</v>
      </c>
      <c r="AH381"/>
      <c r="AT381"/>
    </row>
    <row r="382" spans="1:46">
      <c r="A382" t="s">
        <v>967</v>
      </c>
      <c r="B382" s="10">
        <v>45251</v>
      </c>
      <c r="C382" s="10" t="str">
        <f>UPPER(TEXT(B382, "[$-en-US]mmmm"))</f>
        <v>NOVEMBER</v>
      </c>
      <c r="D382" s="41">
        <f>YEAR(B382)</f>
        <v>2023</v>
      </c>
      <c r="E382" s="10" t="str">
        <f>VLOOKUP(A382,Sheet2!A:B,2,0)</f>
        <v>EMEA</v>
      </c>
      <c r="F382" t="s">
        <v>13</v>
      </c>
      <c r="G382" t="s">
        <v>1034</v>
      </c>
      <c r="H382" t="s">
        <v>1679</v>
      </c>
      <c r="I382" t="s">
        <v>563</v>
      </c>
      <c r="J382" s="14">
        <v>-5492.4</v>
      </c>
      <c r="K382" s="12">
        <v>-7416.2780000000002</v>
      </c>
      <c r="L382" s="12">
        <v>529.85</v>
      </c>
      <c r="M382" s="12">
        <v>-529.85</v>
      </c>
      <c r="N382" t="s">
        <v>1035</v>
      </c>
      <c r="O382" t="s">
        <v>874</v>
      </c>
      <c r="P382" t="s">
        <v>1036</v>
      </c>
      <c r="AH382"/>
      <c r="AT382"/>
    </row>
    <row r="383" spans="1:46">
      <c r="A383" t="s">
        <v>967</v>
      </c>
      <c r="B383" s="10">
        <v>45996</v>
      </c>
      <c r="C383" s="10" t="str">
        <f>UPPER(TEXT(B383, "[$-en-US]mmmm"))</f>
        <v>DECEMBER</v>
      </c>
      <c r="D383" s="41">
        <f>YEAR(B383)</f>
        <v>2025</v>
      </c>
      <c r="E383" s="10" t="str">
        <f>VLOOKUP(A383,Sheet2!A:B,2,0)</f>
        <v>EMEA</v>
      </c>
      <c r="F383" t="s">
        <v>13</v>
      </c>
      <c r="G383" t="s">
        <v>1037</v>
      </c>
      <c r="H383" t="s">
        <v>1680</v>
      </c>
      <c r="I383" t="s">
        <v>563</v>
      </c>
      <c r="J383" s="14">
        <v>-4890</v>
      </c>
      <c r="K383" s="12">
        <v>-6602.8689999999997</v>
      </c>
      <c r="L383" s="12">
        <v>162.03399999999999</v>
      </c>
      <c r="M383" s="12">
        <v>-162.03399999999999</v>
      </c>
      <c r="N383" t="s">
        <v>1038</v>
      </c>
      <c r="O383" t="s">
        <v>874</v>
      </c>
      <c r="P383" t="s">
        <v>1039</v>
      </c>
      <c r="AH383"/>
      <c r="AT383"/>
    </row>
    <row r="384" spans="1:46">
      <c r="A384" t="s">
        <v>967</v>
      </c>
      <c r="B384" s="10">
        <v>45414</v>
      </c>
      <c r="C384" s="10" t="str">
        <f>UPPER(TEXT(B384, "[$-en-US]mmmm"))</f>
        <v>MAY</v>
      </c>
      <c r="D384" s="41">
        <f>YEAR(B384)</f>
        <v>2024</v>
      </c>
      <c r="E384" s="10" t="str">
        <f>VLOOKUP(A384,Sheet2!A:B,2,0)</f>
        <v>EMEA</v>
      </c>
      <c r="F384" t="s">
        <v>13</v>
      </c>
      <c r="G384" t="s">
        <v>1040</v>
      </c>
      <c r="H384" t="s">
        <v>1681</v>
      </c>
      <c r="I384" t="s">
        <v>593</v>
      </c>
      <c r="J384" s="15">
        <v>-6607.74</v>
      </c>
      <c r="K384" s="12">
        <v>-7463.5649999999996</v>
      </c>
      <c r="L384" s="12">
        <v>121.70099999999999</v>
      </c>
      <c r="M384" s="12">
        <v>-121.70099999999999</v>
      </c>
      <c r="N384" t="s">
        <v>1041</v>
      </c>
      <c r="O384" t="s">
        <v>829</v>
      </c>
      <c r="P384" t="s">
        <v>1042</v>
      </c>
      <c r="AH384"/>
      <c r="AT384"/>
    </row>
    <row r="385" spans="1:46">
      <c r="A385" t="s">
        <v>1043</v>
      </c>
      <c r="B385" s="10">
        <v>43718</v>
      </c>
      <c r="C385" s="10" t="str">
        <f>UPPER(TEXT(B385, "[$-en-US]mmmm"))</f>
        <v>SEPTEMBER</v>
      </c>
      <c r="D385" s="41">
        <f>YEAR(B385)</f>
        <v>2019</v>
      </c>
      <c r="E385" s="10" t="str">
        <f>VLOOKUP(A385,Sheet2!A:B,2,0)</f>
        <v>Sysomos</v>
      </c>
      <c r="F385" t="s">
        <v>13</v>
      </c>
      <c r="G385" t="s">
        <v>1044</v>
      </c>
      <c r="H385" t="s">
        <v>14</v>
      </c>
      <c r="I385" t="s">
        <v>563</v>
      </c>
      <c r="J385" s="14">
        <v>-12240</v>
      </c>
      <c r="K385" s="12">
        <v>-15983.359</v>
      </c>
      <c r="L385" s="12">
        <v>15983.359</v>
      </c>
      <c r="M385" s="12">
        <v>-26638.932000000001</v>
      </c>
      <c r="N385" t="s">
        <v>1045</v>
      </c>
      <c r="O385" t="s">
        <v>874</v>
      </c>
      <c r="P385" t="s">
        <v>1046</v>
      </c>
      <c r="AH385"/>
      <c r="AT385"/>
    </row>
    <row r="386" spans="1:46">
      <c r="A386" t="s">
        <v>1043</v>
      </c>
      <c r="B386" s="10">
        <v>43796</v>
      </c>
      <c r="C386" s="10" t="str">
        <f>UPPER(TEXT(B386, "[$-en-US]mmmm"))</f>
        <v>NOVEMBER</v>
      </c>
      <c r="D386" s="41">
        <f>YEAR(B386)</f>
        <v>2019</v>
      </c>
      <c r="E386" s="10" t="str">
        <f>VLOOKUP(A386,Sheet2!A:B,2,0)</f>
        <v>Sysomos</v>
      </c>
      <c r="F386" t="s">
        <v>484</v>
      </c>
      <c r="G386" t="s">
        <v>1047</v>
      </c>
      <c r="H386" t="s">
        <v>14</v>
      </c>
      <c r="I386" t="s">
        <v>563</v>
      </c>
      <c r="J386" s="14">
        <v>-4999.99</v>
      </c>
      <c r="K386" s="12">
        <v>-6529.1369999999997</v>
      </c>
      <c r="L386" s="12">
        <v>6529.1369999999997</v>
      </c>
      <c r="M386" s="12">
        <v>-6529.1369999999997</v>
      </c>
      <c r="N386" t="s">
        <v>1048</v>
      </c>
      <c r="O386" t="s">
        <v>874</v>
      </c>
      <c r="P386" t="s">
        <v>1049</v>
      </c>
      <c r="AH386"/>
      <c r="AT386"/>
    </row>
    <row r="387" spans="1:46">
      <c r="A387" t="s">
        <v>1043</v>
      </c>
      <c r="B387" s="10">
        <v>43746</v>
      </c>
      <c r="C387" s="10" t="str">
        <f>UPPER(TEXT(B387, "[$-en-US]mmmm"))</f>
        <v>OCTOBER</v>
      </c>
      <c r="D387" s="41">
        <f>YEAR(B387)</f>
        <v>2019</v>
      </c>
      <c r="E387" s="10" t="str">
        <f>VLOOKUP(A387,Sheet2!A:B,2,0)</f>
        <v>Sysomos</v>
      </c>
      <c r="F387" t="s">
        <v>13</v>
      </c>
      <c r="G387" t="s">
        <v>1050</v>
      </c>
      <c r="H387" t="s">
        <v>14</v>
      </c>
      <c r="I387" t="s">
        <v>563</v>
      </c>
      <c r="J387" s="14">
        <v>-4080</v>
      </c>
      <c r="K387" s="12">
        <v>-5327.7860000000001</v>
      </c>
      <c r="L387" s="12">
        <v>5327.7860000000001</v>
      </c>
      <c r="M387" s="12">
        <v>-26638.932000000001</v>
      </c>
      <c r="N387" t="s">
        <v>1045</v>
      </c>
      <c r="O387" t="s">
        <v>874</v>
      </c>
      <c r="P387" t="s">
        <v>1051</v>
      </c>
      <c r="AH387"/>
      <c r="AT387"/>
    </row>
    <row r="388" spans="1:46">
      <c r="A388" t="s">
        <v>1043</v>
      </c>
      <c r="B388" s="10">
        <v>43782</v>
      </c>
      <c r="C388" s="10" t="str">
        <f>UPPER(TEXT(B388, "[$-en-US]mmmm"))</f>
        <v>NOVEMBER</v>
      </c>
      <c r="D388" s="41">
        <f>YEAR(B388)</f>
        <v>2019</v>
      </c>
      <c r="E388" s="10" t="str">
        <f>VLOOKUP(A388,Sheet2!A:B,2,0)</f>
        <v>Sysomos</v>
      </c>
      <c r="F388" t="s">
        <v>13</v>
      </c>
      <c r="G388" t="s">
        <v>1052</v>
      </c>
      <c r="H388" t="s">
        <v>1683</v>
      </c>
      <c r="I388" t="s">
        <v>563</v>
      </c>
      <c r="J388" s="14">
        <v>-7600</v>
      </c>
      <c r="K388" s="12">
        <v>-9924.3080000000009</v>
      </c>
      <c r="L388" s="12">
        <v>4962.1540000000005</v>
      </c>
      <c r="M388" s="12">
        <v>-4962.1540000000005</v>
      </c>
      <c r="N388" t="s">
        <v>1053</v>
      </c>
      <c r="O388" t="s">
        <v>874</v>
      </c>
      <c r="P388" t="s">
        <v>1054</v>
      </c>
      <c r="AH388"/>
      <c r="AT388"/>
    </row>
    <row r="389" spans="1:46">
      <c r="A389" t="s">
        <v>1043</v>
      </c>
      <c r="B389" s="10">
        <v>43593</v>
      </c>
      <c r="C389" s="10" t="str">
        <f>UPPER(TEXT(B389, "[$-en-US]mmmm"))</f>
        <v>MAY</v>
      </c>
      <c r="D389" s="41">
        <f>YEAR(B389)</f>
        <v>2019</v>
      </c>
      <c r="E389" s="10" t="str">
        <f>VLOOKUP(A389,Sheet2!A:B,2,0)</f>
        <v>Sysomos</v>
      </c>
      <c r="F389" t="s">
        <v>13</v>
      </c>
      <c r="G389" t="s">
        <v>1055</v>
      </c>
      <c r="H389" t="s">
        <v>14</v>
      </c>
      <c r="I389" t="s">
        <v>563</v>
      </c>
      <c r="J389" s="14">
        <v>-3468</v>
      </c>
      <c r="K389" s="12">
        <v>-4528.6180000000004</v>
      </c>
      <c r="L389" s="12">
        <v>4528.6180000000004</v>
      </c>
      <c r="M389" s="12">
        <v>-4528.6180000000004</v>
      </c>
      <c r="N389" t="s">
        <v>1056</v>
      </c>
      <c r="O389" t="s">
        <v>874</v>
      </c>
      <c r="P389" t="s">
        <v>1057</v>
      </c>
      <c r="AH389"/>
      <c r="AT389"/>
    </row>
    <row r="390" spans="1:46">
      <c r="A390" t="s">
        <v>1043</v>
      </c>
      <c r="B390" s="10">
        <v>43714</v>
      </c>
      <c r="C390" s="10" t="str">
        <f>UPPER(TEXT(B390, "[$-en-US]mmmm"))</f>
        <v>SEPTEMBER</v>
      </c>
      <c r="D390" s="41">
        <f>YEAR(B390)</f>
        <v>2019</v>
      </c>
      <c r="E390" s="10" t="str">
        <f>VLOOKUP(A390,Sheet2!A:B,2,0)</f>
        <v>Sysomos</v>
      </c>
      <c r="F390" t="s">
        <v>13</v>
      </c>
      <c r="G390" t="s">
        <v>1058</v>
      </c>
      <c r="H390" t="s">
        <v>14</v>
      </c>
      <c r="I390" t="s">
        <v>563</v>
      </c>
      <c r="J390" s="14">
        <v>-2040</v>
      </c>
      <c r="K390" s="12">
        <v>-2663.893</v>
      </c>
      <c r="L390" s="12">
        <v>2663.893</v>
      </c>
      <c r="M390" s="12">
        <v>-26638.932000000001</v>
      </c>
      <c r="N390" t="s">
        <v>1045</v>
      </c>
      <c r="O390" t="s">
        <v>874</v>
      </c>
      <c r="P390" t="s">
        <v>1059</v>
      </c>
      <c r="AH390"/>
      <c r="AT390"/>
    </row>
    <row r="391" spans="1:46">
      <c r="A391" t="s">
        <v>1043</v>
      </c>
      <c r="B391" s="10">
        <v>43742</v>
      </c>
      <c r="C391" s="10" t="str">
        <f>UPPER(TEXT(B391, "[$-en-US]mmmm"))</f>
        <v>OCTOBER</v>
      </c>
      <c r="D391" s="41">
        <f>YEAR(B391)</f>
        <v>2019</v>
      </c>
      <c r="E391" s="10" t="str">
        <f>VLOOKUP(A391,Sheet2!A:B,2,0)</f>
        <v>Sysomos</v>
      </c>
      <c r="F391" t="s">
        <v>13</v>
      </c>
      <c r="G391" t="s">
        <v>1060</v>
      </c>
      <c r="H391" t="s">
        <v>14</v>
      </c>
      <c r="I391" t="s">
        <v>563</v>
      </c>
      <c r="J391" s="14">
        <v>-2040</v>
      </c>
      <c r="K391" s="12">
        <v>-2663.893</v>
      </c>
      <c r="L391" s="12">
        <v>2663.893</v>
      </c>
      <c r="M391" s="12">
        <v>-26638.932000000001</v>
      </c>
      <c r="N391" t="s">
        <v>1045</v>
      </c>
      <c r="O391" t="s">
        <v>874</v>
      </c>
      <c r="P391" t="s">
        <v>1061</v>
      </c>
      <c r="AH391"/>
      <c r="AT391"/>
    </row>
    <row r="392" spans="1:46">
      <c r="A392" t="s">
        <v>1043</v>
      </c>
      <c r="B392" s="10">
        <v>43532</v>
      </c>
      <c r="C392" s="10" t="str">
        <f>UPPER(TEXT(B392, "[$-en-US]mmmm"))</f>
        <v>MARCH</v>
      </c>
      <c r="D392" s="41">
        <f>YEAR(B392)</f>
        <v>2019</v>
      </c>
      <c r="E392" s="10" t="str">
        <f>VLOOKUP(A392,Sheet2!A:B,2,0)</f>
        <v>Sysomos</v>
      </c>
      <c r="F392" t="s">
        <v>13</v>
      </c>
      <c r="G392" t="s">
        <v>1062</v>
      </c>
      <c r="H392" t="s">
        <v>1686</v>
      </c>
      <c r="I392" t="s">
        <v>563</v>
      </c>
      <c r="J392" s="14">
        <v>-7372.8</v>
      </c>
      <c r="K392" s="12">
        <v>-9627.6229999999996</v>
      </c>
      <c r="L392" s="12">
        <v>310.56599999999997</v>
      </c>
      <c r="M392" s="12">
        <v>-310.56599999999997</v>
      </c>
      <c r="N392" t="s">
        <v>1063</v>
      </c>
      <c r="O392" t="s">
        <v>874</v>
      </c>
      <c r="P392" t="s">
        <v>14</v>
      </c>
      <c r="AH392"/>
      <c r="AT392"/>
    </row>
    <row r="393" spans="1:46">
      <c r="A393" t="s">
        <v>1043</v>
      </c>
      <c r="B393" s="10">
        <v>43783</v>
      </c>
      <c r="C393" s="10" t="str">
        <f>UPPER(TEXT(B393, "[$-en-US]mmmm"))</f>
        <v>NOVEMBER</v>
      </c>
      <c r="D393" s="41">
        <f>YEAR(B393)</f>
        <v>2019</v>
      </c>
      <c r="E393" s="10" t="str">
        <f>VLOOKUP(A393,Sheet2!A:B,2,0)</f>
        <v>Sysomos</v>
      </c>
      <c r="F393" t="s">
        <v>13</v>
      </c>
      <c r="G393" t="s">
        <v>1064</v>
      </c>
      <c r="H393" t="s">
        <v>14</v>
      </c>
      <c r="I393" t="s">
        <v>563</v>
      </c>
      <c r="J393" s="14">
        <v>-26</v>
      </c>
      <c r="K393" s="12">
        <v>-33.951999999999998</v>
      </c>
      <c r="L393" s="12">
        <v>33.951999999999998</v>
      </c>
      <c r="M393" s="12">
        <v>-33.951999999999998</v>
      </c>
      <c r="N393" t="s">
        <v>1065</v>
      </c>
      <c r="O393" t="s">
        <v>874</v>
      </c>
      <c r="P393" t="s">
        <v>1066</v>
      </c>
      <c r="AH393"/>
      <c r="AT393"/>
    </row>
    <row r="394" spans="1:46">
      <c r="A394" t="s">
        <v>1067</v>
      </c>
      <c r="B394" s="10">
        <v>45250</v>
      </c>
      <c r="C394" s="10" t="str">
        <f>UPPER(TEXT(B394, "[$-en-US]mmmm"))</f>
        <v>NOVEMBER</v>
      </c>
      <c r="D394" s="41">
        <f>YEAR(B394)</f>
        <v>2023</v>
      </c>
      <c r="E394" s="10" t="str">
        <f>VLOOKUP(A394,Sheet2!A:B,2,0)</f>
        <v>EMEA</v>
      </c>
      <c r="F394" t="s">
        <v>13</v>
      </c>
      <c r="G394" t="s">
        <v>1068</v>
      </c>
      <c r="H394" t="s">
        <v>1688</v>
      </c>
      <c r="I394" t="s">
        <v>593</v>
      </c>
      <c r="J394" s="15">
        <v>-29700</v>
      </c>
      <c r="K394" s="12">
        <v>-34732.665000000001</v>
      </c>
      <c r="L394" s="12">
        <v>27575.631000000001</v>
      </c>
      <c r="M394" s="12">
        <v>66925.260999999999</v>
      </c>
      <c r="N394" t="s">
        <v>1069</v>
      </c>
      <c r="O394" t="s">
        <v>829</v>
      </c>
      <c r="P394" t="s">
        <v>1070</v>
      </c>
      <c r="AH394"/>
      <c r="AT394"/>
    </row>
    <row r="395" spans="1:46">
      <c r="A395" t="s">
        <v>1067</v>
      </c>
      <c r="B395" s="10">
        <v>46107</v>
      </c>
      <c r="C395" s="10" t="str">
        <f>UPPER(TEXT(B395, "[$-en-US]mmmm"))</f>
        <v>MARCH</v>
      </c>
      <c r="D395" s="41">
        <f>YEAR(B395)</f>
        <v>2026</v>
      </c>
      <c r="E395" s="10" t="str">
        <f>VLOOKUP(A395,Sheet2!A:B,2,0)</f>
        <v>EMEA</v>
      </c>
      <c r="F395" t="s">
        <v>13</v>
      </c>
      <c r="G395" t="s">
        <v>1071</v>
      </c>
      <c r="H395" t="s">
        <v>14</v>
      </c>
      <c r="I395" t="s">
        <v>593</v>
      </c>
      <c r="J395" s="15">
        <v>-22962.560000000001</v>
      </c>
      <c r="K395" s="12">
        <v>-26853.565999999999</v>
      </c>
      <c r="L395" s="12">
        <v>26853.565999999999</v>
      </c>
      <c r="M395" s="12">
        <v>-37326.411999999997</v>
      </c>
      <c r="N395" t="s">
        <v>1072</v>
      </c>
      <c r="O395" t="s">
        <v>14</v>
      </c>
      <c r="P395" t="s">
        <v>1073</v>
      </c>
      <c r="AH395"/>
      <c r="AT395"/>
    </row>
    <row r="396" spans="1:46">
      <c r="A396" t="s">
        <v>1067</v>
      </c>
      <c r="B396" s="10">
        <v>45499</v>
      </c>
      <c r="C396" s="10" t="str">
        <f>UPPER(TEXT(B396, "[$-en-US]mmmm"))</f>
        <v>JULY</v>
      </c>
      <c r="D396" s="41">
        <f>YEAR(B396)</f>
        <v>2024</v>
      </c>
      <c r="E396" s="10" t="str">
        <f>VLOOKUP(A396,Sheet2!A:B,2,0)</f>
        <v>EMEA</v>
      </c>
      <c r="F396" t="s">
        <v>13</v>
      </c>
      <c r="G396" t="s">
        <v>1074</v>
      </c>
      <c r="H396" t="s">
        <v>1689</v>
      </c>
      <c r="I396" t="s">
        <v>593</v>
      </c>
      <c r="J396" s="15">
        <v>-26400</v>
      </c>
      <c r="K396" s="12">
        <v>-30873.48</v>
      </c>
      <c r="L396" s="12">
        <v>15436.74</v>
      </c>
      <c r="M396" s="12">
        <v>-15436.74</v>
      </c>
      <c r="N396" t="s">
        <v>1075</v>
      </c>
      <c r="O396" t="s">
        <v>14</v>
      </c>
      <c r="P396" t="s">
        <v>1076</v>
      </c>
      <c r="AH396"/>
      <c r="AT396"/>
    </row>
    <row r="397" spans="1:46">
      <c r="A397" t="s">
        <v>1067</v>
      </c>
      <c r="B397" s="10">
        <v>45937</v>
      </c>
      <c r="C397" s="10" t="str">
        <f>UPPER(TEXT(B397, "[$-en-US]mmmm"))</f>
        <v>OCTOBER</v>
      </c>
      <c r="D397" s="41">
        <f>YEAR(B397)</f>
        <v>2025</v>
      </c>
      <c r="E397" s="10" t="str">
        <f>VLOOKUP(A397,Sheet2!A:B,2,0)</f>
        <v>EMEA</v>
      </c>
      <c r="F397" t="s">
        <v>484</v>
      </c>
      <c r="G397" t="s">
        <v>1077</v>
      </c>
      <c r="H397" t="s">
        <v>1690</v>
      </c>
      <c r="I397" t="s">
        <v>15</v>
      </c>
      <c r="J397" s="11">
        <v>-39000</v>
      </c>
      <c r="K397" s="12">
        <v>-38120.644</v>
      </c>
      <c r="L397" s="12">
        <v>15248.26</v>
      </c>
      <c r="M397" s="12">
        <v>66925.260999999999</v>
      </c>
      <c r="N397" t="s">
        <v>1069</v>
      </c>
      <c r="O397" t="s">
        <v>829</v>
      </c>
      <c r="P397" t="s">
        <v>1078</v>
      </c>
      <c r="AH397"/>
      <c r="AT397"/>
    </row>
    <row r="398" spans="1:46">
      <c r="A398" t="s">
        <v>1067</v>
      </c>
      <c r="B398" s="10">
        <v>45168</v>
      </c>
      <c r="C398" s="10" t="str">
        <f>UPPER(TEXT(B398, "[$-en-US]mmmm"))</f>
        <v>AUGUST</v>
      </c>
      <c r="D398" s="41">
        <f>YEAR(B398)</f>
        <v>2023</v>
      </c>
      <c r="E398" s="10" t="str">
        <f>VLOOKUP(A398,Sheet2!A:B,2,0)</f>
        <v>EMEA</v>
      </c>
      <c r="F398" t="s">
        <v>13</v>
      </c>
      <c r="G398" t="s">
        <v>1079</v>
      </c>
      <c r="H398" t="s">
        <v>14</v>
      </c>
      <c r="I398" t="s">
        <v>593</v>
      </c>
      <c r="J398" s="15">
        <v>-8200</v>
      </c>
      <c r="K398" s="12">
        <v>-9589.49</v>
      </c>
      <c r="L398" s="12">
        <v>9589.49</v>
      </c>
      <c r="M398" s="12">
        <v>-9589.49</v>
      </c>
      <c r="N398" t="s">
        <v>1080</v>
      </c>
      <c r="O398" t="s">
        <v>14</v>
      </c>
      <c r="P398" t="s">
        <v>1081</v>
      </c>
      <c r="AH398"/>
      <c r="AT398"/>
    </row>
    <row r="399" spans="1:46">
      <c r="A399" t="s">
        <v>1067</v>
      </c>
      <c r="B399" s="10">
        <v>46000</v>
      </c>
      <c r="C399" s="10" t="str">
        <f>UPPER(TEXT(B399, "[$-en-US]mmmm"))</f>
        <v>DECEMBER</v>
      </c>
      <c r="D399" s="41">
        <f>YEAR(B399)</f>
        <v>2025</v>
      </c>
      <c r="E399" s="10" t="str">
        <f>VLOOKUP(A399,Sheet2!A:B,2,0)</f>
        <v>EMEA</v>
      </c>
      <c r="F399" t="s">
        <v>13</v>
      </c>
      <c r="G399" t="s">
        <v>1082</v>
      </c>
      <c r="H399" t="s">
        <v>1691</v>
      </c>
      <c r="I399" t="s">
        <v>593</v>
      </c>
      <c r="J399" s="15">
        <v>-19650.2</v>
      </c>
      <c r="K399" s="12">
        <v>-22979.925999999999</v>
      </c>
      <c r="L399" s="12">
        <v>8399.2240000000002</v>
      </c>
      <c r="M399" s="12">
        <v>66925.260999999999</v>
      </c>
      <c r="N399" t="s">
        <v>1069</v>
      </c>
      <c r="O399" t="s">
        <v>829</v>
      </c>
      <c r="P399" t="s">
        <v>1083</v>
      </c>
      <c r="AH399"/>
      <c r="AT399"/>
    </row>
    <row r="400" spans="1:46">
      <c r="A400" t="s">
        <v>1067</v>
      </c>
      <c r="B400" s="10">
        <v>44875</v>
      </c>
      <c r="C400" s="10" t="str">
        <f>UPPER(TEXT(B400, "[$-en-US]mmmm"))</f>
        <v>NOVEMBER</v>
      </c>
      <c r="D400" s="41">
        <f>YEAR(B400)</f>
        <v>2022</v>
      </c>
      <c r="E400" s="10" t="str">
        <f>VLOOKUP(A400,Sheet2!A:B,2,0)</f>
        <v>EMEA</v>
      </c>
      <c r="F400" t="s">
        <v>13</v>
      </c>
      <c r="G400" t="s">
        <v>1084</v>
      </c>
      <c r="H400" t="s">
        <v>14</v>
      </c>
      <c r="I400" t="s">
        <v>593</v>
      </c>
      <c r="J400" s="15">
        <v>-6000</v>
      </c>
      <c r="K400" s="12">
        <v>-7016.7</v>
      </c>
      <c r="L400" s="12">
        <v>7016.7</v>
      </c>
      <c r="M400" s="12">
        <v>-7016.7</v>
      </c>
      <c r="N400" t="s">
        <v>1085</v>
      </c>
      <c r="O400" t="s">
        <v>829</v>
      </c>
      <c r="P400" t="s">
        <v>1086</v>
      </c>
      <c r="AH400"/>
      <c r="AT400"/>
    </row>
    <row r="401" spans="1:46">
      <c r="A401" t="s">
        <v>1067</v>
      </c>
      <c r="B401" s="10">
        <v>45107</v>
      </c>
      <c r="C401" s="10" t="str">
        <f>UPPER(TEXT(B401, "[$-en-US]mmmm"))</f>
        <v>JUNE</v>
      </c>
      <c r="D401" s="41">
        <f>YEAR(B401)</f>
        <v>2023</v>
      </c>
      <c r="E401" s="10" t="str">
        <f>VLOOKUP(A401,Sheet2!A:B,2,0)</f>
        <v>EMEA</v>
      </c>
      <c r="F401" t="s">
        <v>13</v>
      </c>
      <c r="G401" t="s">
        <v>1087</v>
      </c>
      <c r="H401" t="s">
        <v>14</v>
      </c>
      <c r="I401" t="s">
        <v>593</v>
      </c>
      <c r="J401" s="15">
        <v>-4015.45</v>
      </c>
      <c r="K401" s="12">
        <v>-4695.8680000000004</v>
      </c>
      <c r="L401" s="12">
        <v>4695.8680000000004</v>
      </c>
      <c r="M401" s="12">
        <v>-37326.411999999997</v>
      </c>
      <c r="N401" t="s">
        <v>1072</v>
      </c>
      <c r="O401" t="s">
        <v>14</v>
      </c>
      <c r="P401" t="s">
        <v>1088</v>
      </c>
      <c r="AH401"/>
      <c r="AT401"/>
    </row>
    <row r="402" spans="1:46">
      <c r="A402" t="s">
        <v>1067</v>
      </c>
      <c r="B402" s="10">
        <v>44938</v>
      </c>
      <c r="C402" s="10" t="str">
        <f>UPPER(TEXT(B402, "[$-en-US]mmmm"))</f>
        <v>JANUARY</v>
      </c>
      <c r="D402" s="41">
        <f>YEAR(B402)</f>
        <v>2023</v>
      </c>
      <c r="E402" s="10" t="str">
        <f>VLOOKUP(A402,Sheet2!A:B,2,0)</f>
        <v>EMEA</v>
      </c>
      <c r="F402" t="s">
        <v>13</v>
      </c>
      <c r="G402" t="s">
        <v>1089</v>
      </c>
      <c r="H402" t="s">
        <v>14</v>
      </c>
      <c r="I402" t="s">
        <v>593</v>
      </c>
      <c r="J402" s="15">
        <v>-3600</v>
      </c>
      <c r="K402" s="12">
        <v>-4210.0200000000004</v>
      </c>
      <c r="L402" s="12">
        <v>4210.0200000000004</v>
      </c>
      <c r="M402" s="12">
        <v>-37326.411999999997</v>
      </c>
      <c r="N402" t="s">
        <v>1072</v>
      </c>
      <c r="O402" t="s">
        <v>14</v>
      </c>
      <c r="P402" t="s">
        <v>1090</v>
      </c>
      <c r="AH402"/>
      <c r="AT402"/>
    </row>
    <row r="403" spans="1:46">
      <c r="A403" t="s">
        <v>1067</v>
      </c>
      <c r="B403" s="10">
        <v>45071</v>
      </c>
      <c r="C403" s="10" t="str">
        <f>UPPER(TEXT(B403, "[$-en-US]mmmm"))</f>
        <v>MAY</v>
      </c>
      <c r="D403" s="41">
        <f>YEAR(B403)</f>
        <v>2023</v>
      </c>
      <c r="E403" s="10" t="str">
        <f>VLOOKUP(A403,Sheet2!A:B,2,0)</f>
        <v>EMEA</v>
      </c>
      <c r="F403" t="s">
        <v>13</v>
      </c>
      <c r="G403" t="s">
        <v>1091</v>
      </c>
      <c r="H403" t="s">
        <v>14</v>
      </c>
      <c r="I403" t="s">
        <v>593</v>
      </c>
      <c r="J403" s="15">
        <v>-1339.91</v>
      </c>
      <c r="K403" s="12">
        <v>-1566.9580000000001</v>
      </c>
      <c r="L403" s="12">
        <v>1566.9580000000001</v>
      </c>
      <c r="M403" s="12">
        <v>-37326.411999999997</v>
      </c>
      <c r="N403" t="s">
        <v>1072</v>
      </c>
      <c r="O403" t="s">
        <v>14</v>
      </c>
      <c r="P403" t="s">
        <v>1092</v>
      </c>
      <c r="AH403"/>
      <c r="AT403"/>
    </row>
    <row r="404" spans="1:46">
      <c r="A404" t="s">
        <v>1067</v>
      </c>
      <c r="B404" s="10">
        <v>45097</v>
      </c>
      <c r="C404" s="10" t="str">
        <f>UPPER(TEXT(B404, "[$-en-US]mmmm"))</f>
        <v>JUNE</v>
      </c>
      <c r="D404" s="41">
        <f>YEAR(B404)</f>
        <v>2023</v>
      </c>
      <c r="E404" s="10" t="str">
        <f>VLOOKUP(A404,Sheet2!A:B,2,0)</f>
        <v>EMEA</v>
      </c>
      <c r="F404" t="s">
        <v>13</v>
      </c>
      <c r="G404" t="s">
        <v>1093</v>
      </c>
      <c r="H404" t="s">
        <v>14</v>
      </c>
      <c r="I404" t="s">
        <v>593</v>
      </c>
      <c r="J404" s="15">
        <v>-756</v>
      </c>
      <c r="K404" s="12">
        <v>-884.10400000000004</v>
      </c>
      <c r="L404" s="12">
        <v>884.10400000000004</v>
      </c>
      <c r="M404" s="12">
        <v>-884.10400000000004</v>
      </c>
      <c r="N404" t="s">
        <v>1094</v>
      </c>
      <c r="O404" t="s">
        <v>14</v>
      </c>
      <c r="P404" t="s">
        <v>1095</v>
      </c>
      <c r="AH404"/>
      <c r="AT404"/>
    </row>
    <row r="405" spans="1:46">
      <c r="A405" t="s">
        <v>1067</v>
      </c>
      <c r="B405" s="10">
        <v>45442</v>
      </c>
      <c r="C405" s="10" t="str">
        <f>UPPER(TEXT(B405, "[$-en-US]mmmm"))</f>
        <v>MAY</v>
      </c>
      <c r="D405" s="41">
        <f>YEAR(B405)</f>
        <v>2024</v>
      </c>
      <c r="E405" s="10" t="str">
        <f>VLOOKUP(A405,Sheet2!A:B,2,0)</f>
        <v>EMEA</v>
      </c>
      <c r="F405" t="s">
        <v>13</v>
      </c>
      <c r="G405" t="s">
        <v>1096</v>
      </c>
      <c r="H405" t="s">
        <v>1692</v>
      </c>
      <c r="I405" t="s">
        <v>593</v>
      </c>
      <c r="J405" s="15">
        <v>-46048.32</v>
      </c>
      <c r="K405" s="12">
        <v>-53851.207999999999</v>
      </c>
      <c r="L405" s="12">
        <v>66.238</v>
      </c>
      <c r="M405" s="12">
        <v>-66.238</v>
      </c>
      <c r="N405" t="s">
        <v>1097</v>
      </c>
      <c r="O405" t="s">
        <v>829</v>
      </c>
      <c r="P405" t="s">
        <v>14</v>
      </c>
      <c r="AH405"/>
      <c r="AT405"/>
    </row>
    <row r="406" spans="1:46">
      <c r="A406" t="s">
        <v>1098</v>
      </c>
      <c r="B406" s="10">
        <v>46099</v>
      </c>
      <c r="C406" s="10" t="str">
        <f>UPPER(TEXT(B406, "[$-en-US]mmmm"))</f>
        <v>MARCH</v>
      </c>
      <c r="D406" s="41">
        <f>YEAR(B406)</f>
        <v>2026</v>
      </c>
      <c r="E406" s="10" t="str">
        <f>VLOOKUP(A406,Sheet2!A:B,2,0)</f>
        <v>EMEA</v>
      </c>
      <c r="F406" t="s">
        <v>13</v>
      </c>
      <c r="G406" t="s">
        <v>1099</v>
      </c>
      <c r="H406" t="s">
        <v>14</v>
      </c>
      <c r="I406" t="s">
        <v>1100</v>
      </c>
      <c r="J406" s="20">
        <v>-839547.45</v>
      </c>
      <c r="K406" s="12">
        <v>-228603.73300000001</v>
      </c>
      <c r="L406" s="12">
        <v>228603.73300000001</v>
      </c>
      <c r="M406" s="12">
        <v>-318643.51400000002</v>
      </c>
      <c r="N406" t="s">
        <v>1101</v>
      </c>
      <c r="O406" t="s">
        <v>975</v>
      </c>
      <c r="P406" t="s">
        <v>1102</v>
      </c>
      <c r="AH406"/>
      <c r="AT406"/>
    </row>
    <row r="407" spans="1:46">
      <c r="A407" t="s">
        <v>1098</v>
      </c>
      <c r="B407" s="10">
        <v>45938</v>
      </c>
      <c r="C407" s="10" t="str">
        <f>UPPER(TEXT(B407, "[$-en-US]mmmm"))</f>
        <v>OCTOBER</v>
      </c>
      <c r="D407" s="41">
        <f>YEAR(B407)</f>
        <v>2025</v>
      </c>
      <c r="E407" s="10" t="str">
        <f>VLOOKUP(A407,Sheet2!A:B,2,0)</f>
        <v>EMEA</v>
      </c>
      <c r="F407" t="s">
        <v>13</v>
      </c>
      <c r="G407" t="s">
        <v>1103</v>
      </c>
      <c r="H407" t="s">
        <v>1694</v>
      </c>
      <c r="I407" t="s">
        <v>15</v>
      </c>
      <c r="J407" s="11">
        <v>-45028</v>
      </c>
      <c r="K407" s="12">
        <v>-44788.898999999998</v>
      </c>
      <c r="L407" s="12">
        <v>43595.271000000001</v>
      </c>
      <c r="M407" s="12">
        <v>-43595.271000000001</v>
      </c>
      <c r="N407" t="s">
        <v>1104</v>
      </c>
      <c r="O407" t="s">
        <v>975</v>
      </c>
      <c r="P407" t="s">
        <v>1105</v>
      </c>
      <c r="AH407"/>
      <c r="AT407"/>
    </row>
    <row r="408" spans="1:46">
      <c r="A408" t="s">
        <v>1098</v>
      </c>
      <c r="B408" s="10">
        <v>45903</v>
      </c>
      <c r="C408" s="10" t="str">
        <f>UPPER(TEXT(B408, "[$-en-US]mmmm"))</f>
        <v>SEPTEMBER</v>
      </c>
      <c r="D408" s="41">
        <f>YEAR(B408)</f>
        <v>2025</v>
      </c>
      <c r="E408" s="10" t="str">
        <f>VLOOKUP(A408,Sheet2!A:B,2,0)</f>
        <v>EMEA</v>
      </c>
      <c r="F408" t="s">
        <v>13</v>
      </c>
      <c r="G408" t="s">
        <v>1106</v>
      </c>
      <c r="H408" t="s">
        <v>14</v>
      </c>
      <c r="I408" t="s">
        <v>15</v>
      </c>
      <c r="J408" s="11">
        <v>-20746</v>
      </c>
      <c r="K408" s="12">
        <v>-20635.839</v>
      </c>
      <c r="L408" s="12">
        <v>20635.839</v>
      </c>
      <c r="M408" s="12">
        <v>-20635.839</v>
      </c>
      <c r="N408" t="s">
        <v>1107</v>
      </c>
      <c r="O408" t="s">
        <v>975</v>
      </c>
      <c r="P408" t="s">
        <v>1108</v>
      </c>
      <c r="AH408"/>
      <c r="AT408"/>
    </row>
    <row r="409" spans="1:46">
      <c r="A409" t="s">
        <v>1098</v>
      </c>
      <c r="B409" s="10">
        <v>45836</v>
      </c>
      <c r="C409" s="10" t="str">
        <f>UPPER(TEXT(B409, "[$-en-US]mmmm"))</f>
        <v>JUNE</v>
      </c>
      <c r="D409" s="41">
        <f>YEAR(B409)</f>
        <v>2025</v>
      </c>
      <c r="E409" s="10" t="str">
        <f>VLOOKUP(A409,Sheet2!A:B,2,0)</f>
        <v>EMEA</v>
      </c>
      <c r="F409" t="s">
        <v>13</v>
      </c>
      <c r="G409" t="s">
        <v>1109</v>
      </c>
      <c r="H409" t="s">
        <v>14</v>
      </c>
      <c r="I409" t="s">
        <v>1100</v>
      </c>
      <c r="J409" s="20">
        <v>-63598.73</v>
      </c>
      <c r="K409" s="12">
        <v>-17317.553</v>
      </c>
      <c r="L409" s="12">
        <v>17317.553</v>
      </c>
      <c r="M409" s="12">
        <v>-318643.51400000002</v>
      </c>
      <c r="N409" t="s">
        <v>1101</v>
      </c>
      <c r="O409" t="s">
        <v>975</v>
      </c>
      <c r="P409" t="s">
        <v>1110</v>
      </c>
      <c r="AH409"/>
      <c r="AT409"/>
    </row>
    <row r="410" spans="1:46">
      <c r="A410" t="s">
        <v>1098</v>
      </c>
      <c r="B410" s="10">
        <v>45288</v>
      </c>
      <c r="C410" s="10" t="str">
        <f>UPPER(TEXT(B410, "[$-en-US]mmmm"))</f>
        <v>DECEMBER</v>
      </c>
      <c r="D410" s="41">
        <f>YEAR(B410)</f>
        <v>2023</v>
      </c>
      <c r="E410" s="10" t="str">
        <f>VLOOKUP(A410,Sheet2!A:B,2,0)</f>
        <v>EMEA</v>
      </c>
      <c r="F410" t="s">
        <v>13</v>
      </c>
      <c r="G410" t="s">
        <v>1111</v>
      </c>
      <c r="H410" t="s">
        <v>14</v>
      </c>
      <c r="I410" t="s">
        <v>1100</v>
      </c>
      <c r="J410" s="20">
        <v>-39195</v>
      </c>
      <c r="K410" s="12">
        <v>-10672.563</v>
      </c>
      <c r="L410" s="12">
        <v>10672.563</v>
      </c>
      <c r="M410" s="12">
        <v>-318643.51400000002</v>
      </c>
      <c r="N410" t="s">
        <v>1101</v>
      </c>
      <c r="O410" t="s">
        <v>975</v>
      </c>
      <c r="P410" t="s">
        <v>1112</v>
      </c>
      <c r="AH410"/>
      <c r="AT410"/>
    </row>
    <row r="411" spans="1:46">
      <c r="A411" t="s">
        <v>1098</v>
      </c>
      <c r="B411" s="10">
        <v>44678</v>
      </c>
      <c r="C411" s="10" t="str">
        <f>UPPER(TEXT(B411, "[$-en-US]mmmm"))</f>
        <v>APRIL</v>
      </c>
      <c r="D411" s="41">
        <f>YEAR(B411)</f>
        <v>2022</v>
      </c>
      <c r="E411" s="10" t="str">
        <f>VLOOKUP(A411,Sheet2!A:B,2,0)</f>
        <v>EMEA</v>
      </c>
      <c r="F411" t="s">
        <v>13</v>
      </c>
      <c r="G411" t="s">
        <v>1113</v>
      </c>
      <c r="H411" t="s">
        <v>14</v>
      </c>
      <c r="I411" t="s">
        <v>1100</v>
      </c>
      <c r="J411" s="20">
        <v>-38980</v>
      </c>
      <c r="K411" s="12">
        <v>-10614.02</v>
      </c>
      <c r="L411" s="12">
        <v>10614.02</v>
      </c>
      <c r="M411" s="12">
        <v>-318643.51400000002</v>
      </c>
      <c r="N411" t="s">
        <v>1101</v>
      </c>
      <c r="O411" t="s">
        <v>975</v>
      </c>
      <c r="P411" t="s">
        <v>1114</v>
      </c>
      <c r="AH411"/>
      <c r="AT411"/>
    </row>
    <row r="412" spans="1:46">
      <c r="A412" t="s">
        <v>1098</v>
      </c>
      <c r="B412" s="10">
        <v>45205</v>
      </c>
      <c r="C412" s="10" t="str">
        <f>UPPER(TEXT(B412, "[$-en-US]mmmm"))</f>
        <v>OCTOBER</v>
      </c>
      <c r="D412" s="41">
        <f>YEAR(B412)</f>
        <v>2023</v>
      </c>
      <c r="E412" s="10" t="str">
        <f>VLOOKUP(A412,Sheet2!A:B,2,0)</f>
        <v>EMEA</v>
      </c>
      <c r="F412" t="s">
        <v>13</v>
      </c>
      <c r="G412" t="s">
        <v>1115</v>
      </c>
      <c r="H412" t="s">
        <v>14</v>
      </c>
      <c r="I412" t="s">
        <v>1100</v>
      </c>
      <c r="J412" s="20">
        <v>-35898</v>
      </c>
      <c r="K412" s="12">
        <v>-9774.81</v>
      </c>
      <c r="L412" s="12">
        <v>9774.81</v>
      </c>
      <c r="M412" s="12">
        <v>-318643.51400000002</v>
      </c>
      <c r="N412" t="s">
        <v>1101</v>
      </c>
      <c r="O412" t="s">
        <v>975</v>
      </c>
      <c r="P412" t="s">
        <v>1116</v>
      </c>
      <c r="AH412"/>
      <c r="AT412"/>
    </row>
    <row r="413" spans="1:46">
      <c r="A413" t="s">
        <v>1098</v>
      </c>
      <c r="B413" s="10">
        <v>45421</v>
      </c>
      <c r="C413" s="10" t="str">
        <f>UPPER(TEXT(B413, "[$-en-US]mmmm"))</f>
        <v>MAY</v>
      </c>
      <c r="D413" s="41">
        <f>YEAR(B413)</f>
        <v>2024</v>
      </c>
      <c r="E413" s="10" t="str">
        <f>VLOOKUP(A413,Sheet2!A:B,2,0)</f>
        <v>EMEA</v>
      </c>
      <c r="F413" t="s">
        <v>13</v>
      </c>
      <c r="G413" t="s">
        <v>1117</v>
      </c>
      <c r="H413" t="s">
        <v>14</v>
      </c>
      <c r="I413" t="s">
        <v>1100</v>
      </c>
      <c r="J413" s="20">
        <v>-34198</v>
      </c>
      <c r="K413" s="12">
        <v>-9311.91</v>
      </c>
      <c r="L413" s="12">
        <v>9311.91</v>
      </c>
      <c r="M413" s="12">
        <v>-318643.51400000002</v>
      </c>
      <c r="N413" t="s">
        <v>1101</v>
      </c>
      <c r="O413" t="s">
        <v>975</v>
      </c>
      <c r="P413" t="s">
        <v>1118</v>
      </c>
      <c r="AH413"/>
      <c r="AT413"/>
    </row>
    <row r="414" spans="1:46">
      <c r="A414" t="s">
        <v>1098</v>
      </c>
      <c r="B414" s="10">
        <v>45405</v>
      </c>
      <c r="C414" s="10" t="str">
        <f>UPPER(TEXT(B414, "[$-en-US]mmmm"))</f>
        <v>APRIL</v>
      </c>
      <c r="D414" s="41">
        <f>YEAR(B414)</f>
        <v>2024</v>
      </c>
      <c r="E414" s="10" t="str">
        <f>VLOOKUP(A414,Sheet2!A:B,2,0)</f>
        <v>EMEA</v>
      </c>
      <c r="F414" t="s">
        <v>13</v>
      </c>
      <c r="G414" t="s">
        <v>1119</v>
      </c>
      <c r="H414" t="s">
        <v>14</v>
      </c>
      <c r="I414" t="s">
        <v>1100</v>
      </c>
      <c r="J414" s="20">
        <v>-30086.87</v>
      </c>
      <c r="K414" s="12">
        <v>-8192.4740000000002</v>
      </c>
      <c r="L414" s="12">
        <v>8192.4740000000002</v>
      </c>
      <c r="M414" s="12">
        <v>-318643.51400000002</v>
      </c>
      <c r="N414" t="s">
        <v>1101</v>
      </c>
      <c r="O414" t="s">
        <v>975</v>
      </c>
      <c r="P414" t="s">
        <v>1120</v>
      </c>
      <c r="AH414"/>
      <c r="AT414"/>
    </row>
    <row r="415" spans="1:46">
      <c r="A415" t="s">
        <v>1098</v>
      </c>
      <c r="B415" s="10">
        <v>45840</v>
      </c>
      <c r="C415" s="10" t="str">
        <f>UPPER(TEXT(B415, "[$-en-US]mmmm"))</f>
        <v>JULY</v>
      </c>
      <c r="D415" s="41">
        <f>YEAR(B415)</f>
        <v>2025</v>
      </c>
      <c r="E415" s="10" t="str">
        <f>VLOOKUP(A415,Sheet2!A:B,2,0)</f>
        <v>EMEA</v>
      </c>
      <c r="F415" t="s">
        <v>13</v>
      </c>
      <c r="G415" t="s">
        <v>1121</v>
      </c>
      <c r="H415" t="s">
        <v>14</v>
      </c>
      <c r="I415" t="s">
        <v>1100</v>
      </c>
      <c r="J415" s="20">
        <v>-28402.080000000002</v>
      </c>
      <c r="K415" s="12">
        <v>-7733.7160000000003</v>
      </c>
      <c r="L415" s="12">
        <v>7733.7160000000003</v>
      </c>
      <c r="M415" s="12">
        <v>-318643.51400000002</v>
      </c>
      <c r="N415" t="s">
        <v>1101</v>
      </c>
      <c r="O415" t="s">
        <v>975</v>
      </c>
      <c r="P415" t="s">
        <v>1122</v>
      </c>
      <c r="AH415"/>
      <c r="AT415"/>
    </row>
    <row r="416" spans="1:46">
      <c r="A416" t="s">
        <v>1098</v>
      </c>
      <c r="B416" s="10">
        <v>44965</v>
      </c>
      <c r="C416" s="10" t="str">
        <f>UPPER(TEXT(B416, "[$-en-US]mmmm"))</f>
        <v>FEBRUARY</v>
      </c>
      <c r="D416" s="41">
        <f>YEAR(B416)</f>
        <v>2023</v>
      </c>
      <c r="E416" s="10" t="str">
        <f>VLOOKUP(A416,Sheet2!A:B,2,0)</f>
        <v>EMEA</v>
      </c>
      <c r="F416" t="s">
        <v>13</v>
      </c>
      <c r="G416" t="s">
        <v>1123</v>
      </c>
      <c r="H416" t="s">
        <v>14</v>
      </c>
      <c r="I416" t="s">
        <v>1100</v>
      </c>
      <c r="J416" s="20">
        <v>-24255.919999999998</v>
      </c>
      <c r="K416" s="12">
        <v>-6604.741</v>
      </c>
      <c r="L416" s="12">
        <v>6604.741</v>
      </c>
      <c r="M416" s="12">
        <v>-318643.51400000002</v>
      </c>
      <c r="N416" t="s">
        <v>1101</v>
      </c>
      <c r="O416" t="s">
        <v>975</v>
      </c>
      <c r="P416" t="s">
        <v>1124</v>
      </c>
      <c r="AH416"/>
      <c r="AT416"/>
    </row>
    <row r="417" spans="1:46">
      <c r="A417" t="s">
        <v>1098</v>
      </c>
      <c r="B417" s="10">
        <v>46135</v>
      </c>
      <c r="C417" s="10" t="str">
        <f>UPPER(TEXT(B417, "[$-en-US]mmmm"))</f>
        <v>APRIL</v>
      </c>
      <c r="D417" s="41">
        <f>YEAR(B417)</f>
        <v>2026</v>
      </c>
      <c r="E417" s="10" t="str">
        <f>VLOOKUP(A417,Sheet2!A:B,2,0)</f>
        <v>EMEA</v>
      </c>
      <c r="F417" t="s">
        <v>13</v>
      </c>
      <c r="G417" t="s">
        <v>1125</v>
      </c>
      <c r="H417" t="s">
        <v>1695</v>
      </c>
      <c r="I417" t="s">
        <v>15</v>
      </c>
      <c r="J417" s="11">
        <v>-37058.82</v>
      </c>
      <c r="K417" s="12">
        <v>-37009.178999999996</v>
      </c>
      <c r="L417" s="12">
        <v>5551.375</v>
      </c>
      <c r="M417" s="12">
        <v>-5551.375</v>
      </c>
      <c r="N417" t="s">
        <v>1126</v>
      </c>
      <c r="O417" t="s">
        <v>14</v>
      </c>
      <c r="P417" t="s">
        <v>1127</v>
      </c>
      <c r="AH417"/>
      <c r="AT417"/>
    </row>
    <row r="418" spans="1:46">
      <c r="A418" t="s">
        <v>1098</v>
      </c>
      <c r="B418" s="10">
        <v>46098</v>
      </c>
      <c r="C418" s="10" t="str">
        <f>UPPER(TEXT(B418, "[$-en-US]mmmm"))</f>
        <v>MARCH</v>
      </c>
      <c r="D418" s="41">
        <f>YEAR(B418)</f>
        <v>2026</v>
      </c>
      <c r="E418" s="10" t="str">
        <f>VLOOKUP(A418,Sheet2!A:B,2,0)</f>
        <v>EMEA</v>
      </c>
      <c r="F418" t="s">
        <v>13</v>
      </c>
      <c r="G418" t="s">
        <v>1128</v>
      </c>
      <c r="H418" t="s">
        <v>1696</v>
      </c>
      <c r="I418" t="s">
        <v>15</v>
      </c>
      <c r="J418" s="11">
        <v>-31199.73</v>
      </c>
      <c r="K418" s="12">
        <v>-31199.719000000001</v>
      </c>
      <c r="L418" s="12">
        <v>4699.7290000000003</v>
      </c>
      <c r="M418" s="12">
        <v>43953.078999999998</v>
      </c>
      <c r="N418" t="s">
        <v>1129</v>
      </c>
      <c r="O418" t="s">
        <v>975</v>
      </c>
      <c r="P418" t="s">
        <v>1130</v>
      </c>
      <c r="AH418"/>
      <c r="AT418"/>
    </row>
    <row r="419" spans="1:46">
      <c r="A419" t="s">
        <v>1098</v>
      </c>
      <c r="B419" s="10">
        <v>46141</v>
      </c>
      <c r="C419" s="10" t="str">
        <f>UPPER(TEXT(B419, "[$-en-US]mmmm"))</f>
        <v>APRIL</v>
      </c>
      <c r="D419" s="41">
        <f>YEAR(B419)</f>
        <v>2026</v>
      </c>
      <c r="E419" s="10" t="str">
        <f>VLOOKUP(A419,Sheet2!A:B,2,0)</f>
        <v>EMEA</v>
      </c>
      <c r="F419" t="s">
        <v>13</v>
      </c>
      <c r="G419" t="s">
        <v>1131</v>
      </c>
      <c r="H419" t="s">
        <v>1697</v>
      </c>
      <c r="I419" t="s">
        <v>15</v>
      </c>
      <c r="J419" s="11">
        <v>-30956</v>
      </c>
      <c r="K419" s="12">
        <v>-30791.624</v>
      </c>
      <c r="L419" s="12">
        <v>4584.8649999999998</v>
      </c>
      <c r="M419" s="12">
        <v>-4584.8649999999998</v>
      </c>
      <c r="N419" t="s">
        <v>1132</v>
      </c>
      <c r="O419" t="s">
        <v>975</v>
      </c>
      <c r="P419" t="s">
        <v>1133</v>
      </c>
      <c r="AH419"/>
      <c r="AT419"/>
    </row>
    <row r="420" spans="1:46">
      <c r="A420" t="s">
        <v>1098</v>
      </c>
      <c r="B420" s="10">
        <v>46098</v>
      </c>
      <c r="C420" s="10" t="str">
        <f>UPPER(TEXT(B420, "[$-en-US]mmmm"))</f>
        <v>MARCH</v>
      </c>
      <c r="D420" s="41">
        <f>YEAR(B420)</f>
        <v>2026</v>
      </c>
      <c r="E420" s="10" t="str">
        <f>VLOOKUP(A420,Sheet2!A:B,2,0)</f>
        <v>EMEA</v>
      </c>
      <c r="F420" t="s">
        <v>13</v>
      </c>
      <c r="G420" t="s">
        <v>1134</v>
      </c>
      <c r="H420" t="s">
        <v>1698</v>
      </c>
      <c r="I420" t="s">
        <v>15</v>
      </c>
      <c r="J420" s="11">
        <v>-43656.67</v>
      </c>
      <c r="K420" s="12">
        <v>-43424.853999999999</v>
      </c>
      <c r="L420" s="12">
        <v>4333.5370000000003</v>
      </c>
      <c r="M420" s="12">
        <v>-4333.5370000000003</v>
      </c>
      <c r="N420" t="s">
        <v>1135</v>
      </c>
      <c r="O420" t="s">
        <v>975</v>
      </c>
      <c r="P420" t="s">
        <v>1136</v>
      </c>
      <c r="AH420"/>
      <c r="AT420"/>
    </row>
    <row r="421" spans="1:46">
      <c r="A421" t="s">
        <v>1098</v>
      </c>
      <c r="B421" s="10">
        <v>46084</v>
      </c>
      <c r="C421" s="10" t="str">
        <f>UPPER(TEXT(B421, "[$-en-US]mmmm"))</f>
        <v>MARCH</v>
      </c>
      <c r="D421" s="41">
        <f>YEAR(B421)</f>
        <v>2026</v>
      </c>
      <c r="E421" s="10" t="str">
        <f>VLOOKUP(A421,Sheet2!A:B,2,0)</f>
        <v>EMEA</v>
      </c>
      <c r="F421" t="s">
        <v>13</v>
      </c>
      <c r="G421" t="s">
        <v>1137</v>
      </c>
      <c r="H421" t="s">
        <v>14</v>
      </c>
      <c r="I421" t="s">
        <v>1100</v>
      </c>
      <c r="J421" s="20">
        <v>-14721.59</v>
      </c>
      <c r="K421" s="12">
        <v>-4008.6010000000001</v>
      </c>
      <c r="L421" s="12">
        <v>4008.6010000000001</v>
      </c>
      <c r="M421" s="12">
        <v>-318643.51400000002</v>
      </c>
      <c r="N421" t="s">
        <v>1101</v>
      </c>
      <c r="O421" t="s">
        <v>975</v>
      </c>
      <c r="P421" t="s">
        <v>1138</v>
      </c>
      <c r="AH421"/>
      <c r="AT421"/>
    </row>
    <row r="422" spans="1:46">
      <c r="A422" t="s">
        <v>1098</v>
      </c>
      <c r="B422" s="10">
        <v>45630</v>
      </c>
      <c r="C422" s="10" t="str">
        <f>UPPER(TEXT(B422, "[$-en-US]mmmm"))</f>
        <v>DECEMBER</v>
      </c>
      <c r="D422" s="41">
        <f>YEAR(B422)</f>
        <v>2024</v>
      </c>
      <c r="E422" s="10" t="str">
        <f>VLOOKUP(A422,Sheet2!A:B,2,0)</f>
        <v>EMEA</v>
      </c>
      <c r="F422" t="s">
        <v>13</v>
      </c>
      <c r="G422" t="s">
        <v>1139</v>
      </c>
      <c r="H422" t="s">
        <v>14</v>
      </c>
      <c r="I422" t="s">
        <v>1100</v>
      </c>
      <c r="J422" s="20">
        <v>-14720</v>
      </c>
      <c r="K422" s="12">
        <v>-4008.1680000000001</v>
      </c>
      <c r="L422" s="12">
        <v>4008.1680000000001</v>
      </c>
      <c r="M422" s="12">
        <v>-318643.51400000002</v>
      </c>
      <c r="N422" t="s">
        <v>1101</v>
      </c>
      <c r="O422" t="s">
        <v>975</v>
      </c>
      <c r="P422" t="s">
        <v>1140</v>
      </c>
      <c r="AH422"/>
      <c r="AT422"/>
    </row>
    <row r="423" spans="1:46">
      <c r="A423" t="s">
        <v>1098</v>
      </c>
      <c r="B423" s="10">
        <v>46058</v>
      </c>
      <c r="C423" s="10" t="str">
        <f>UPPER(TEXT(B423, "[$-en-US]mmmm"))</f>
        <v>FEBRUARY</v>
      </c>
      <c r="D423" s="41">
        <f>YEAR(B423)</f>
        <v>2026</v>
      </c>
      <c r="E423" s="10" t="str">
        <f>VLOOKUP(A423,Sheet2!A:B,2,0)</f>
        <v>EMEA</v>
      </c>
      <c r="F423" t="s">
        <v>13</v>
      </c>
      <c r="G423" t="s">
        <v>1141</v>
      </c>
      <c r="H423" t="s">
        <v>1699</v>
      </c>
      <c r="I423" t="s">
        <v>15</v>
      </c>
      <c r="J423" s="11">
        <v>-40000</v>
      </c>
      <c r="K423" s="12">
        <v>-39787.599000000002</v>
      </c>
      <c r="L423" s="12">
        <v>3978.76</v>
      </c>
      <c r="M423" s="12">
        <v>-4346.7950000000001</v>
      </c>
      <c r="N423" t="s">
        <v>1142</v>
      </c>
      <c r="O423" t="s">
        <v>975</v>
      </c>
      <c r="P423" t="s">
        <v>1143</v>
      </c>
      <c r="AH423"/>
      <c r="AT423"/>
    </row>
    <row r="424" spans="1:46">
      <c r="A424" t="s">
        <v>1098</v>
      </c>
      <c r="B424" s="10">
        <v>46086</v>
      </c>
      <c r="C424" s="10" t="str">
        <f>UPPER(TEXT(B424, "[$-en-US]mmmm"))</f>
        <v>MARCH</v>
      </c>
      <c r="D424" s="41">
        <f>YEAR(B424)</f>
        <v>2026</v>
      </c>
      <c r="E424" s="10" t="str">
        <f>VLOOKUP(A424,Sheet2!A:B,2,0)</f>
        <v>EMEA</v>
      </c>
      <c r="F424" t="s">
        <v>13</v>
      </c>
      <c r="G424" t="s">
        <v>1144</v>
      </c>
      <c r="H424" t="s">
        <v>1700</v>
      </c>
      <c r="I424" t="s">
        <v>15</v>
      </c>
      <c r="J424" s="11">
        <v>-18519.400000000001</v>
      </c>
      <c r="K424" s="12">
        <v>-18421.062000000002</v>
      </c>
      <c r="L424" s="12">
        <v>2754.6950000000002</v>
      </c>
      <c r="M424" s="12">
        <v>-2754.6950000000002</v>
      </c>
      <c r="N424" t="s">
        <v>1145</v>
      </c>
      <c r="O424" t="s">
        <v>975</v>
      </c>
      <c r="P424" t="s">
        <v>1146</v>
      </c>
      <c r="AH424"/>
      <c r="AT424"/>
    </row>
    <row r="425" spans="1:46">
      <c r="A425" t="s">
        <v>1098</v>
      </c>
      <c r="B425" s="10">
        <v>46024</v>
      </c>
      <c r="C425" s="10" t="str">
        <f>UPPER(TEXT(B425, "[$-en-US]mmmm"))</f>
        <v>JANUARY</v>
      </c>
      <c r="D425" s="41">
        <f>YEAR(B425)</f>
        <v>2026</v>
      </c>
      <c r="E425" s="10" t="str">
        <f>VLOOKUP(A425,Sheet2!A:B,2,0)</f>
        <v>EMEA</v>
      </c>
      <c r="F425" t="s">
        <v>13</v>
      </c>
      <c r="G425" t="s">
        <v>1147</v>
      </c>
      <c r="H425" t="s">
        <v>14</v>
      </c>
      <c r="I425" t="s">
        <v>1100</v>
      </c>
      <c r="J425" s="20">
        <v>-6615</v>
      </c>
      <c r="K425" s="12">
        <v>-1801.2249999999999</v>
      </c>
      <c r="L425" s="12">
        <v>1801.2249999999999</v>
      </c>
      <c r="M425" s="12">
        <v>-318643.51400000002</v>
      </c>
      <c r="N425" t="s">
        <v>1101</v>
      </c>
      <c r="O425" t="s">
        <v>975</v>
      </c>
      <c r="P425" t="s">
        <v>1148</v>
      </c>
      <c r="AH425"/>
      <c r="AT425"/>
    </row>
    <row r="426" spans="1:46">
      <c r="A426" t="s">
        <v>1098</v>
      </c>
      <c r="B426" s="10">
        <v>46084</v>
      </c>
      <c r="C426" s="10" t="str">
        <f>UPPER(TEXT(B426, "[$-en-US]mmmm"))</f>
        <v>MARCH</v>
      </c>
      <c r="D426" s="41">
        <f>YEAR(B426)</f>
        <v>2026</v>
      </c>
      <c r="E426" s="10" t="str">
        <f>VLOOKUP(A426,Sheet2!A:B,2,0)</f>
        <v>EMEA</v>
      </c>
      <c r="F426" t="s">
        <v>13</v>
      </c>
      <c r="G426" t="s">
        <v>1149</v>
      </c>
      <c r="H426" t="s">
        <v>1701</v>
      </c>
      <c r="I426" t="s">
        <v>15</v>
      </c>
      <c r="J426" s="11">
        <v>-12131.48</v>
      </c>
      <c r="K426" s="12">
        <v>-12067.063</v>
      </c>
      <c r="L426" s="12">
        <v>1535.047</v>
      </c>
      <c r="M426" s="12">
        <v>-1535.047</v>
      </c>
      <c r="N426" t="s">
        <v>1150</v>
      </c>
      <c r="O426" t="s">
        <v>975</v>
      </c>
      <c r="P426" t="s">
        <v>1151</v>
      </c>
      <c r="AH426"/>
      <c r="AT426"/>
    </row>
    <row r="427" spans="1:46">
      <c r="A427" t="s">
        <v>1098</v>
      </c>
      <c r="B427" s="10">
        <v>44795</v>
      </c>
      <c r="C427" s="10" t="str">
        <f>UPPER(TEXT(B427, "[$-en-US]mmmm"))</f>
        <v>AUGUST</v>
      </c>
      <c r="D427" s="41">
        <f>YEAR(B427)</f>
        <v>2022</v>
      </c>
      <c r="E427" s="10" t="str">
        <f>VLOOKUP(A427,Sheet2!A:B,2,0)</f>
        <v>EMEA</v>
      </c>
      <c r="F427" t="s">
        <v>13</v>
      </c>
      <c r="G427" t="s">
        <v>1152</v>
      </c>
      <c r="H427" t="s">
        <v>14</v>
      </c>
      <c r="I427" t="s">
        <v>15</v>
      </c>
      <c r="J427" s="11">
        <v>-1010</v>
      </c>
      <c r="K427" s="12">
        <v>-1168.9770000000001</v>
      </c>
      <c r="L427" s="12">
        <v>1168.9770000000001</v>
      </c>
      <c r="M427" s="12">
        <v>-1168.9770000000001</v>
      </c>
      <c r="N427" t="s">
        <v>1153</v>
      </c>
      <c r="O427" t="s">
        <v>975</v>
      </c>
      <c r="P427" t="s">
        <v>1154</v>
      </c>
      <c r="AH427"/>
      <c r="AT427"/>
    </row>
    <row r="428" spans="1:46">
      <c r="A428" t="s">
        <v>1098</v>
      </c>
      <c r="B428" s="10">
        <v>46059</v>
      </c>
      <c r="C428" s="10" t="str">
        <f>UPPER(TEXT(B428, "[$-en-US]mmmm"))</f>
        <v>FEBRUARY</v>
      </c>
      <c r="D428" s="41">
        <f>YEAR(B428)</f>
        <v>2026</v>
      </c>
      <c r="E428" s="10" t="str">
        <f>VLOOKUP(A428,Sheet2!A:B,2,0)</f>
        <v>EMEA</v>
      </c>
      <c r="F428" t="s">
        <v>13</v>
      </c>
      <c r="G428" t="s">
        <v>1155</v>
      </c>
      <c r="H428" t="s">
        <v>1702</v>
      </c>
      <c r="I428" t="s">
        <v>15</v>
      </c>
      <c r="J428" s="11">
        <v>-7385.29</v>
      </c>
      <c r="K428" s="12">
        <v>-7346.0730000000003</v>
      </c>
      <c r="L428" s="12">
        <v>1059.6320000000001</v>
      </c>
      <c r="M428" s="12">
        <v>-1059.6320000000001</v>
      </c>
      <c r="N428" t="s">
        <v>1156</v>
      </c>
      <c r="O428" t="s">
        <v>975</v>
      </c>
      <c r="P428" t="s">
        <v>1157</v>
      </c>
      <c r="AH428"/>
      <c r="AT428"/>
    </row>
    <row r="429" spans="1:46">
      <c r="A429" t="s">
        <v>1098</v>
      </c>
      <c r="B429" s="10">
        <v>46090</v>
      </c>
      <c r="C429" s="10" t="str">
        <f>UPPER(TEXT(B429, "[$-en-US]mmmm"))</f>
        <v>MARCH</v>
      </c>
      <c r="D429" s="41">
        <f>YEAR(B429)</f>
        <v>2026</v>
      </c>
      <c r="E429" s="10" t="str">
        <f>VLOOKUP(A429,Sheet2!A:B,2,0)</f>
        <v>EMEA</v>
      </c>
      <c r="F429" t="s">
        <v>13</v>
      </c>
      <c r="G429" t="s">
        <v>1158</v>
      </c>
      <c r="H429" t="s">
        <v>1703</v>
      </c>
      <c r="I429" t="s">
        <v>15</v>
      </c>
      <c r="J429" s="11">
        <v>-5986.29</v>
      </c>
      <c r="K429" s="12">
        <v>-5954.5060000000003</v>
      </c>
      <c r="L429" s="12">
        <v>782.11599999999999</v>
      </c>
      <c r="M429" s="12">
        <v>48970.81</v>
      </c>
      <c r="N429" t="s">
        <v>1159</v>
      </c>
      <c r="O429" t="s">
        <v>975</v>
      </c>
      <c r="P429" t="s">
        <v>1160</v>
      </c>
      <c r="AH429"/>
      <c r="AT429"/>
    </row>
    <row r="430" spans="1:46">
      <c r="A430" t="s">
        <v>1098</v>
      </c>
      <c r="B430" s="10">
        <v>46127</v>
      </c>
      <c r="C430" s="10" t="str">
        <f>UPPER(TEXT(B430, "[$-en-US]mmmm"))</f>
        <v>APRIL</v>
      </c>
      <c r="D430" s="41">
        <f>YEAR(B430)</f>
        <v>2026</v>
      </c>
      <c r="E430" s="10" t="str">
        <f>VLOOKUP(A430,Sheet2!A:B,2,0)</f>
        <v>EMEA</v>
      </c>
      <c r="F430" t="s">
        <v>13</v>
      </c>
      <c r="G430" t="s">
        <v>1161</v>
      </c>
      <c r="H430" t="s">
        <v>1704</v>
      </c>
      <c r="I430" t="s">
        <v>15</v>
      </c>
      <c r="J430" s="11">
        <v>-3700</v>
      </c>
      <c r="K430" s="12">
        <v>-3680.3530000000001</v>
      </c>
      <c r="L430" s="12">
        <v>368.03500000000003</v>
      </c>
      <c r="M430" s="12">
        <v>-4346.7950000000001</v>
      </c>
      <c r="N430" t="s">
        <v>1142</v>
      </c>
      <c r="O430" t="s">
        <v>975</v>
      </c>
      <c r="P430" t="s">
        <v>1162</v>
      </c>
      <c r="AH430"/>
      <c r="AT430"/>
    </row>
    <row r="431" spans="1:46">
      <c r="A431" t="s">
        <v>1098</v>
      </c>
      <c r="B431" s="10">
        <v>46029</v>
      </c>
      <c r="C431" s="10" t="str">
        <f>UPPER(TEXT(B431, "[$-en-US]mmmm"))</f>
        <v>JANUARY</v>
      </c>
      <c r="D431" s="41">
        <f>YEAR(B431)</f>
        <v>2026</v>
      </c>
      <c r="E431" s="10" t="str">
        <f>VLOOKUP(A431,Sheet2!A:B,2,0)</f>
        <v>EMEA</v>
      </c>
      <c r="F431" t="s">
        <v>13</v>
      </c>
      <c r="G431" t="s">
        <v>1163</v>
      </c>
      <c r="H431" t="s">
        <v>1705</v>
      </c>
      <c r="I431" t="s">
        <v>1100</v>
      </c>
      <c r="J431" s="20">
        <v>-119420.61</v>
      </c>
      <c r="K431" s="12">
        <v>-32517.516</v>
      </c>
      <c r="L431" s="12">
        <v>323.35500000000002</v>
      </c>
      <c r="M431" s="12">
        <v>-323.35500000000002</v>
      </c>
      <c r="N431" t="s">
        <v>1164</v>
      </c>
      <c r="O431" t="s">
        <v>975</v>
      </c>
      <c r="P431" t="s">
        <v>1165</v>
      </c>
      <c r="AH431"/>
      <c r="AT431"/>
    </row>
    <row r="432" spans="1:46">
      <c r="A432" t="s">
        <v>1098</v>
      </c>
      <c r="B432" s="10">
        <v>45742</v>
      </c>
      <c r="C432" s="10" t="str">
        <f>UPPER(TEXT(B432, "[$-en-US]mmmm"))</f>
        <v>MARCH</v>
      </c>
      <c r="D432" s="41">
        <f>YEAR(B432)</f>
        <v>2025</v>
      </c>
      <c r="E432" s="10" t="str">
        <f>VLOOKUP(A432,Sheet2!A:B,2,0)</f>
        <v>EMEA</v>
      </c>
      <c r="F432" t="s">
        <v>13</v>
      </c>
      <c r="G432" t="s">
        <v>1166</v>
      </c>
      <c r="H432" t="s">
        <v>1706</v>
      </c>
      <c r="I432" t="s">
        <v>1100</v>
      </c>
      <c r="J432" s="20">
        <v>-50690.85</v>
      </c>
      <c r="K432" s="12">
        <v>-13802.814</v>
      </c>
      <c r="L432" s="12">
        <v>3.0000000000000001E-3</v>
      </c>
      <c r="M432" s="12">
        <v>-3.0000000000000001E-3</v>
      </c>
      <c r="N432" t="s">
        <v>1167</v>
      </c>
      <c r="O432" t="s">
        <v>975</v>
      </c>
      <c r="P432" t="s">
        <v>14</v>
      </c>
      <c r="AH432"/>
      <c r="AT432"/>
    </row>
    <row r="433" spans="1:46">
      <c r="A433" t="s">
        <v>1168</v>
      </c>
      <c r="B433" s="10">
        <v>45266</v>
      </c>
      <c r="C433" s="10" t="str">
        <f>UPPER(TEXT(B433, "[$-en-US]mmmm"))</f>
        <v>DECEMBER</v>
      </c>
      <c r="D433" s="41">
        <f>YEAR(B433)</f>
        <v>2023</v>
      </c>
      <c r="E433" s="10" t="str">
        <f>VLOOKUP(A433,Sheet2!A:B,2,0)</f>
        <v>EMEA</v>
      </c>
      <c r="F433" t="s">
        <v>13</v>
      </c>
      <c r="G433" t="s">
        <v>1169</v>
      </c>
      <c r="H433" t="s">
        <v>14</v>
      </c>
      <c r="I433" t="s">
        <v>1170</v>
      </c>
      <c r="J433" s="21">
        <v>-71801</v>
      </c>
      <c r="K433" s="12">
        <v>-4279.8999999999996</v>
      </c>
      <c r="L433" s="12">
        <v>4279.8999999999996</v>
      </c>
      <c r="M433" s="12">
        <v>-7507.7089999999998</v>
      </c>
      <c r="N433" t="s">
        <v>1171</v>
      </c>
      <c r="O433" t="s">
        <v>790</v>
      </c>
      <c r="P433" t="s">
        <v>1172</v>
      </c>
      <c r="AH433"/>
      <c r="AT433"/>
    </row>
    <row r="434" spans="1:46">
      <c r="A434" t="s">
        <v>1168</v>
      </c>
      <c r="B434" s="10">
        <v>45306</v>
      </c>
      <c r="C434" s="10" t="str">
        <f>UPPER(TEXT(B434, "[$-en-US]mmmm"))</f>
        <v>JANUARY</v>
      </c>
      <c r="D434" s="41">
        <f>YEAR(B434)</f>
        <v>2024</v>
      </c>
      <c r="E434" s="10" t="str">
        <f>VLOOKUP(A434,Sheet2!A:B,2,0)</f>
        <v>EMEA</v>
      </c>
      <c r="F434" t="s">
        <v>13</v>
      </c>
      <c r="G434" t="s">
        <v>1173</v>
      </c>
      <c r="H434" t="s">
        <v>14</v>
      </c>
      <c r="I434" t="s">
        <v>1170</v>
      </c>
      <c r="J434" s="21">
        <v>-47311.8</v>
      </c>
      <c r="K434" s="12">
        <v>-2820.152</v>
      </c>
      <c r="L434" s="12">
        <v>2820.152</v>
      </c>
      <c r="M434" s="12">
        <v>-7507.7089999999998</v>
      </c>
      <c r="N434" t="s">
        <v>1171</v>
      </c>
      <c r="O434" t="s">
        <v>790</v>
      </c>
      <c r="P434" t="s">
        <v>1174</v>
      </c>
      <c r="AH434"/>
      <c r="AT434"/>
    </row>
    <row r="435" spans="1:46">
      <c r="A435" t="s">
        <v>1168</v>
      </c>
      <c r="B435" s="10">
        <v>46038</v>
      </c>
      <c r="C435" s="10" t="str">
        <f>UPPER(TEXT(B435, "[$-en-US]mmmm"))</f>
        <v>JANUARY</v>
      </c>
      <c r="D435" s="41">
        <f>YEAR(B435)</f>
        <v>2026</v>
      </c>
      <c r="E435" s="10" t="str">
        <f>VLOOKUP(A435,Sheet2!A:B,2,0)</f>
        <v>EMEA</v>
      </c>
      <c r="F435" t="s">
        <v>13</v>
      </c>
      <c r="G435" t="s">
        <v>1175</v>
      </c>
      <c r="H435" t="s">
        <v>1707</v>
      </c>
      <c r="I435" t="s">
        <v>1170</v>
      </c>
      <c r="J435" s="21">
        <v>-115000</v>
      </c>
      <c r="K435" s="12">
        <v>-6854.8969999999999</v>
      </c>
      <c r="L435" s="12">
        <v>1713.7239999999999</v>
      </c>
      <c r="M435" s="12">
        <v>-1713.7239999999999</v>
      </c>
      <c r="N435" t="s">
        <v>1176</v>
      </c>
      <c r="O435" t="s">
        <v>1177</v>
      </c>
      <c r="P435" t="s">
        <v>1178</v>
      </c>
      <c r="AH435"/>
      <c r="AT435"/>
    </row>
    <row r="436" spans="1:46">
      <c r="A436" t="s">
        <v>1168</v>
      </c>
      <c r="B436" s="10">
        <v>45869</v>
      </c>
      <c r="C436" s="10" t="str">
        <f>UPPER(TEXT(B436, "[$-en-US]mmmm"))</f>
        <v>JULY</v>
      </c>
      <c r="D436" s="41">
        <f>YEAR(B436)</f>
        <v>2025</v>
      </c>
      <c r="E436" s="10" t="str">
        <f>VLOOKUP(A436,Sheet2!A:B,2,0)</f>
        <v>EMEA</v>
      </c>
      <c r="F436" t="s">
        <v>484</v>
      </c>
      <c r="G436" t="s">
        <v>1179</v>
      </c>
      <c r="H436" t="s">
        <v>1708</v>
      </c>
      <c r="I436" t="s">
        <v>1170</v>
      </c>
      <c r="J436" s="21">
        <v>-74750</v>
      </c>
      <c r="K436" s="12">
        <v>-4455.683</v>
      </c>
      <c r="L436" s="12">
        <v>1370.979</v>
      </c>
      <c r="M436" s="12">
        <v>171.37200000000001</v>
      </c>
      <c r="N436" t="s">
        <v>1180</v>
      </c>
      <c r="O436" t="s">
        <v>754</v>
      </c>
      <c r="P436" t="s">
        <v>1181</v>
      </c>
      <c r="AH436"/>
      <c r="AT436"/>
    </row>
    <row r="437" spans="1:46">
      <c r="A437" t="s">
        <v>1168</v>
      </c>
      <c r="B437" s="10">
        <v>44685</v>
      </c>
      <c r="C437" s="10" t="str">
        <f>UPPER(TEXT(B437, "[$-en-US]mmmm"))</f>
        <v>MAY</v>
      </c>
      <c r="D437" s="41">
        <f>YEAR(B437)</f>
        <v>2022</v>
      </c>
      <c r="E437" s="10" t="str">
        <f>VLOOKUP(A437,Sheet2!A:B,2,0)</f>
        <v>EMEA</v>
      </c>
      <c r="F437" t="s">
        <v>13</v>
      </c>
      <c r="G437" t="s">
        <v>1182</v>
      </c>
      <c r="H437" t="s">
        <v>1710</v>
      </c>
      <c r="I437" t="s">
        <v>1170</v>
      </c>
      <c r="J437" s="21">
        <v>-10000</v>
      </c>
      <c r="K437" s="12">
        <v>-596.07799999999997</v>
      </c>
      <c r="L437" s="12">
        <v>536.47</v>
      </c>
      <c r="M437" s="12">
        <v>-1351.905</v>
      </c>
      <c r="N437" t="s">
        <v>1183</v>
      </c>
      <c r="O437" t="s">
        <v>754</v>
      </c>
      <c r="P437" t="s">
        <v>1184</v>
      </c>
      <c r="AH437"/>
      <c r="AT437"/>
    </row>
    <row r="438" spans="1:46">
      <c r="A438" t="s">
        <v>1168</v>
      </c>
      <c r="B438" s="10">
        <v>45596</v>
      </c>
      <c r="C438" s="10" t="str">
        <f>UPPER(TEXT(B438, "[$-en-US]mmmm"))</f>
        <v>OCTOBER</v>
      </c>
      <c r="D438" s="41">
        <f>YEAR(B438)</f>
        <v>2024</v>
      </c>
      <c r="E438" s="10" t="str">
        <f>VLOOKUP(A438,Sheet2!A:B,2,0)</f>
        <v>EMEA</v>
      </c>
      <c r="F438" t="s">
        <v>13</v>
      </c>
      <c r="G438" t="s">
        <v>1185</v>
      </c>
      <c r="H438" t="s">
        <v>1711</v>
      </c>
      <c r="I438" t="s">
        <v>1170</v>
      </c>
      <c r="J438" s="21">
        <v>-65463.75</v>
      </c>
      <c r="K438" s="12">
        <v>-3902.15</v>
      </c>
      <c r="L438" s="12">
        <v>474.702</v>
      </c>
      <c r="M438" s="12">
        <v>-474.702</v>
      </c>
      <c r="N438" t="s">
        <v>1186</v>
      </c>
      <c r="O438" t="s">
        <v>754</v>
      </c>
      <c r="P438" t="s">
        <v>1187</v>
      </c>
      <c r="AH438"/>
      <c r="AT438"/>
    </row>
    <row r="439" spans="1:46">
      <c r="A439" t="s">
        <v>1168</v>
      </c>
      <c r="B439" s="10">
        <v>46128</v>
      </c>
      <c r="C439" s="10" t="str">
        <f>UPPER(TEXT(B439, "[$-en-US]mmmm"))</f>
        <v>APRIL</v>
      </c>
      <c r="D439" s="41">
        <f>YEAR(B439)</f>
        <v>2026</v>
      </c>
      <c r="E439" s="10" t="str">
        <f>VLOOKUP(A439,Sheet2!A:B,2,0)</f>
        <v>EMEA</v>
      </c>
      <c r="F439" t="s">
        <v>13</v>
      </c>
      <c r="G439" t="s">
        <v>1188</v>
      </c>
      <c r="H439" t="s">
        <v>14</v>
      </c>
      <c r="I439" t="s">
        <v>1170</v>
      </c>
      <c r="J439" s="21">
        <v>-6838.99</v>
      </c>
      <c r="K439" s="12">
        <v>-407.65699999999998</v>
      </c>
      <c r="L439" s="12">
        <v>407.65699999999998</v>
      </c>
      <c r="M439" s="12">
        <v>-7507.7089999999998</v>
      </c>
      <c r="N439" t="s">
        <v>1171</v>
      </c>
      <c r="O439" t="s">
        <v>790</v>
      </c>
      <c r="P439" t="s">
        <v>1189</v>
      </c>
      <c r="AH439"/>
      <c r="AT439"/>
    </row>
    <row r="440" spans="1:46">
      <c r="A440" t="s">
        <v>1168</v>
      </c>
      <c r="B440" s="10">
        <v>44760</v>
      </c>
      <c r="C440" s="10" t="str">
        <f>UPPER(TEXT(B440, "[$-en-US]mmmm"))</f>
        <v>JULY</v>
      </c>
      <c r="D440" s="41">
        <f>YEAR(B440)</f>
        <v>2022</v>
      </c>
      <c r="E440" s="10" t="str">
        <f>VLOOKUP(A440,Sheet2!A:B,2,0)</f>
        <v>EMEA</v>
      </c>
      <c r="F440" t="s">
        <v>13</v>
      </c>
      <c r="G440" t="s">
        <v>1190</v>
      </c>
      <c r="H440" t="s">
        <v>14</v>
      </c>
      <c r="I440" t="s">
        <v>1170</v>
      </c>
      <c r="J440" s="21">
        <v>-5000</v>
      </c>
      <c r="K440" s="12">
        <v>-298.03899999999999</v>
      </c>
      <c r="L440" s="12">
        <v>298.03899999999999</v>
      </c>
      <c r="M440" s="12">
        <v>-1351.905</v>
      </c>
      <c r="N440" t="s">
        <v>1183</v>
      </c>
      <c r="O440" t="s">
        <v>754</v>
      </c>
      <c r="P440" t="s">
        <v>1191</v>
      </c>
      <c r="AH440"/>
      <c r="AT440"/>
    </row>
    <row r="441" spans="1:46">
      <c r="A441" t="s">
        <v>1168</v>
      </c>
      <c r="B441" s="10">
        <v>44802</v>
      </c>
      <c r="C441" s="10" t="str">
        <f>UPPER(TEXT(B441, "[$-en-US]mmmm"))</f>
        <v>AUGUST</v>
      </c>
      <c r="D441" s="41">
        <f>YEAR(B441)</f>
        <v>2022</v>
      </c>
      <c r="E441" s="10" t="str">
        <f>VLOOKUP(A441,Sheet2!A:B,2,0)</f>
        <v>EMEA</v>
      </c>
      <c r="F441" t="s">
        <v>13</v>
      </c>
      <c r="G441" t="s">
        <v>1192</v>
      </c>
      <c r="H441" t="s">
        <v>14</v>
      </c>
      <c r="I441" t="s">
        <v>1170</v>
      </c>
      <c r="J441" s="21">
        <v>-4680</v>
      </c>
      <c r="K441" s="12">
        <v>-278.96499999999997</v>
      </c>
      <c r="L441" s="12">
        <v>278.96499999999997</v>
      </c>
      <c r="M441" s="12">
        <v>-1351.905</v>
      </c>
      <c r="N441" t="s">
        <v>1183</v>
      </c>
      <c r="O441" t="s">
        <v>754</v>
      </c>
      <c r="P441" t="s">
        <v>1193</v>
      </c>
      <c r="AH441"/>
      <c r="AT441"/>
    </row>
    <row r="442" spans="1:46">
      <c r="A442" t="s">
        <v>1168</v>
      </c>
      <c r="B442" s="10">
        <v>44796</v>
      </c>
      <c r="C442" s="10" t="str">
        <f>UPPER(TEXT(B442, "[$-en-US]mmmm"))</f>
        <v>AUGUST</v>
      </c>
      <c r="D442" s="41">
        <f>YEAR(B442)</f>
        <v>2022</v>
      </c>
      <c r="E442" s="10" t="str">
        <f>VLOOKUP(A442,Sheet2!A:B,2,0)</f>
        <v>EMEA</v>
      </c>
      <c r="F442" t="s">
        <v>13</v>
      </c>
      <c r="G442" t="s">
        <v>1194</v>
      </c>
      <c r="H442" t="s">
        <v>14</v>
      </c>
      <c r="I442" t="s">
        <v>1170</v>
      </c>
      <c r="J442" s="21">
        <v>-4000</v>
      </c>
      <c r="K442" s="12">
        <v>-238.43100000000001</v>
      </c>
      <c r="L442" s="12">
        <v>238.43100000000001</v>
      </c>
      <c r="M442" s="12">
        <v>-1351.905</v>
      </c>
      <c r="N442" t="s">
        <v>1183</v>
      </c>
      <c r="O442" t="s">
        <v>754</v>
      </c>
      <c r="P442" t="s">
        <v>1195</v>
      </c>
      <c r="AH442"/>
      <c r="AT442"/>
    </row>
    <row r="443" spans="1:46">
      <c r="A443" t="s">
        <v>1196</v>
      </c>
      <c r="B443" s="10">
        <v>45902</v>
      </c>
      <c r="C443" s="10" t="str">
        <f>UPPER(TEXT(B443, "[$-en-US]mmmm"))</f>
        <v>SEPTEMBER</v>
      </c>
      <c r="D443" s="41">
        <f>YEAR(B443)</f>
        <v>2025</v>
      </c>
      <c r="E443" s="10" t="str">
        <f>VLOOKUP(A443,Sheet2!A:B,2,0)</f>
        <v>EMEA</v>
      </c>
      <c r="F443" t="s">
        <v>13</v>
      </c>
      <c r="G443" t="s">
        <v>1198</v>
      </c>
      <c r="H443" t="s">
        <v>14</v>
      </c>
      <c r="I443" t="s">
        <v>1197</v>
      </c>
      <c r="J443" s="22">
        <v>-1167188.3999999999</v>
      </c>
      <c r="K443" s="12">
        <v>-12278.589</v>
      </c>
      <c r="L443" s="12">
        <v>12278.589</v>
      </c>
      <c r="M443" s="12">
        <v>-12278.589</v>
      </c>
      <c r="N443" t="s">
        <v>1199</v>
      </c>
      <c r="O443" t="s">
        <v>724</v>
      </c>
      <c r="P443" t="s">
        <v>1200</v>
      </c>
      <c r="AH443"/>
      <c r="AT443"/>
    </row>
    <row r="444" spans="1:46">
      <c r="A444" t="s">
        <v>1196</v>
      </c>
      <c r="B444" s="10">
        <v>46136</v>
      </c>
      <c r="C444" s="10" t="str">
        <f>UPPER(TEXT(B444, "[$-en-US]mmmm"))</f>
        <v>APRIL</v>
      </c>
      <c r="D444" s="41">
        <f>YEAR(B444)</f>
        <v>2026</v>
      </c>
      <c r="E444" s="10" t="str">
        <f>VLOOKUP(A444,Sheet2!A:B,2,0)</f>
        <v>EMEA</v>
      </c>
      <c r="F444" t="s">
        <v>13</v>
      </c>
      <c r="G444" t="s">
        <v>1201</v>
      </c>
      <c r="H444" t="s">
        <v>14</v>
      </c>
      <c r="I444" t="s">
        <v>1197</v>
      </c>
      <c r="J444" s="22">
        <v>-490000</v>
      </c>
      <c r="K444" s="12">
        <v>-5154.7020000000002</v>
      </c>
      <c r="L444" s="12">
        <v>5154.7020000000002</v>
      </c>
      <c r="M444" s="12">
        <v>-18718.503000000001</v>
      </c>
      <c r="N444" t="s">
        <v>1202</v>
      </c>
      <c r="O444" t="s">
        <v>724</v>
      </c>
      <c r="P444" t="s">
        <v>1203</v>
      </c>
      <c r="AH444"/>
      <c r="AT444"/>
    </row>
    <row r="445" spans="1:46">
      <c r="A445" t="s">
        <v>1196</v>
      </c>
      <c r="B445" s="10">
        <v>46030</v>
      </c>
      <c r="C445" s="10" t="str">
        <f>UPPER(TEXT(B445, "[$-en-US]mmmm"))</f>
        <v>JANUARY</v>
      </c>
      <c r="D445" s="41">
        <f>YEAR(B445)</f>
        <v>2026</v>
      </c>
      <c r="E445" s="10" t="str">
        <f>VLOOKUP(A445,Sheet2!A:B,2,0)</f>
        <v>EMEA</v>
      </c>
      <c r="F445" t="s">
        <v>13</v>
      </c>
      <c r="G445" t="s">
        <v>1204</v>
      </c>
      <c r="H445" t="s">
        <v>14</v>
      </c>
      <c r="I445" t="s">
        <v>15</v>
      </c>
      <c r="J445" s="11">
        <v>-5400</v>
      </c>
      <c r="K445" s="12">
        <v>-5011.1660000000002</v>
      </c>
      <c r="L445" s="12">
        <v>5011.1660000000002</v>
      </c>
      <c r="M445" s="12">
        <v>-5011.1660000000002</v>
      </c>
      <c r="N445" t="s">
        <v>1205</v>
      </c>
      <c r="O445" t="s">
        <v>724</v>
      </c>
      <c r="P445" t="s">
        <v>1206</v>
      </c>
      <c r="AH445"/>
      <c r="AT445"/>
    </row>
    <row r="446" spans="1:46">
      <c r="A446" t="s">
        <v>1196</v>
      </c>
      <c r="B446" s="10">
        <v>45686</v>
      </c>
      <c r="C446" s="10" t="str">
        <f>UPPER(TEXT(B446, "[$-en-US]mmmm"))</f>
        <v>JANUARY</v>
      </c>
      <c r="D446" s="41">
        <f>YEAR(B446)</f>
        <v>2025</v>
      </c>
      <c r="E446" s="10" t="str">
        <f>VLOOKUP(A446,Sheet2!A:B,2,0)</f>
        <v>EMEA</v>
      </c>
      <c r="F446" t="s">
        <v>13</v>
      </c>
      <c r="G446" t="s">
        <v>1207</v>
      </c>
      <c r="H446" t="s">
        <v>14</v>
      </c>
      <c r="I446" t="s">
        <v>1197</v>
      </c>
      <c r="J446" s="22">
        <v>-463274</v>
      </c>
      <c r="K446" s="12">
        <v>-4873.55</v>
      </c>
      <c r="L446" s="12">
        <v>4873.55</v>
      </c>
      <c r="M446" s="12">
        <v>-18718.503000000001</v>
      </c>
      <c r="N446" t="s">
        <v>1202</v>
      </c>
      <c r="O446" t="s">
        <v>724</v>
      </c>
      <c r="P446" t="s">
        <v>1208</v>
      </c>
      <c r="AH446"/>
      <c r="AT446"/>
    </row>
    <row r="447" spans="1:46">
      <c r="A447" t="s">
        <v>1196</v>
      </c>
      <c r="B447" s="10">
        <v>45859</v>
      </c>
      <c r="C447" s="10" t="str">
        <f>UPPER(TEXT(B447, "[$-en-US]mmmm"))</f>
        <v>JULY</v>
      </c>
      <c r="D447" s="41">
        <f>YEAR(B447)</f>
        <v>2025</v>
      </c>
      <c r="E447" s="10" t="str">
        <f>VLOOKUP(A447,Sheet2!A:B,2,0)</f>
        <v>EMEA</v>
      </c>
      <c r="F447" t="s">
        <v>13</v>
      </c>
      <c r="G447" t="s">
        <v>1209</v>
      </c>
      <c r="H447" t="s">
        <v>14</v>
      </c>
      <c r="I447" t="s">
        <v>1197</v>
      </c>
      <c r="J447" s="22">
        <v>-400000</v>
      </c>
      <c r="K447" s="12">
        <v>-4207.92</v>
      </c>
      <c r="L447" s="12">
        <v>4207.92</v>
      </c>
      <c r="M447" s="12">
        <v>-18718.503000000001</v>
      </c>
      <c r="N447" t="s">
        <v>1202</v>
      </c>
      <c r="O447" t="s">
        <v>724</v>
      </c>
      <c r="P447" t="s">
        <v>1210</v>
      </c>
      <c r="AH447"/>
      <c r="AT447"/>
    </row>
    <row r="448" spans="1:46">
      <c r="A448" t="s">
        <v>1196</v>
      </c>
      <c r="B448" s="10">
        <v>46065</v>
      </c>
      <c r="C448" s="10" t="str">
        <f>UPPER(TEXT(B448, "[$-en-US]mmmm"))</f>
        <v>FEBRUARY</v>
      </c>
      <c r="D448" s="41">
        <f>YEAR(B448)</f>
        <v>2026</v>
      </c>
      <c r="E448" s="10" t="str">
        <f>VLOOKUP(A448,Sheet2!A:B,2,0)</f>
        <v>EMEA</v>
      </c>
      <c r="F448" t="s">
        <v>13</v>
      </c>
      <c r="G448" t="s">
        <v>1211</v>
      </c>
      <c r="H448" t="s">
        <v>14</v>
      </c>
      <c r="I448" t="s">
        <v>1197</v>
      </c>
      <c r="J448" s="22">
        <v>-337500</v>
      </c>
      <c r="K448" s="12">
        <v>-3550.433</v>
      </c>
      <c r="L448" s="12">
        <v>3550.433</v>
      </c>
      <c r="M448" s="12">
        <v>-3550.433</v>
      </c>
      <c r="N448" t="s">
        <v>1212</v>
      </c>
      <c r="O448" t="s">
        <v>724</v>
      </c>
      <c r="P448" t="s">
        <v>1213</v>
      </c>
      <c r="AH448"/>
      <c r="AT448"/>
    </row>
    <row r="449" spans="1:46">
      <c r="A449" t="s">
        <v>1196</v>
      </c>
      <c r="B449" s="10">
        <v>45856</v>
      </c>
      <c r="C449" s="10" t="str">
        <f>UPPER(TEXT(B449, "[$-en-US]mmmm"))</f>
        <v>JULY</v>
      </c>
      <c r="D449" s="41">
        <f>YEAR(B449)</f>
        <v>2025</v>
      </c>
      <c r="E449" s="10" t="str">
        <f>VLOOKUP(A449,Sheet2!A:B,2,0)</f>
        <v>EMEA</v>
      </c>
      <c r="F449" t="s">
        <v>13</v>
      </c>
      <c r="G449" t="s">
        <v>1214</v>
      </c>
      <c r="H449" t="s">
        <v>14</v>
      </c>
      <c r="I449" t="s">
        <v>1197</v>
      </c>
      <c r="J449" s="22">
        <v>-216270</v>
      </c>
      <c r="K449" s="12">
        <v>-2275.1170000000002</v>
      </c>
      <c r="L449" s="12">
        <v>2275.1170000000002</v>
      </c>
      <c r="M449" s="12">
        <v>13086.978999999999</v>
      </c>
      <c r="N449" t="s">
        <v>1215</v>
      </c>
      <c r="O449" t="s">
        <v>724</v>
      </c>
      <c r="P449" t="s">
        <v>1216</v>
      </c>
      <c r="AH449"/>
      <c r="AT449"/>
    </row>
    <row r="450" spans="1:46">
      <c r="A450" t="s">
        <v>1196</v>
      </c>
      <c r="B450" s="10">
        <v>45855</v>
      </c>
      <c r="C450" s="10" t="str">
        <f>UPPER(TEXT(B450, "[$-en-US]mmmm"))</f>
        <v>JULY</v>
      </c>
      <c r="D450" s="41">
        <f>YEAR(B450)</f>
        <v>2025</v>
      </c>
      <c r="E450" s="10" t="str">
        <f>VLOOKUP(A450,Sheet2!A:B,2,0)</f>
        <v>EMEA</v>
      </c>
      <c r="F450" t="s">
        <v>13</v>
      </c>
      <c r="G450" t="s">
        <v>1217</v>
      </c>
      <c r="H450" t="s">
        <v>14</v>
      </c>
      <c r="I450" t="s">
        <v>1197</v>
      </c>
      <c r="J450" s="22">
        <v>-216000</v>
      </c>
      <c r="K450" s="12">
        <v>-2272.277</v>
      </c>
      <c r="L450" s="12">
        <v>2272.277</v>
      </c>
      <c r="M450" s="12">
        <v>-1851.4849999999999</v>
      </c>
      <c r="N450" t="s">
        <v>1218</v>
      </c>
      <c r="O450" t="s">
        <v>724</v>
      </c>
      <c r="P450" t="s">
        <v>1219</v>
      </c>
      <c r="AH450"/>
      <c r="AT450"/>
    </row>
    <row r="451" spans="1:46">
      <c r="A451" t="s">
        <v>1196</v>
      </c>
      <c r="B451" s="10">
        <v>46094</v>
      </c>
      <c r="C451" s="10" t="str">
        <f>UPPER(TEXT(B451, "[$-en-US]mmmm"))</f>
        <v>MARCH</v>
      </c>
      <c r="D451" s="41">
        <f>YEAR(B451)</f>
        <v>2026</v>
      </c>
      <c r="E451" s="10" t="str">
        <f>VLOOKUP(A451,Sheet2!A:B,2,0)</f>
        <v>EMEA</v>
      </c>
      <c r="F451" t="s">
        <v>13</v>
      </c>
      <c r="G451" t="s">
        <v>1220</v>
      </c>
      <c r="H451" t="s">
        <v>14</v>
      </c>
      <c r="I451" t="s">
        <v>1197</v>
      </c>
      <c r="J451" s="22">
        <v>-177000</v>
      </c>
      <c r="K451" s="12">
        <v>-1862.0050000000001</v>
      </c>
      <c r="L451" s="12">
        <v>1862.0050000000001</v>
      </c>
      <c r="M451" s="12">
        <v>-1862.0050000000001</v>
      </c>
      <c r="N451" t="s">
        <v>1221</v>
      </c>
      <c r="O451" t="s">
        <v>724</v>
      </c>
      <c r="P451" t="s">
        <v>1222</v>
      </c>
      <c r="AH451"/>
      <c r="AT451"/>
    </row>
    <row r="452" spans="1:46">
      <c r="A452" t="s">
        <v>1196</v>
      </c>
      <c r="B452" s="10">
        <v>45793</v>
      </c>
      <c r="C452" s="10" t="str">
        <f>UPPER(TEXT(B452, "[$-en-US]mmmm"))</f>
        <v>MAY</v>
      </c>
      <c r="D452" s="41">
        <f>YEAR(B452)</f>
        <v>2025</v>
      </c>
      <c r="E452" s="10" t="str">
        <f>VLOOKUP(A452,Sheet2!A:B,2,0)</f>
        <v>EMEA</v>
      </c>
      <c r="F452" t="s">
        <v>484</v>
      </c>
      <c r="G452" t="s">
        <v>1223</v>
      </c>
      <c r="H452" t="s">
        <v>14</v>
      </c>
      <c r="I452" t="s">
        <v>1197</v>
      </c>
      <c r="J452" s="22">
        <v>-154426</v>
      </c>
      <c r="K452" s="12">
        <v>-1624.5309999999999</v>
      </c>
      <c r="L452" s="12">
        <v>1624.5309999999999</v>
      </c>
      <c r="M452" s="12">
        <v>-18718.503000000001</v>
      </c>
      <c r="N452" t="s">
        <v>1202</v>
      </c>
      <c r="O452" t="s">
        <v>724</v>
      </c>
      <c r="P452" t="s">
        <v>1224</v>
      </c>
      <c r="AH452"/>
      <c r="AT452"/>
    </row>
    <row r="453" spans="1:46">
      <c r="A453" t="s">
        <v>1196</v>
      </c>
      <c r="B453" s="10">
        <v>45972</v>
      </c>
      <c r="C453" s="10" t="str">
        <f>UPPER(TEXT(B453, "[$-en-US]mmmm"))</f>
        <v>NOVEMBER</v>
      </c>
      <c r="D453" s="41">
        <f>YEAR(B453)</f>
        <v>2025</v>
      </c>
      <c r="E453" s="10" t="str">
        <f>VLOOKUP(A453,Sheet2!A:B,2,0)</f>
        <v>EMEA</v>
      </c>
      <c r="F453" t="s">
        <v>13</v>
      </c>
      <c r="G453" t="s">
        <v>1225</v>
      </c>
      <c r="H453" t="s">
        <v>14</v>
      </c>
      <c r="I453" t="s">
        <v>1197</v>
      </c>
      <c r="J453" s="22">
        <v>-102060</v>
      </c>
      <c r="K453" s="12">
        <v>-1073.6510000000001</v>
      </c>
      <c r="L453" s="12">
        <v>1073.6510000000001</v>
      </c>
      <c r="M453" s="12">
        <v>-18718.503000000001</v>
      </c>
      <c r="N453" t="s">
        <v>1202</v>
      </c>
      <c r="O453" t="s">
        <v>724</v>
      </c>
      <c r="P453" t="s">
        <v>1226</v>
      </c>
      <c r="AH453"/>
      <c r="AT453"/>
    </row>
    <row r="454" spans="1:46">
      <c r="A454" t="s">
        <v>1196</v>
      </c>
      <c r="B454" s="10">
        <v>45692</v>
      </c>
      <c r="C454" s="10" t="str">
        <f>UPPER(TEXT(B454, "[$-en-US]mmmm"))</f>
        <v>FEBRUARY</v>
      </c>
      <c r="D454" s="41">
        <f>YEAR(B454)</f>
        <v>2025</v>
      </c>
      <c r="E454" s="10" t="str">
        <f>VLOOKUP(A454,Sheet2!A:B,2,0)</f>
        <v>EMEA</v>
      </c>
      <c r="F454" t="s">
        <v>13</v>
      </c>
      <c r="G454" t="s">
        <v>1227</v>
      </c>
      <c r="H454" t="s">
        <v>14</v>
      </c>
      <c r="I454" t="s">
        <v>1197</v>
      </c>
      <c r="J454" s="22">
        <v>-92654.82</v>
      </c>
      <c r="K454" s="12">
        <v>-974.71</v>
      </c>
      <c r="L454" s="12">
        <v>974.71</v>
      </c>
      <c r="M454" s="12">
        <v>-18718.503000000001</v>
      </c>
      <c r="N454" t="s">
        <v>1202</v>
      </c>
      <c r="O454" t="s">
        <v>724</v>
      </c>
      <c r="P454" t="s">
        <v>1228</v>
      </c>
      <c r="AH454"/>
      <c r="AT454"/>
    </row>
    <row r="455" spans="1:46">
      <c r="A455" t="s">
        <v>1196</v>
      </c>
      <c r="B455" s="10">
        <v>45502</v>
      </c>
      <c r="C455" s="10" t="str">
        <f>UPPER(TEXT(B455, "[$-en-US]mmmm"))</f>
        <v>JULY</v>
      </c>
      <c r="D455" s="41">
        <f>YEAR(B455)</f>
        <v>2024</v>
      </c>
      <c r="E455" s="10" t="str">
        <f>VLOOKUP(A455,Sheet2!A:B,2,0)</f>
        <v>EMEA</v>
      </c>
      <c r="F455" t="s">
        <v>13</v>
      </c>
      <c r="G455" t="s">
        <v>1229</v>
      </c>
      <c r="H455" t="s">
        <v>14</v>
      </c>
      <c r="I455" t="s">
        <v>1197</v>
      </c>
      <c r="J455" s="22">
        <v>-85050</v>
      </c>
      <c r="K455" s="12">
        <v>-894.70899999999995</v>
      </c>
      <c r="L455" s="12">
        <v>894.70899999999995</v>
      </c>
      <c r="M455" s="12">
        <v>-894.70899999999995</v>
      </c>
      <c r="N455" t="s">
        <v>1230</v>
      </c>
      <c r="O455" t="s">
        <v>724</v>
      </c>
      <c r="P455" t="s">
        <v>1231</v>
      </c>
      <c r="AH455"/>
      <c r="AT455"/>
    </row>
    <row r="456" spans="1:46">
      <c r="A456" t="s">
        <v>1196</v>
      </c>
      <c r="B456" s="10">
        <v>45967</v>
      </c>
      <c r="C456" s="10" t="str">
        <f>UPPER(TEXT(B456, "[$-en-US]mmmm"))</f>
        <v>NOVEMBER</v>
      </c>
      <c r="D456" s="41">
        <f>YEAR(B456)</f>
        <v>2025</v>
      </c>
      <c r="E456" s="10" t="str">
        <f>VLOOKUP(A456,Sheet2!A:B,2,0)</f>
        <v>EMEA</v>
      </c>
      <c r="F456" t="s">
        <v>13</v>
      </c>
      <c r="G456" t="s">
        <v>1232</v>
      </c>
      <c r="H456" t="s">
        <v>1712</v>
      </c>
      <c r="I456" t="s">
        <v>1197</v>
      </c>
      <c r="J456" s="22">
        <v>-310953.61</v>
      </c>
      <c r="K456" s="12">
        <v>-3271.17</v>
      </c>
      <c r="L456" s="12">
        <v>682.87800000000004</v>
      </c>
      <c r="M456" s="12">
        <v>-682.87800000000004</v>
      </c>
      <c r="N456" t="s">
        <v>1233</v>
      </c>
      <c r="O456" t="s">
        <v>724</v>
      </c>
      <c r="P456" t="s">
        <v>1234</v>
      </c>
      <c r="AH456"/>
      <c r="AT456"/>
    </row>
    <row r="457" spans="1:46">
      <c r="A457" t="s">
        <v>1196</v>
      </c>
      <c r="B457" s="10">
        <v>45975</v>
      </c>
      <c r="C457" s="10" t="str">
        <f>UPPER(TEXT(B457, "[$-en-US]mmmm"))</f>
        <v>NOVEMBER</v>
      </c>
      <c r="D457" s="41">
        <f>YEAR(B457)</f>
        <v>2025</v>
      </c>
      <c r="E457" s="10" t="str">
        <f>VLOOKUP(A457,Sheet2!A:B,2,0)</f>
        <v>EMEA</v>
      </c>
      <c r="F457" t="s">
        <v>13</v>
      </c>
      <c r="G457" t="s">
        <v>1235</v>
      </c>
      <c r="H457" t="s">
        <v>14</v>
      </c>
      <c r="I457" t="s">
        <v>1197</v>
      </c>
      <c r="J457" s="22">
        <v>-35640</v>
      </c>
      <c r="K457" s="12">
        <v>-374.92599999999999</v>
      </c>
      <c r="L457" s="12">
        <v>374.92599999999999</v>
      </c>
      <c r="M457" s="12">
        <v>-18718.503000000001</v>
      </c>
      <c r="N457" t="s">
        <v>1202</v>
      </c>
      <c r="O457" t="s">
        <v>724</v>
      </c>
      <c r="P457" t="s">
        <v>1236</v>
      </c>
      <c r="AH457"/>
      <c r="AT457"/>
    </row>
    <row r="458" spans="1:46">
      <c r="A458" t="s">
        <v>1196</v>
      </c>
      <c r="B458" s="10">
        <v>45800</v>
      </c>
      <c r="C458" s="10" t="str">
        <f>UPPER(TEXT(B458, "[$-en-US]mmmm"))</f>
        <v>MAY</v>
      </c>
      <c r="D458" s="41">
        <f>YEAR(B458)</f>
        <v>2025</v>
      </c>
      <c r="E458" s="10" t="str">
        <f>VLOOKUP(A458,Sheet2!A:B,2,0)</f>
        <v>EMEA</v>
      </c>
      <c r="F458" t="s">
        <v>13</v>
      </c>
      <c r="G458" t="s">
        <v>1237</v>
      </c>
      <c r="H458" t="s">
        <v>14</v>
      </c>
      <c r="I458" t="s">
        <v>1197</v>
      </c>
      <c r="J458" s="22">
        <v>-30885.3</v>
      </c>
      <c r="K458" s="12">
        <v>-324.90699999999998</v>
      </c>
      <c r="L458" s="12">
        <v>324.90699999999998</v>
      </c>
      <c r="M458" s="12">
        <v>-18718.503000000001</v>
      </c>
      <c r="N458" t="s">
        <v>1202</v>
      </c>
      <c r="O458" t="s">
        <v>724</v>
      </c>
      <c r="P458" t="s">
        <v>1238</v>
      </c>
      <c r="AH458"/>
      <c r="AT458"/>
    </row>
    <row r="459" spans="1:46">
      <c r="A459" t="s">
        <v>1196</v>
      </c>
      <c r="B459" s="10">
        <v>45236</v>
      </c>
      <c r="C459" s="10" t="str">
        <f>UPPER(TEXT(B459, "[$-en-US]mmmm"))</f>
        <v>NOVEMBER</v>
      </c>
      <c r="D459" s="41">
        <f>YEAR(B459)</f>
        <v>2023</v>
      </c>
      <c r="E459" s="10" t="str">
        <f>VLOOKUP(A459,Sheet2!A:B,2,0)</f>
        <v>EMEA</v>
      </c>
      <c r="F459" t="s">
        <v>13</v>
      </c>
      <c r="G459" t="s">
        <v>1239</v>
      </c>
      <c r="H459" t="s">
        <v>14</v>
      </c>
      <c r="I459" t="s">
        <v>1197</v>
      </c>
      <c r="J459" s="22">
        <v>-5550</v>
      </c>
      <c r="K459" s="12">
        <v>-58.384999999999998</v>
      </c>
      <c r="L459" s="12">
        <v>58.384999999999998</v>
      </c>
      <c r="M459" s="12">
        <v>-18718.503000000001</v>
      </c>
      <c r="N459" t="s">
        <v>1202</v>
      </c>
      <c r="O459" t="s">
        <v>724</v>
      </c>
      <c r="P459" t="s">
        <v>1240</v>
      </c>
      <c r="AH459"/>
      <c r="AT459"/>
    </row>
    <row r="460" spans="1:46">
      <c r="A460" t="s">
        <v>1196</v>
      </c>
      <c r="B460" s="10">
        <v>44988</v>
      </c>
      <c r="C460" s="10" t="str">
        <f>UPPER(TEXT(B460, "[$-en-US]mmmm"))</f>
        <v>MARCH</v>
      </c>
      <c r="D460" s="41">
        <f>YEAR(B460)</f>
        <v>2023</v>
      </c>
      <c r="E460" s="10" t="str">
        <f>VLOOKUP(A460,Sheet2!A:B,2,0)</f>
        <v>EMEA</v>
      </c>
      <c r="F460" t="s">
        <v>13</v>
      </c>
      <c r="G460" t="s">
        <v>1241</v>
      </c>
      <c r="H460" t="s">
        <v>14</v>
      </c>
      <c r="I460" t="s">
        <v>1197</v>
      </c>
      <c r="J460" s="22">
        <v>-4868.07</v>
      </c>
      <c r="K460" s="12">
        <v>-51.210999999999999</v>
      </c>
      <c r="L460" s="12">
        <v>51.210999999999999</v>
      </c>
      <c r="M460" s="12">
        <v>-18718.503000000001</v>
      </c>
      <c r="N460" t="s">
        <v>1202</v>
      </c>
      <c r="O460" t="s">
        <v>724</v>
      </c>
      <c r="P460" t="s">
        <v>1242</v>
      </c>
      <c r="AH460"/>
      <c r="AT460"/>
    </row>
    <row r="461" spans="1:46">
      <c r="A461" t="s">
        <v>1196</v>
      </c>
      <c r="B461" s="10">
        <v>46143</v>
      </c>
      <c r="C461" s="10" t="str">
        <f>UPPER(TEXT(B461, "[$-en-US]mmmm"))</f>
        <v>MAY</v>
      </c>
      <c r="D461" s="41">
        <f>YEAR(B461)</f>
        <v>2026</v>
      </c>
      <c r="E461" s="10" t="str">
        <f>VLOOKUP(A461,Sheet2!A:B,2,0)</f>
        <v>EMEA</v>
      </c>
      <c r="F461" t="s">
        <v>13</v>
      </c>
      <c r="G461" t="s">
        <v>1764</v>
      </c>
      <c r="H461" t="s">
        <v>14</v>
      </c>
      <c r="I461" t="s">
        <v>1197</v>
      </c>
      <c r="J461" s="22">
        <v>-1.06</v>
      </c>
      <c r="K461" s="12">
        <v>-1.0999999999999999E-2</v>
      </c>
      <c r="L461" s="12">
        <v>1.0999999999999999E-2</v>
      </c>
      <c r="M461" s="12">
        <v>-18718.503000000001</v>
      </c>
      <c r="N461" t="s">
        <v>1202</v>
      </c>
      <c r="O461" t="s">
        <v>724</v>
      </c>
      <c r="P461" t="s">
        <v>1243</v>
      </c>
      <c r="AH461"/>
      <c r="AT461"/>
    </row>
    <row r="462" spans="1:46">
      <c r="A462" t="s">
        <v>1244</v>
      </c>
      <c r="B462" s="10">
        <v>45468</v>
      </c>
      <c r="C462" s="10" t="str">
        <f>UPPER(TEXT(B462, "[$-en-US]mmmm"))</f>
        <v>JUNE</v>
      </c>
      <c r="D462" s="41">
        <f>YEAR(B462)</f>
        <v>2024</v>
      </c>
      <c r="E462" s="10" t="str">
        <f>VLOOKUP(A462,Sheet2!A:B,2,0)</f>
        <v>EMEA</v>
      </c>
      <c r="F462" t="s">
        <v>484</v>
      </c>
      <c r="G462" t="s">
        <v>1245</v>
      </c>
      <c r="H462" t="s">
        <v>14</v>
      </c>
      <c r="I462" t="s">
        <v>1246</v>
      </c>
      <c r="J462" s="23">
        <v>-122441.71</v>
      </c>
      <c r="K462" s="12">
        <v>-13197.502</v>
      </c>
      <c r="L462" s="12">
        <v>13197.502</v>
      </c>
      <c r="M462" s="12">
        <v>-26993.163</v>
      </c>
      <c r="N462" t="s">
        <v>1247</v>
      </c>
      <c r="O462" t="s">
        <v>1248</v>
      </c>
      <c r="P462" t="s">
        <v>1249</v>
      </c>
      <c r="AH462"/>
      <c r="AT462"/>
    </row>
    <row r="463" spans="1:46">
      <c r="A463" t="s">
        <v>1244</v>
      </c>
      <c r="B463" s="10">
        <v>46122</v>
      </c>
      <c r="C463" s="10" t="str">
        <f>UPPER(TEXT(B463, "[$-en-US]mmmm"))</f>
        <v>APRIL</v>
      </c>
      <c r="D463" s="41">
        <f>YEAR(B463)</f>
        <v>2026</v>
      </c>
      <c r="E463" s="10" t="str">
        <f>VLOOKUP(A463,Sheet2!A:B,2,0)</f>
        <v>EMEA</v>
      </c>
      <c r="F463" t="s">
        <v>13</v>
      </c>
      <c r="G463" t="s">
        <v>1250</v>
      </c>
      <c r="H463" t="s">
        <v>14</v>
      </c>
      <c r="I463" t="s">
        <v>1246</v>
      </c>
      <c r="J463" s="23">
        <v>-120688.75</v>
      </c>
      <c r="K463" s="12">
        <v>-13008.558000000001</v>
      </c>
      <c r="L463" s="12">
        <v>13008.558000000001</v>
      </c>
      <c r="M463" s="12">
        <v>-13008.558000000001</v>
      </c>
      <c r="N463" t="s">
        <v>1251</v>
      </c>
      <c r="O463" t="s">
        <v>1248</v>
      </c>
      <c r="P463" t="s">
        <v>1252</v>
      </c>
      <c r="AH463"/>
      <c r="AT463"/>
    </row>
    <row r="464" spans="1:46">
      <c r="A464" t="s">
        <v>1244</v>
      </c>
      <c r="B464" s="10">
        <v>45468</v>
      </c>
      <c r="C464" s="10" t="str">
        <f>UPPER(TEXT(B464, "[$-en-US]mmmm"))</f>
        <v>JUNE</v>
      </c>
      <c r="D464" s="41">
        <f>YEAR(B464)</f>
        <v>2024</v>
      </c>
      <c r="E464" s="10" t="str">
        <f>VLOOKUP(A464,Sheet2!A:B,2,0)</f>
        <v>EMEA</v>
      </c>
      <c r="F464" t="s">
        <v>484</v>
      </c>
      <c r="G464" t="s">
        <v>1253</v>
      </c>
      <c r="H464" t="s">
        <v>1714</v>
      </c>
      <c r="I464" t="s">
        <v>1254</v>
      </c>
      <c r="J464" s="24">
        <v>-72765</v>
      </c>
      <c r="K464" s="12">
        <v>-11801.120999999999</v>
      </c>
      <c r="L464" s="12">
        <v>11161.478999999999</v>
      </c>
      <c r="M464" s="12">
        <v>-11161.478999999999</v>
      </c>
      <c r="N464" t="s">
        <v>1255</v>
      </c>
      <c r="O464" t="s">
        <v>1256</v>
      </c>
      <c r="P464" t="s">
        <v>1257</v>
      </c>
      <c r="AH464"/>
      <c r="AT464"/>
    </row>
    <row r="465" spans="1:46">
      <c r="A465" t="s">
        <v>1244</v>
      </c>
      <c r="B465" s="10">
        <v>45468</v>
      </c>
      <c r="C465" s="10" t="str">
        <f>UPPER(TEXT(B465, "[$-en-US]mmmm"))</f>
        <v>JUNE</v>
      </c>
      <c r="D465" s="41">
        <f>YEAR(B465)</f>
        <v>2024</v>
      </c>
      <c r="E465" s="10" t="str">
        <f>VLOOKUP(A465,Sheet2!A:B,2,0)</f>
        <v>EMEA</v>
      </c>
      <c r="F465" t="s">
        <v>484</v>
      </c>
      <c r="G465" t="s">
        <v>1258</v>
      </c>
      <c r="H465" t="s">
        <v>14</v>
      </c>
      <c r="I465" t="s">
        <v>1254</v>
      </c>
      <c r="J465" s="24">
        <v>-66718.75</v>
      </c>
      <c r="K465" s="12">
        <v>-10820.531999999999</v>
      </c>
      <c r="L465" s="12">
        <v>10820.531999999999</v>
      </c>
      <c r="M465" s="12">
        <v>-10820.531999999999</v>
      </c>
      <c r="N465" t="s">
        <v>1259</v>
      </c>
      <c r="O465" t="s">
        <v>1256</v>
      </c>
      <c r="P465" t="s">
        <v>1260</v>
      </c>
      <c r="AH465"/>
      <c r="AT465"/>
    </row>
    <row r="466" spans="1:46">
      <c r="A466" t="s">
        <v>1244</v>
      </c>
      <c r="B466" s="10">
        <v>44929</v>
      </c>
      <c r="C466" s="10" t="str">
        <f>UPPER(TEXT(B466, "[$-en-US]mmmm"))</f>
        <v>JANUARY</v>
      </c>
      <c r="D466" s="41">
        <f>YEAR(B466)</f>
        <v>2023</v>
      </c>
      <c r="E466" s="10" t="str">
        <f>VLOOKUP(A466,Sheet2!A:B,2,0)</f>
        <v>EMEA</v>
      </c>
      <c r="F466" t="s">
        <v>13</v>
      </c>
      <c r="G466" t="s">
        <v>1261</v>
      </c>
      <c r="H466" t="s">
        <v>14</v>
      </c>
      <c r="I466" t="s">
        <v>1246</v>
      </c>
      <c r="J466" s="23">
        <v>-98750</v>
      </c>
      <c r="K466" s="12">
        <v>-10643.868</v>
      </c>
      <c r="L466" s="12">
        <v>10643.868</v>
      </c>
      <c r="M466" s="12">
        <v>-11317.53</v>
      </c>
      <c r="N466" t="s">
        <v>1262</v>
      </c>
      <c r="O466" t="s">
        <v>1248</v>
      </c>
      <c r="P466" t="s">
        <v>1263</v>
      </c>
      <c r="AH466"/>
      <c r="AT466"/>
    </row>
    <row r="467" spans="1:46">
      <c r="A467" t="s">
        <v>1244</v>
      </c>
      <c r="B467" s="10">
        <v>45819</v>
      </c>
      <c r="C467" s="10" t="str">
        <f>UPPER(TEXT(B467, "[$-en-US]mmmm"))</f>
        <v>JUNE</v>
      </c>
      <c r="D467" s="41">
        <f>YEAR(B467)</f>
        <v>2025</v>
      </c>
      <c r="E467" s="10" t="str">
        <f>VLOOKUP(A467,Sheet2!A:B,2,0)</f>
        <v>EMEA</v>
      </c>
      <c r="F467" t="s">
        <v>13</v>
      </c>
      <c r="G467" t="s">
        <v>1264</v>
      </c>
      <c r="H467" t="s">
        <v>14</v>
      </c>
      <c r="I467" t="s">
        <v>1246</v>
      </c>
      <c r="J467" s="23">
        <v>-98211.49</v>
      </c>
      <c r="K467" s="12">
        <v>-10585.824000000001</v>
      </c>
      <c r="L467" s="12">
        <v>10585.824000000001</v>
      </c>
      <c r="M467" s="12">
        <v>-26993.163</v>
      </c>
      <c r="N467" t="s">
        <v>1247</v>
      </c>
      <c r="O467" t="s">
        <v>1248</v>
      </c>
      <c r="P467" t="s">
        <v>1265</v>
      </c>
      <c r="AH467"/>
      <c r="AT467"/>
    </row>
    <row r="468" spans="1:46">
      <c r="A468" t="s">
        <v>1244</v>
      </c>
      <c r="B468" s="10">
        <v>45468</v>
      </c>
      <c r="C468" s="10" t="str">
        <f>UPPER(TEXT(B468, "[$-en-US]mmmm"))</f>
        <v>JUNE</v>
      </c>
      <c r="D468" s="41">
        <f>YEAR(B468)</f>
        <v>2024</v>
      </c>
      <c r="E468" s="10" t="str">
        <f>VLOOKUP(A468,Sheet2!A:B,2,0)</f>
        <v>EMEA</v>
      </c>
      <c r="F468" t="s">
        <v>484</v>
      </c>
      <c r="G468" t="s">
        <v>1266</v>
      </c>
      <c r="H468" t="s">
        <v>14</v>
      </c>
      <c r="I468" t="s">
        <v>1254</v>
      </c>
      <c r="J468" s="24">
        <v>-40625</v>
      </c>
      <c r="K468" s="12">
        <v>-6588.6139999999996</v>
      </c>
      <c r="L468" s="12">
        <v>6588.6139999999996</v>
      </c>
      <c r="M468" s="12">
        <v>-6588.6139999999996</v>
      </c>
      <c r="N468" t="s">
        <v>1267</v>
      </c>
      <c r="O468" t="s">
        <v>1256</v>
      </c>
      <c r="P468" t="s">
        <v>1268</v>
      </c>
      <c r="AH468"/>
      <c r="AT468"/>
    </row>
    <row r="469" spans="1:46">
      <c r="A469" t="s">
        <v>1244</v>
      </c>
      <c r="B469" s="10">
        <v>46097</v>
      </c>
      <c r="C469" s="10" t="str">
        <f>UPPER(TEXT(B469, "[$-en-US]mmmm"))</f>
        <v>MARCH</v>
      </c>
      <c r="D469" s="41">
        <f>YEAR(B469)</f>
        <v>2026</v>
      </c>
      <c r="E469" s="10" t="str">
        <f>VLOOKUP(A469,Sheet2!A:B,2,0)</f>
        <v>EMEA</v>
      </c>
      <c r="F469" t="s">
        <v>13</v>
      </c>
      <c r="G469" t="s">
        <v>1269</v>
      </c>
      <c r="H469" t="s">
        <v>14</v>
      </c>
      <c r="I469" t="s">
        <v>1254</v>
      </c>
      <c r="J469" s="24">
        <v>-39848</v>
      </c>
      <c r="K469" s="12">
        <v>-6174.1440000000002</v>
      </c>
      <c r="L469" s="12">
        <v>6174.1440000000002</v>
      </c>
      <c r="M469" s="12">
        <v>-6174.1440000000002</v>
      </c>
      <c r="N469" t="s">
        <v>1270</v>
      </c>
      <c r="O469" t="s">
        <v>1256</v>
      </c>
      <c r="P469" t="s">
        <v>1271</v>
      </c>
      <c r="AH469"/>
      <c r="AT469"/>
    </row>
    <row r="470" spans="1:46">
      <c r="A470" t="s">
        <v>1244</v>
      </c>
      <c r="B470" s="10">
        <v>45034</v>
      </c>
      <c r="C470" s="10" t="str">
        <f>UPPER(TEXT(B470, "[$-en-US]mmmm"))</f>
        <v>APRIL</v>
      </c>
      <c r="D470" s="41">
        <f>YEAR(B470)</f>
        <v>2023</v>
      </c>
      <c r="E470" s="10" t="str">
        <f>VLOOKUP(A470,Sheet2!A:B,2,0)</f>
        <v>EMEA</v>
      </c>
      <c r="F470" t="s">
        <v>13</v>
      </c>
      <c r="G470" t="s">
        <v>1272</v>
      </c>
      <c r="H470" t="s">
        <v>14</v>
      </c>
      <c r="I470" t="s">
        <v>1246</v>
      </c>
      <c r="J470" s="23">
        <v>-49500</v>
      </c>
      <c r="K470" s="12">
        <v>-5335.4070000000002</v>
      </c>
      <c r="L470" s="12">
        <v>5335.4070000000002</v>
      </c>
      <c r="M470" s="12">
        <v>-5335.4070000000002</v>
      </c>
      <c r="N470" t="s">
        <v>1273</v>
      </c>
      <c r="O470" t="s">
        <v>1248</v>
      </c>
      <c r="P470" t="s">
        <v>14</v>
      </c>
      <c r="AH470"/>
      <c r="AT470"/>
    </row>
    <row r="471" spans="1:46">
      <c r="A471" t="s">
        <v>1244</v>
      </c>
      <c r="B471" s="10">
        <v>45015</v>
      </c>
      <c r="C471" s="10" t="str">
        <f>UPPER(TEXT(B471, "[$-en-US]mmmm"))</f>
        <v>MARCH</v>
      </c>
      <c r="D471" s="41">
        <f>YEAR(B471)</f>
        <v>2023</v>
      </c>
      <c r="E471" s="10" t="str">
        <f>VLOOKUP(A471,Sheet2!A:B,2,0)</f>
        <v>EMEA</v>
      </c>
      <c r="F471" t="s">
        <v>13</v>
      </c>
      <c r="G471" t="s">
        <v>1274</v>
      </c>
      <c r="H471" t="s">
        <v>14</v>
      </c>
      <c r="I471" t="s">
        <v>1246</v>
      </c>
      <c r="J471" s="23">
        <v>-46250</v>
      </c>
      <c r="K471" s="12">
        <v>-4985.1030000000001</v>
      </c>
      <c r="L471" s="12">
        <v>4985.1030000000001</v>
      </c>
      <c r="M471" s="12">
        <v>-4985.1030000000001</v>
      </c>
      <c r="N471" t="s">
        <v>1275</v>
      </c>
      <c r="O471" t="s">
        <v>1248</v>
      </c>
      <c r="P471" t="s">
        <v>14</v>
      </c>
      <c r="AH471"/>
      <c r="AT471"/>
    </row>
    <row r="472" spans="1:46">
      <c r="A472" t="s">
        <v>1244</v>
      </c>
      <c r="B472" s="10">
        <v>45747</v>
      </c>
      <c r="C472" s="10" t="str">
        <f>UPPER(TEXT(B472, "[$-en-US]mmmm"))</f>
        <v>MARCH</v>
      </c>
      <c r="D472" s="41">
        <f>YEAR(B472)</f>
        <v>2025</v>
      </c>
      <c r="E472" s="10" t="str">
        <f>VLOOKUP(A472,Sheet2!A:B,2,0)</f>
        <v>EMEA</v>
      </c>
      <c r="F472" t="s">
        <v>13</v>
      </c>
      <c r="G472" t="s">
        <v>1276</v>
      </c>
      <c r="H472" t="s">
        <v>14</v>
      </c>
      <c r="I472" t="s">
        <v>1246</v>
      </c>
      <c r="J472" s="23">
        <v>-42500</v>
      </c>
      <c r="K472" s="12">
        <v>-4580.9049999999997</v>
      </c>
      <c r="L472" s="12">
        <v>4580.9049999999997</v>
      </c>
      <c r="M472" s="12">
        <v>-4580.9049999999997</v>
      </c>
      <c r="N472" t="s">
        <v>1277</v>
      </c>
      <c r="O472" t="s">
        <v>1248</v>
      </c>
      <c r="P472" t="s">
        <v>1278</v>
      </c>
      <c r="AH472"/>
      <c r="AT472"/>
    </row>
    <row r="473" spans="1:46">
      <c r="A473" t="s">
        <v>1244</v>
      </c>
      <c r="B473" s="10">
        <v>45070</v>
      </c>
      <c r="C473" s="10" t="str">
        <f>UPPER(TEXT(B473, "[$-en-US]mmmm"))</f>
        <v>MAY</v>
      </c>
      <c r="D473" s="41">
        <f>YEAR(B473)</f>
        <v>2023</v>
      </c>
      <c r="E473" s="10" t="str">
        <f>VLOOKUP(A473,Sheet2!A:B,2,0)</f>
        <v>EMEA</v>
      </c>
      <c r="F473" t="s">
        <v>13</v>
      </c>
      <c r="G473" t="s">
        <v>1279</v>
      </c>
      <c r="H473" t="s">
        <v>14</v>
      </c>
      <c r="I473" t="s">
        <v>1246</v>
      </c>
      <c r="J473" s="23">
        <v>-40250</v>
      </c>
      <c r="K473" s="12">
        <v>-4338.3869999999997</v>
      </c>
      <c r="L473" s="12">
        <v>4338.3869999999997</v>
      </c>
      <c r="M473" s="12">
        <v>-4338.3869999999997</v>
      </c>
      <c r="N473" t="s">
        <v>1280</v>
      </c>
      <c r="O473" t="s">
        <v>1248</v>
      </c>
      <c r="P473" t="s">
        <v>1281</v>
      </c>
      <c r="AH473"/>
      <c r="AT473"/>
    </row>
    <row r="474" spans="1:46">
      <c r="A474" t="s">
        <v>1244</v>
      </c>
      <c r="B474" s="10">
        <v>44930</v>
      </c>
      <c r="C474" s="10" t="str">
        <f>UPPER(TEXT(B474, "[$-en-US]mmmm"))</f>
        <v>JANUARY</v>
      </c>
      <c r="D474" s="41">
        <f>YEAR(B474)</f>
        <v>2023</v>
      </c>
      <c r="E474" s="10" t="str">
        <f>VLOOKUP(A474,Sheet2!A:B,2,0)</f>
        <v>EMEA</v>
      </c>
      <c r="F474" t="s">
        <v>13</v>
      </c>
      <c r="G474" t="s">
        <v>1282</v>
      </c>
      <c r="H474" t="s">
        <v>14</v>
      </c>
      <c r="I474" t="s">
        <v>1246</v>
      </c>
      <c r="J474" s="23">
        <v>-40000</v>
      </c>
      <c r="K474" s="12">
        <v>-4311.4399999999996</v>
      </c>
      <c r="L474" s="12">
        <v>4311.4399999999996</v>
      </c>
      <c r="M474" s="12">
        <v>-4311.4399999999996</v>
      </c>
      <c r="N474" t="s">
        <v>1283</v>
      </c>
      <c r="O474" t="s">
        <v>1248</v>
      </c>
      <c r="P474" t="s">
        <v>1284</v>
      </c>
      <c r="AH474"/>
      <c r="AT474"/>
    </row>
    <row r="475" spans="1:46">
      <c r="A475" t="s">
        <v>1244</v>
      </c>
      <c r="B475" s="10">
        <v>45593</v>
      </c>
      <c r="C475" s="10" t="str">
        <f>UPPER(TEXT(B475, "[$-en-US]mmmm"))</f>
        <v>OCTOBER</v>
      </c>
      <c r="D475" s="41">
        <f>YEAR(B475)</f>
        <v>2024</v>
      </c>
      <c r="E475" s="10" t="str">
        <f>VLOOKUP(A475,Sheet2!A:B,2,0)</f>
        <v>EMEA</v>
      </c>
      <c r="F475" t="s">
        <v>13</v>
      </c>
      <c r="G475" t="s">
        <v>1285</v>
      </c>
      <c r="H475" t="s">
        <v>14</v>
      </c>
      <c r="I475" t="s">
        <v>1246</v>
      </c>
      <c r="J475" s="23">
        <v>-38787.5</v>
      </c>
      <c r="K475" s="12">
        <v>-4180.7489999999998</v>
      </c>
      <c r="L475" s="12">
        <v>4180.7489999999998</v>
      </c>
      <c r="M475" s="12">
        <v>-4180.7489999999998</v>
      </c>
      <c r="N475" t="s">
        <v>1286</v>
      </c>
      <c r="O475" t="s">
        <v>1248</v>
      </c>
      <c r="P475" t="s">
        <v>1287</v>
      </c>
      <c r="AH475"/>
      <c r="AT475"/>
    </row>
    <row r="476" spans="1:46">
      <c r="A476" t="s">
        <v>1244</v>
      </c>
      <c r="B476" s="10">
        <v>44872</v>
      </c>
      <c r="C476" s="10" t="str">
        <f>UPPER(TEXT(B476, "[$-en-US]mmmm"))</f>
        <v>NOVEMBER</v>
      </c>
      <c r="D476" s="41">
        <f>YEAR(B476)</f>
        <v>2022</v>
      </c>
      <c r="E476" s="10" t="str">
        <f>VLOOKUP(A476,Sheet2!A:B,2,0)</f>
        <v>EMEA</v>
      </c>
      <c r="F476" t="s">
        <v>13</v>
      </c>
      <c r="G476" t="s">
        <v>1288</v>
      </c>
      <c r="H476" t="s">
        <v>14</v>
      </c>
      <c r="I476" t="s">
        <v>1246</v>
      </c>
      <c r="J476" s="23">
        <v>-30937.5</v>
      </c>
      <c r="K476" s="12">
        <v>-3334.6289999999999</v>
      </c>
      <c r="L476" s="12">
        <v>3334.6289999999999</v>
      </c>
      <c r="M476" s="12">
        <v>-3334.6289999999999</v>
      </c>
      <c r="N476" t="s">
        <v>1289</v>
      </c>
      <c r="O476" t="s">
        <v>1248</v>
      </c>
      <c r="P476" t="s">
        <v>1290</v>
      </c>
      <c r="AH476"/>
      <c r="AT476"/>
    </row>
    <row r="477" spans="1:46">
      <c r="A477" t="s">
        <v>1244</v>
      </c>
      <c r="B477" s="10">
        <v>44894</v>
      </c>
      <c r="C477" s="10" t="str">
        <f>UPPER(TEXT(B477, "[$-en-US]mmmm"))</f>
        <v>NOVEMBER</v>
      </c>
      <c r="D477" s="41">
        <f>YEAR(B477)</f>
        <v>2022</v>
      </c>
      <c r="E477" s="10" t="str">
        <f>VLOOKUP(A477,Sheet2!A:B,2,0)</f>
        <v>EMEA</v>
      </c>
      <c r="F477" t="s">
        <v>13</v>
      </c>
      <c r="G477" t="s">
        <v>1291</v>
      </c>
      <c r="H477" t="s">
        <v>1292</v>
      </c>
      <c r="I477" t="s">
        <v>1246</v>
      </c>
      <c r="J477" s="23">
        <v>-54337.5</v>
      </c>
      <c r="K477" s="12">
        <v>-5856.8220000000001</v>
      </c>
      <c r="L477" s="12">
        <v>2928.4110000000001</v>
      </c>
      <c r="M477" s="12">
        <v>-2928.4110000000001</v>
      </c>
      <c r="N477" t="s">
        <v>1293</v>
      </c>
      <c r="O477" t="s">
        <v>1248</v>
      </c>
      <c r="P477" t="s">
        <v>1292</v>
      </c>
      <c r="AH477"/>
      <c r="AT477"/>
    </row>
    <row r="478" spans="1:46">
      <c r="A478" t="s">
        <v>1244</v>
      </c>
      <c r="B478" s="10">
        <v>45812</v>
      </c>
      <c r="C478" s="10" t="str">
        <f>UPPER(TEXT(B478, "[$-en-US]mmmm"))</f>
        <v>JUNE</v>
      </c>
      <c r="D478" s="41">
        <f>YEAR(B478)</f>
        <v>2025</v>
      </c>
      <c r="E478" s="10" t="str">
        <f>VLOOKUP(A478,Sheet2!A:B,2,0)</f>
        <v>EMEA</v>
      </c>
      <c r="F478" t="s">
        <v>13</v>
      </c>
      <c r="G478" t="s">
        <v>1294</v>
      </c>
      <c r="H478" t="s">
        <v>14</v>
      </c>
      <c r="I478" t="s">
        <v>1246</v>
      </c>
      <c r="J478" s="23">
        <v>-16928</v>
      </c>
      <c r="K478" s="12">
        <v>-1824.6010000000001</v>
      </c>
      <c r="L478" s="12">
        <v>1824.6010000000001</v>
      </c>
      <c r="M478" s="12">
        <v>-26993.163</v>
      </c>
      <c r="N478" t="s">
        <v>1247</v>
      </c>
      <c r="O478" t="s">
        <v>1248</v>
      </c>
      <c r="P478" t="s">
        <v>1295</v>
      </c>
      <c r="AH478"/>
      <c r="AT478"/>
    </row>
    <row r="479" spans="1:46">
      <c r="A479" t="s">
        <v>1244</v>
      </c>
      <c r="B479" s="10">
        <v>45191</v>
      </c>
      <c r="C479" s="10" t="str">
        <f>UPPER(TEXT(B479, "[$-en-US]mmmm"))</f>
        <v>SEPTEMBER</v>
      </c>
      <c r="D479" s="41">
        <f>YEAR(B479)</f>
        <v>2023</v>
      </c>
      <c r="E479" s="10" t="str">
        <f>VLOOKUP(A479,Sheet2!A:B,2,0)</f>
        <v>EMEA</v>
      </c>
      <c r="F479" t="s">
        <v>13</v>
      </c>
      <c r="G479" t="s">
        <v>1296</v>
      </c>
      <c r="H479" t="s">
        <v>14</v>
      </c>
      <c r="I479" t="s">
        <v>1246</v>
      </c>
      <c r="J479" s="23">
        <v>-15000</v>
      </c>
      <c r="K479" s="12">
        <v>-1616.79</v>
      </c>
      <c r="L479" s="12">
        <v>1616.79</v>
      </c>
      <c r="M479" s="12">
        <v>-1616.79</v>
      </c>
      <c r="N479" t="s">
        <v>1297</v>
      </c>
      <c r="O479" t="s">
        <v>1248</v>
      </c>
      <c r="P479" t="s">
        <v>1298</v>
      </c>
      <c r="AH479"/>
      <c r="AT479"/>
    </row>
    <row r="480" spans="1:46">
      <c r="A480" t="s">
        <v>1244</v>
      </c>
      <c r="B480" s="10">
        <v>44762</v>
      </c>
      <c r="C480" s="10" t="str">
        <f>UPPER(TEXT(B480, "[$-en-US]mmmm"))</f>
        <v>JULY</v>
      </c>
      <c r="D480" s="41">
        <f>YEAR(B480)</f>
        <v>2022</v>
      </c>
      <c r="E480" s="10" t="str">
        <f>VLOOKUP(A480,Sheet2!A:B,2,0)</f>
        <v>EMEA</v>
      </c>
      <c r="F480" t="s">
        <v>13</v>
      </c>
      <c r="G480" t="s">
        <v>1299</v>
      </c>
      <c r="H480" t="s">
        <v>1715</v>
      </c>
      <c r="I480" t="s">
        <v>1246</v>
      </c>
      <c r="J480" s="23">
        <v>-18750</v>
      </c>
      <c r="K480" s="12">
        <v>-2020.9880000000001</v>
      </c>
      <c r="L480" s="12">
        <v>1347.325</v>
      </c>
      <c r="M480" s="12">
        <v>-1347.325</v>
      </c>
      <c r="N480" t="s">
        <v>1300</v>
      </c>
      <c r="O480" t="s">
        <v>1248</v>
      </c>
      <c r="P480" t="s">
        <v>14</v>
      </c>
      <c r="AH480"/>
      <c r="AT480"/>
    </row>
    <row r="481" spans="1:46">
      <c r="A481" t="s">
        <v>1244</v>
      </c>
      <c r="B481" s="10">
        <v>44872</v>
      </c>
      <c r="C481" s="10" t="str">
        <f>UPPER(TEXT(B481, "[$-en-US]mmmm"))</f>
        <v>NOVEMBER</v>
      </c>
      <c r="D481" s="41">
        <f>YEAR(B481)</f>
        <v>2022</v>
      </c>
      <c r="E481" s="10" t="str">
        <f>VLOOKUP(A481,Sheet2!A:B,2,0)</f>
        <v>EMEA</v>
      </c>
      <c r="F481" t="s">
        <v>13</v>
      </c>
      <c r="G481" t="s">
        <v>1301</v>
      </c>
      <c r="H481" t="s">
        <v>14</v>
      </c>
      <c r="I481" t="s">
        <v>1246</v>
      </c>
      <c r="J481" s="23">
        <v>-12265</v>
      </c>
      <c r="K481" s="12">
        <v>-1321.9949999999999</v>
      </c>
      <c r="L481" s="12">
        <v>1321.9949999999999</v>
      </c>
      <c r="M481" s="12">
        <v>-26993.163</v>
      </c>
      <c r="N481" t="s">
        <v>1247</v>
      </c>
      <c r="O481" t="s">
        <v>1248</v>
      </c>
      <c r="P481" t="s">
        <v>1302</v>
      </c>
      <c r="AH481"/>
      <c r="AT481"/>
    </row>
    <row r="482" spans="1:46">
      <c r="A482" t="s">
        <v>1244</v>
      </c>
      <c r="B482" s="10">
        <v>44809</v>
      </c>
      <c r="C482" s="10" t="str">
        <f>UPPER(TEXT(B482, "[$-en-US]mmmm"))</f>
        <v>SEPTEMBER</v>
      </c>
      <c r="D482" s="41">
        <f>YEAR(B482)</f>
        <v>2022</v>
      </c>
      <c r="E482" s="10" t="str">
        <f>VLOOKUP(A482,Sheet2!A:B,2,0)</f>
        <v>EMEA</v>
      </c>
      <c r="F482" t="s">
        <v>13</v>
      </c>
      <c r="G482" t="s">
        <v>1303</v>
      </c>
      <c r="H482" t="s">
        <v>1716</v>
      </c>
      <c r="I482" t="s">
        <v>1246</v>
      </c>
      <c r="J482" s="23">
        <v>-21938</v>
      </c>
      <c r="K482" s="12">
        <v>-2364.6089999999999</v>
      </c>
      <c r="L482" s="12">
        <v>1182.3320000000001</v>
      </c>
      <c r="M482" s="12">
        <v>-1182.3320000000001</v>
      </c>
      <c r="N482" t="s">
        <v>1304</v>
      </c>
      <c r="O482" t="s">
        <v>1248</v>
      </c>
      <c r="P482" t="s">
        <v>14</v>
      </c>
      <c r="AH482"/>
      <c r="AT482"/>
    </row>
    <row r="483" spans="1:46">
      <c r="A483" t="s">
        <v>1244</v>
      </c>
      <c r="B483" s="10">
        <v>44792</v>
      </c>
      <c r="C483" s="10" t="str">
        <f>UPPER(TEXT(B483, "[$-en-US]mmmm"))</f>
        <v>AUGUST</v>
      </c>
      <c r="D483" s="41">
        <f>YEAR(B483)</f>
        <v>2022</v>
      </c>
      <c r="E483" s="10" t="str">
        <f>VLOOKUP(A483,Sheet2!A:B,2,0)</f>
        <v>EMEA</v>
      </c>
      <c r="F483" t="s">
        <v>13</v>
      </c>
      <c r="G483" t="s">
        <v>1305</v>
      </c>
      <c r="H483" t="s">
        <v>14</v>
      </c>
      <c r="I483" t="s">
        <v>593</v>
      </c>
      <c r="J483" s="15">
        <v>-937.5</v>
      </c>
      <c r="K483" s="12">
        <v>-1065.596</v>
      </c>
      <c r="L483" s="12">
        <v>1065.596</v>
      </c>
      <c r="M483" s="12">
        <v>58108.741000000002</v>
      </c>
      <c r="N483" t="s">
        <v>1306</v>
      </c>
      <c r="O483" t="s">
        <v>874</v>
      </c>
      <c r="P483" t="s">
        <v>14</v>
      </c>
      <c r="AH483"/>
      <c r="AT483"/>
    </row>
    <row r="484" spans="1:46">
      <c r="A484" t="s">
        <v>1244</v>
      </c>
      <c r="B484" s="10">
        <v>45021</v>
      </c>
      <c r="C484" s="10" t="str">
        <f>UPPER(TEXT(B484, "[$-en-US]mmmm"))</f>
        <v>APRIL</v>
      </c>
      <c r="D484" s="41">
        <f>YEAR(B484)</f>
        <v>2023</v>
      </c>
      <c r="E484" s="10" t="str">
        <f>VLOOKUP(A484,Sheet2!A:B,2,0)</f>
        <v>EMEA</v>
      </c>
      <c r="F484" t="s">
        <v>13</v>
      </c>
      <c r="G484" t="s">
        <v>1307</v>
      </c>
      <c r="H484" t="s">
        <v>14</v>
      </c>
      <c r="I484" t="s">
        <v>1246</v>
      </c>
      <c r="J484" s="23">
        <v>-6250</v>
      </c>
      <c r="K484" s="12">
        <v>-673.66300000000001</v>
      </c>
      <c r="L484" s="12">
        <v>673.66300000000001</v>
      </c>
      <c r="M484" s="12">
        <v>-11317.53</v>
      </c>
      <c r="N484" t="s">
        <v>1262</v>
      </c>
      <c r="O484" t="s">
        <v>1248</v>
      </c>
      <c r="P484" t="s">
        <v>1308</v>
      </c>
      <c r="AH484"/>
      <c r="AT484"/>
    </row>
    <row r="485" spans="1:46">
      <c r="A485" t="s">
        <v>1244</v>
      </c>
      <c r="B485" s="10">
        <v>45896</v>
      </c>
      <c r="C485" s="10" t="str">
        <f>UPPER(TEXT(B485, "[$-en-US]mmmm"))</f>
        <v>AUGUST</v>
      </c>
      <c r="D485" s="41">
        <f>YEAR(B485)</f>
        <v>2025</v>
      </c>
      <c r="E485" s="10" t="str">
        <f>VLOOKUP(A485,Sheet2!A:B,2,0)</f>
        <v>EMEA</v>
      </c>
      <c r="F485" t="s">
        <v>13</v>
      </c>
      <c r="G485" t="s">
        <v>1309</v>
      </c>
      <c r="H485" t="s">
        <v>14</v>
      </c>
      <c r="I485" t="s">
        <v>1246</v>
      </c>
      <c r="J485" s="23">
        <v>-586.72</v>
      </c>
      <c r="K485" s="12">
        <v>-63.24</v>
      </c>
      <c r="L485" s="12">
        <v>63.24</v>
      </c>
      <c r="M485" s="12">
        <v>-26993.163</v>
      </c>
      <c r="N485" t="s">
        <v>1247</v>
      </c>
      <c r="O485" t="s">
        <v>1248</v>
      </c>
      <c r="P485" t="s">
        <v>1310</v>
      </c>
      <c r="AH485"/>
      <c r="AT485"/>
    </row>
    <row r="486" spans="1:46">
      <c r="A486" t="s">
        <v>1311</v>
      </c>
      <c r="B486" s="10">
        <v>45657</v>
      </c>
      <c r="C486" s="10" t="str">
        <f>UPPER(TEXT(B486, "[$-en-US]mmmm"))</f>
        <v>DECEMBER</v>
      </c>
      <c r="D486" s="41">
        <f>YEAR(B486)</f>
        <v>2024</v>
      </c>
      <c r="E486" s="10" t="str">
        <f>VLOOKUP(A486,Sheet2!A:B,2,0)</f>
        <v>EMEA</v>
      </c>
      <c r="F486" t="s">
        <v>13</v>
      </c>
      <c r="G486" t="s">
        <v>1312</v>
      </c>
      <c r="H486" t="s">
        <v>1717</v>
      </c>
      <c r="I486" t="s">
        <v>593</v>
      </c>
      <c r="J486" s="15">
        <v>-16315</v>
      </c>
      <c r="K486" s="12">
        <v>-19079.577000000001</v>
      </c>
      <c r="L486" s="12">
        <v>14676.598</v>
      </c>
      <c r="M486" s="12">
        <v>-14676.598</v>
      </c>
      <c r="N486" t="s">
        <v>1313</v>
      </c>
      <c r="O486" t="s">
        <v>1256</v>
      </c>
      <c r="P486" t="s">
        <v>1314</v>
      </c>
      <c r="AH486"/>
      <c r="AT486"/>
    </row>
    <row r="487" spans="1:46">
      <c r="A487" t="s">
        <v>1311</v>
      </c>
      <c r="B487" s="10">
        <v>44834</v>
      </c>
      <c r="C487" s="10" t="str">
        <f>UPPER(TEXT(B487, "[$-en-US]mmmm"))</f>
        <v>SEPTEMBER</v>
      </c>
      <c r="D487" s="41">
        <f>YEAR(B487)</f>
        <v>2022</v>
      </c>
      <c r="E487" s="10" t="str">
        <f>VLOOKUP(A487,Sheet2!A:B,2,0)</f>
        <v>EMEA</v>
      </c>
      <c r="F487" t="s">
        <v>13</v>
      </c>
      <c r="G487" t="s">
        <v>1315</v>
      </c>
      <c r="H487" t="s">
        <v>14</v>
      </c>
      <c r="I487" t="s">
        <v>593</v>
      </c>
      <c r="J487" s="15">
        <v>-9920</v>
      </c>
      <c r="K487" s="12">
        <v>-11600.944</v>
      </c>
      <c r="L487" s="12">
        <v>11600.944</v>
      </c>
      <c r="M487" s="12">
        <v>-11600.944</v>
      </c>
      <c r="N487" t="s">
        <v>1316</v>
      </c>
      <c r="O487" t="s">
        <v>1256</v>
      </c>
      <c r="P487" t="s">
        <v>14</v>
      </c>
      <c r="AH487"/>
      <c r="AT487"/>
    </row>
    <row r="488" spans="1:46">
      <c r="A488" t="s">
        <v>1311</v>
      </c>
      <c r="B488" s="10">
        <v>45236</v>
      </c>
      <c r="C488" s="10" t="str">
        <f>UPPER(TEXT(B488, "[$-en-US]mmmm"))</f>
        <v>NOVEMBER</v>
      </c>
      <c r="D488" s="41">
        <f>YEAR(B488)</f>
        <v>2023</v>
      </c>
      <c r="E488" s="10" t="str">
        <f>VLOOKUP(A488,Sheet2!A:B,2,0)</f>
        <v>EMEA</v>
      </c>
      <c r="F488" t="s">
        <v>13</v>
      </c>
      <c r="G488" t="s">
        <v>1317</v>
      </c>
      <c r="H488" t="s">
        <v>14</v>
      </c>
      <c r="I488" t="s">
        <v>593</v>
      </c>
      <c r="J488" s="15">
        <v>-8332.7999999999993</v>
      </c>
      <c r="K488" s="12">
        <v>-9744.7929999999997</v>
      </c>
      <c r="L488" s="12">
        <v>9744.7929999999997</v>
      </c>
      <c r="M488" s="12">
        <v>-9744.7929999999997</v>
      </c>
      <c r="N488" t="s">
        <v>1318</v>
      </c>
      <c r="O488" t="s">
        <v>1256</v>
      </c>
      <c r="P488" t="s">
        <v>1319</v>
      </c>
      <c r="AH488"/>
      <c r="AT488"/>
    </row>
    <row r="489" spans="1:46">
      <c r="A489" t="s">
        <v>1311</v>
      </c>
      <c r="B489" s="10">
        <v>45945</v>
      </c>
      <c r="C489" s="10" t="str">
        <f>UPPER(TEXT(B489, "[$-en-US]mmmm"))</f>
        <v>OCTOBER</v>
      </c>
      <c r="D489" s="41">
        <f>YEAR(B489)</f>
        <v>2025</v>
      </c>
      <c r="E489" s="10" t="str">
        <f>VLOOKUP(A489,Sheet2!A:B,2,0)</f>
        <v>EMEA</v>
      </c>
      <c r="F489" t="s">
        <v>13</v>
      </c>
      <c r="G489" t="s">
        <v>1320</v>
      </c>
      <c r="H489" t="s">
        <v>14</v>
      </c>
      <c r="I489" t="s">
        <v>593</v>
      </c>
      <c r="J489" s="15">
        <v>-6212.25</v>
      </c>
      <c r="K489" s="12">
        <v>-7264.9160000000002</v>
      </c>
      <c r="L489" s="12">
        <v>7264.9160000000002</v>
      </c>
      <c r="M489" s="12">
        <v>-7264.9160000000002</v>
      </c>
      <c r="N489" t="s">
        <v>1321</v>
      </c>
      <c r="O489" t="s">
        <v>1256</v>
      </c>
      <c r="P489" t="s">
        <v>1322</v>
      </c>
      <c r="AH489"/>
      <c r="AT489"/>
    </row>
    <row r="490" spans="1:46">
      <c r="A490" t="s">
        <v>1311</v>
      </c>
      <c r="B490" s="10">
        <v>45687</v>
      </c>
      <c r="C490" s="10" t="str">
        <f>UPPER(TEXT(B490, "[$-en-US]mmmm"))</f>
        <v>JANUARY</v>
      </c>
      <c r="D490" s="41">
        <f>YEAR(B490)</f>
        <v>2025</v>
      </c>
      <c r="E490" s="10" t="str">
        <f>VLOOKUP(A490,Sheet2!A:B,2,0)</f>
        <v>EMEA</v>
      </c>
      <c r="F490" t="s">
        <v>13</v>
      </c>
      <c r="G490" t="s">
        <v>1323</v>
      </c>
      <c r="H490" t="s">
        <v>1718</v>
      </c>
      <c r="I490" t="s">
        <v>593</v>
      </c>
      <c r="J490" s="15">
        <v>-19954.5</v>
      </c>
      <c r="K490" s="12">
        <v>-23335.79</v>
      </c>
      <c r="L490" s="12">
        <v>6914.1629999999996</v>
      </c>
      <c r="M490" s="12">
        <v>-6914.1629999999996</v>
      </c>
      <c r="N490" t="s">
        <v>1324</v>
      </c>
      <c r="O490" t="s">
        <v>1256</v>
      </c>
      <c r="P490" t="s">
        <v>1325</v>
      </c>
      <c r="AH490"/>
      <c r="AT490"/>
    </row>
    <row r="491" spans="1:46">
      <c r="A491" t="s">
        <v>1311</v>
      </c>
      <c r="B491" s="10">
        <v>44992</v>
      </c>
      <c r="C491" s="10" t="str">
        <f>UPPER(TEXT(B491, "[$-en-US]mmmm"))</f>
        <v>MARCH</v>
      </c>
      <c r="D491" s="41">
        <f>YEAR(B491)</f>
        <v>2023</v>
      </c>
      <c r="E491" s="10" t="str">
        <f>VLOOKUP(A491,Sheet2!A:B,2,0)</f>
        <v>EMEA</v>
      </c>
      <c r="F491" t="s">
        <v>13</v>
      </c>
      <c r="G491" t="s">
        <v>1326</v>
      </c>
      <c r="H491" t="s">
        <v>14</v>
      </c>
      <c r="I491" t="s">
        <v>593</v>
      </c>
      <c r="J491" s="15">
        <v>-5580</v>
      </c>
      <c r="K491" s="12">
        <v>-6525.5309999999999</v>
      </c>
      <c r="L491" s="12">
        <v>6525.5309999999999</v>
      </c>
      <c r="M491" s="12">
        <v>-13051.062</v>
      </c>
      <c r="N491" t="s">
        <v>1327</v>
      </c>
      <c r="O491" t="s">
        <v>1256</v>
      </c>
      <c r="P491" t="s">
        <v>1328</v>
      </c>
      <c r="AH491"/>
      <c r="AT491"/>
    </row>
    <row r="492" spans="1:46">
      <c r="A492" t="s">
        <v>1311</v>
      </c>
      <c r="B492" s="10">
        <v>44994</v>
      </c>
      <c r="C492" s="10" t="str">
        <f>UPPER(TEXT(B492, "[$-en-US]mmmm"))</f>
        <v>MARCH</v>
      </c>
      <c r="D492" s="41">
        <f>YEAR(B492)</f>
        <v>2023</v>
      </c>
      <c r="E492" s="10" t="str">
        <f>VLOOKUP(A492,Sheet2!A:B,2,0)</f>
        <v>EMEA</v>
      </c>
      <c r="F492" t="s">
        <v>13</v>
      </c>
      <c r="G492" t="s">
        <v>1329</v>
      </c>
      <c r="H492" t="s">
        <v>14</v>
      </c>
      <c r="I492" t="s">
        <v>593</v>
      </c>
      <c r="J492" s="15">
        <v>-5580</v>
      </c>
      <c r="K492" s="12">
        <v>-6525.5309999999999</v>
      </c>
      <c r="L492" s="12">
        <v>6525.5309999999999</v>
      </c>
      <c r="M492" s="12">
        <v>-13051.062</v>
      </c>
      <c r="N492" t="s">
        <v>1327</v>
      </c>
      <c r="O492" t="s">
        <v>1256</v>
      </c>
      <c r="P492" t="s">
        <v>1328</v>
      </c>
      <c r="AH492"/>
      <c r="AT492"/>
    </row>
    <row r="493" spans="1:46">
      <c r="A493" t="s">
        <v>1311</v>
      </c>
      <c r="B493" s="10">
        <v>45103</v>
      </c>
      <c r="C493" s="10" t="str">
        <f>UPPER(TEXT(B493, "[$-en-US]mmmm"))</f>
        <v>JUNE</v>
      </c>
      <c r="D493" s="41">
        <f>YEAR(B493)</f>
        <v>2023</v>
      </c>
      <c r="E493" s="10" t="str">
        <f>VLOOKUP(A493,Sheet2!A:B,2,0)</f>
        <v>EMEA</v>
      </c>
      <c r="F493" t="s">
        <v>13</v>
      </c>
      <c r="G493" t="s">
        <v>1330</v>
      </c>
      <c r="H493" t="s">
        <v>14</v>
      </c>
      <c r="I493" t="s">
        <v>593</v>
      </c>
      <c r="J493" s="15">
        <v>-5208</v>
      </c>
      <c r="K493" s="12">
        <v>-6090.4960000000001</v>
      </c>
      <c r="L493" s="12">
        <v>6090.4960000000001</v>
      </c>
      <c r="M493" s="12">
        <v>-6090.4960000000001</v>
      </c>
      <c r="N493" t="s">
        <v>1331</v>
      </c>
      <c r="O493" t="s">
        <v>1256</v>
      </c>
      <c r="P493" t="s">
        <v>1332</v>
      </c>
      <c r="AH493"/>
      <c r="AT493"/>
    </row>
    <row r="494" spans="1:46">
      <c r="A494" t="s">
        <v>1311</v>
      </c>
      <c r="B494" s="10">
        <v>45723</v>
      </c>
      <c r="C494" s="10" t="str">
        <f>UPPER(TEXT(B494, "[$-en-US]mmmm"))</f>
        <v>MARCH</v>
      </c>
      <c r="D494" s="41">
        <f>YEAR(B494)</f>
        <v>2025</v>
      </c>
      <c r="E494" s="10" t="str">
        <f>VLOOKUP(A494,Sheet2!A:B,2,0)</f>
        <v>EMEA</v>
      </c>
      <c r="F494" t="s">
        <v>13</v>
      </c>
      <c r="G494" t="s">
        <v>1333</v>
      </c>
      <c r="H494" t="s">
        <v>1719</v>
      </c>
      <c r="I494" t="s">
        <v>593</v>
      </c>
      <c r="J494" s="15">
        <v>-6977.8</v>
      </c>
      <c r="K494" s="12">
        <v>-8160.1880000000001</v>
      </c>
      <c r="L494" s="12">
        <v>6090.4960000000001</v>
      </c>
      <c r="M494" s="12">
        <v>-6090.4960000000001</v>
      </c>
      <c r="N494" t="s">
        <v>1334</v>
      </c>
      <c r="O494" t="s">
        <v>1256</v>
      </c>
      <c r="P494" t="s">
        <v>1335</v>
      </c>
      <c r="AH494"/>
      <c r="AT494"/>
    </row>
    <row r="495" spans="1:46">
      <c r="A495" t="s">
        <v>1311</v>
      </c>
      <c r="B495" s="10">
        <v>44907</v>
      </c>
      <c r="C495" s="10" t="str">
        <f>UPPER(TEXT(B495, "[$-en-US]mmmm"))</f>
        <v>DECEMBER</v>
      </c>
      <c r="D495" s="41">
        <f>YEAR(B495)</f>
        <v>2022</v>
      </c>
      <c r="E495" s="10" t="str">
        <f>VLOOKUP(A495,Sheet2!A:B,2,0)</f>
        <v>EMEA</v>
      </c>
      <c r="F495" t="s">
        <v>13</v>
      </c>
      <c r="G495" t="s">
        <v>1336</v>
      </c>
      <c r="H495" t="s">
        <v>14</v>
      </c>
      <c r="I495" t="s">
        <v>593</v>
      </c>
      <c r="J495" s="15">
        <v>-4774</v>
      </c>
      <c r="K495" s="12">
        <v>-5582.9539999999997</v>
      </c>
      <c r="L495" s="12">
        <v>5582.9539999999997</v>
      </c>
      <c r="M495" s="12">
        <v>-5582.9539999999997</v>
      </c>
      <c r="N495" t="s">
        <v>1337</v>
      </c>
      <c r="O495" t="s">
        <v>1256</v>
      </c>
      <c r="P495" t="s">
        <v>14</v>
      </c>
      <c r="AH495"/>
      <c r="AT495"/>
    </row>
    <row r="496" spans="1:46">
      <c r="A496" t="s">
        <v>1311</v>
      </c>
      <c r="B496" s="10">
        <v>44992</v>
      </c>
      <c r="C496" s="10" t="str">
        <f>UPPER(TEXT(B496, "[$-en-US]mmmm"))</f>
        <v>MARCH</v>
      </c>
      <c r="D496" s="41">
        <f>YEAR(B496)</f>
        <v>2023</v>
      </c>
      <c r="E496" s="10" t="str">
        <f>VLOOKUP(A496,Sheet2!A:B,2,0)</f>
        <v>EMEA</v>
      </c>
      <c r="F496" t="s">
        <v>13</v>
      </c>
      <c r="G496" t="s">
        <v>1338</v>
      </c>
      <c r="H496" t="s">
        <v>14</v>
      </c>
      <c r="I496" t="s">
        <v>593</v>
      </c>
      <c r="J496" s="15">
        <v>-4526</v>
      </c>
      <c r="K496" s="12">
        <v>-5292.9309999999996</v>
      </c>
      <c r="L496" s="12">
        <v>5292.9309999999996</v>
      </c>
      <c r="M496" s="12">
        <v>-5680.1120000000001</v>
      </c>
      <c r="N496" t="s">
        <v>1339</v>
      </c>
      <c r="O496" t="s">
        <v>1256</v>
      </c>
      <c r="P496" t="s">
        <v>1340</v>
      </c>
      <c r="AH496"/>
      <c r="AT496"/>
    </row>
    <row r="497" spans="1:46">
      <c r="A497" t="s">
        <v>1311</v>
      </c>
      <c r="B497" s="10">
        <v>45146</v>
      </c>
      <c r="C497" s="10" t="str">
        <f>UPPER(TEXT(B497, "[$-en-US]mmmm"))</f>
        <v>AUGUST</v>
      </c>
      <c r="D497" s="41">
        <f>YEAR(B497)</f>
        <v>2023</v>
      </c>
      <c r="E497" s="10" t="str">
        <f>VLOOKUP(A497,Sheet2!A:B,2,0)</f>
        <v>EMEA</v>
      </c>
      <c r="F497" t="s">
        <v>13</v>
      </c>
      <c r="G497" t="s">
        <v>1341</v>
      </c>
      <c r="H497" t="s">
        <v>14</v>
      </c>
      <c r="I497" t="s">
        <v>593</v>
      </c>
      <c r="J497" s="15">
        <v>-4077.12</v>
      </c>
      <c r="K497" s="12">
        <v>-4767.9880000000003</v>
      </c>
      <c r="L497" s="12">
        <v>4767.9880000000003</v>
      </c>
      <c r="M497" s="12">
        <v>-4767.9880000000003</v>
      </c>
      <c r="N497" t="s">
        <v>1342</v>
      </c>
      <c r="O497" t="s">
        <v>1256</v>
      </c>
      <c r="P497" t="s">
        <v>1343</v>
      </c>
      <c r="AH497"/>
      <c r="AT497"/>
    </row>
    <row r="498" spans="1:46">
      <c r="A498" t="s">
        <v>1311</v>
      </c>
      <c r="B498" s="10">
        <v>44683</v>
      </c>
      <c r="C498" s="10" t="str">
        <f>UPPER(TEXT(B498, "[$-en-US]mmmm"))</f>
        <v>MAY</v>
      </c>
      <c r="D498" s="41">
        <f>YEAR(B498)</f>
        <v>2022</v>
      </c>
      <c r="E498" s="10" t="str">
        <f>VLOOKUP(A498,Sheet2!A:B,2,0)</f>
        <v>EMEA</v>
      </c>
      <c r="F498" t="s">
        <v>13</v>
      </c>
      <c r="G498" t="s">
        <v>1344</v>
      </c>
      <c r="H498" t="s">
        <v>14</v>
      </c>
      <c r="I498" t="s">
        <v>593</v>
      </c>
      <c r="J498" s="15">
        <v>-3286</v>
      </c>
      <c r="K498" s="12">
        <v>-3842.8130000000001</v>
      </c>
      <c r="L498" s="12">
        <v>3842.8130000000001</v>
      </c>
      <c r="M498" s="12">
        <v>-3842.8130000000001</v>
      </c>
      <c r="N498" t="s">
        <v>1345</v>
      </c>
      <c r="O498" t="s">
        <v>1256</v>
      </c>
      <c r="P498" t="s">
        <v>14</v>
      </c>
      <c r="AH498"/>
      <c r="AT498"/>
    </row>
    <row r="499" spans="1:46">
      <c r="A499" t="s">
        <v>1311</v>
      </c>
      <c r="B499" s="10">
        <v>45666</v>
      </c>
      <c r="C499" s="10" t="str">
        <f>UPPER(TEXT(B499, "[$-en-US]mmmm"))</f>
        <v>JANUARY</v>
      </c>
      <c r="D499" s="41">
        <f>YEAR(B499)</f>
        <v>2025</v>
      </c>
      <c r="E499" s="10" t="str">
        <f>VLOOKUP(A499,Sheet2!A:B,2,0)</f>
        <v>EMEA</v>
      </c>
      <c r="F499" t="s">
        <v>13</v>
      </c>
      <c r="G499" t="s">
        <v>1346</v>
      </c>
      <c r="H499" t="s">
        <v>1720</v>
      </c>
      <c r="I499" t="s">
        <v>593</v>
      </c>
      <c r="J499" s="15">
        <v>-118547.31</v>
      </c>
      <c r="K499" s="12">
        <v>-138635.152</v>
      </c>
      <c r="L499" s="12">
        <v>3749.8649999999998</v>
      </c>
      <c r="M499" s="12">
        <v>-3749.8649999999998</v>
      </c>
      <c r="N499" t="s">
        <v>1347</v>
      </c>
      <c r="O499" t="s">
        <v>1256</v>
      </c>
      <c r="P499" t="s">
        <v>1348</v>
      </c>
      <c r="AH499"/>
      <c r="AT499"/>
    </row>
    <row r="500" spans="1:46">
      <c r="A500" t="s">
        <v>1311</v>
      </c>
      <c r="B500" s="10">
        <v>45159</v>
      </c>
      <c r="C500" s="10" t="str">
        <f>UPPER(TEXT(B500, "[$-en-US]mmmm"))</f>
        <v>AUGUST</v>
      </c>
      <c r="D500" s="41">
        <f>YEAR(B500)</f>
        <v>2023</v>
      </c>
      <c r="E500" s="10" t="str">
        <f>VLOOKUP(A500,Sheet2!A:B,2,0)</f>
        <v>EMEA</v>
      </c>
      <c r="F500" t="s">
        <v>13</v>
      </c>
      <c r="G500" t="s">
        <v>1349</v>
      </c>
      <c r="H500" t="s">
        <v>14</v>
      </c>
      <c r="I500" t="s">
        <v>593</v>
      </c>
      <c r="J500" s="15">
        <v>-2046</v>
      </c>
      <c r="K500" s="12">
        <v>-2392.6950000000002</v>
      </c>
      <c r="L500" s="12">
        <v>2392.6950000000002</v>
      </c>
      <c r="M500" s="12">
        <v>-2392.6950000000002</v>
      </c>
      <c r="N500" t="s">
        <v>1350</v>
      </c>
      <c r="O500" t="s">
        <v>1256</v>
      </c>
      <c r="P500" t="s">
        <v>1351</v>
      </c>
      <c r="AH500"/>
      <c r="AT500"/>
    </row>
    <row r="501" spans="1:46">
      <c r="A501" t="s">
        <v>1311</v>
      </c>
      <c r="B501" s="10">
        <v>46024</v>
      </c>
      <c r="C501" s="10" t="str">
        <f>UPPER(TEXT(B501, "[$-en-US]mmmm"))</f>
        <v>JANUARY</v>
      </c>
      <c r="D501" s="41">
        <f>YEAR(B501)</f>
        <v>2026</v>
      </c>
      <c r="E501" s="10" t="str">
        <f>VLOOKUP(A501,Sheet2!A:B,2,0)</f>
        <v>EMEA</v>
      </c>
      <c r="F501" t="s">
        <v>13</v>
      </c>
      <c r="G501" t="s">
        <v>1352</v>
      </c>
      <c r="H501" t="s">
        <v>14</v>
      </c>
      <c r="I501" t="s">
        <v>593</v>
      </c>
      <c r="J501" s="15">
        <v>-2008</v>
      </c>
      <c r="K501" s="12">
        <v>-2348.2559999999999</v>
      </c>
      <c r="L501" s="12">
        <v>2348.2559999999999</v>
      </c>
      <c r="M501" s="12">
        <v>-2348.2559999999999</v>
      </c>
      <c r="N501" t="s">
        <v>1353</v>
      </c>
      <c r="O501" t="s">
        <v>1256</v>
      </c>
      <c r="P501" t="s">
        <v>1354</v>
      </c>
      <c r="AH501"/>
      <c r="AT501"/>
    </row>
    <row r="502" spans="1:46">
      <c r="A502" t="s">
        <v>1311</v>
      </c>
      <c r="B502" s="10">
        <v>44771</v>
      </c>
      <c r="C502" s="10" t="str">
        <f>UPPER(TEXT(B502, "[$-en-US]mmmm"))</f>
        <v>JULY</v>
      </c>
      <c r="D502" s="41">
        <f>YEAR(B502)</f>
        <v>2022</v>
      </c>
      <c r="E502" s="10" t="str">
        <f>VLOOKUP(A502,Sheet2!A:B,2,0)</f>
        <v>EMEA</v>
      </c>
      <c r="F502" t="s">
        <v>13</v>
      </c>
      <c r="G502" t="s">
        <v>1355</v>
      </c>
      <c r="H502" t="s">
        <v>14</v>
      </c>
      <c r="I502" t="s">
        <v>593</v>
      </c>
      <c r="J502" s="15">
        <v>-1860</v>
      </c>
      <c r="K502" s="12">
        <v>-2175.1770000000001</v>
      </c>
      <c r="L502" s="12">
        <v>2175.1770000000001</v>
      </c>
      <c r="M502" s="12">
        <v>-2175.1770000000001</v>
      </c>
      <c r="N502" t="s">
        <v>1356</v>
      </c>
      <c r="O502" t="s">
        <v>1256</v>
      </c>
      <c r="P502" t="s">
        <v>14</v>
      </c>
      <c r="AH502"/>
      <c r="AT502"/>
    </row>
    <row r="503" spans="1:46">
      <c r="A503" t="s">
        <v>1311</v>
      </c>
      <c r="B503" s="10">
        <v>44798</v>
      </c>
      <c r="C503" s="10" t="str">
        <f>UPPER(TEXT(B503, "[$-en-US]mmmm"))</f>
        <v>AUGUST</v>
      </c>
      <c r="D503" s="41">
        <f>YEAR(B503)</f>
        <v>2022</v>
      </c>
      <c r="E503" s="10" t="str">
        <f>VLOOKUP(A503,Sheet2!A:B,2,0)</f>
        <v>EMEA</v>
      </c>
      <c r="F503" t="s">
        <v>13</v>
      </c>
      <c r="G503" t="s">
        <v>1357</v>
      </c>
      <c r="H503" t="s">
        <v>14</v>
      </c>
      <c r="I503" t="s">
        <v>593</v>
      </c>
      <c r="J503" s="15">
        <v>-1655.4</v>
      </c>
      <c r="K503" s="12">
        <v>-1935.9079999999999</v>
      </c>
      <c r="L503" s="12">
        <v>1935.9079999999999</v>
      </c>
      <c r="M503" s="12">
        <v>-1935.9079999999999</v>
      </c>
      <c r="N503" t="s">
        <v>1358</v>
      </c>
      <c r="O503" t="s">
        <v>1256</v>
      </c>
      <c r="P503" t="s">
        <v>1359</v>
      </c>
      <c r="AH503"/>
      <c r="AT503"/>
    </row>
    <row r="504" spans="1:46">
      <c r="A504" t="s">
        <v>1311</v>
      </c>
      <c r="B504" s="10">
        <v>45838</v>
      </c>
      <c r="C504" s="10" t="str">
        <f>UPPER(TEXT(B504, "[$-en-US]mmmm"))</f>
        <v>JUNE</v>
      </c>
      <c r="D504" s="41">
        <f>YEAR(B504)</f>
        <v>2025</v>
      </c>
      <c r="E504" s="10" t="str">
        <f>VLOOKUP(A504,Sheet2!A:B,2,0)</f>
        <v>EMEA</v>
      </c>
      <c r="F504" t="s">
        <v>484</v>
      </c>
      <c r="G504" t="s">
        <v>1360</v>
      </c>
      <c r="H504" t="s">
        <v>1721</v>
      </c>
      <c r="I504" t="s">
        <v>593</v>
      </c>
      <c r="J504" s="15">
        <v>-3720</v>
      </c>
      <c r="K504" s="12">
        <v>-4350.3540000000003</v>
      </c>
      <c r="L504" s="12">
        <v>1796.626</v>
      </c>
      <c r="M504" s="12">
        <v>-3287.768</v>
      </c>
      <c r="N504" t="s">
        <v>1362</v>
      </c>
      <c r="O504" t="s">
        <v>1256</v>
      </c>
      <c r="P504" t="s">
        <v>1363</v>
      </c>
      <c r="AH504"/>
      <c r="AT504"/>
    </row>
    <row r="505" spans="1:46">
      <c r="A505" t="s">
        <v>1311</v>
      </c>
      <c r="B505" s="10">
        <v>45371</v>
      </c>
      <c r="C505" s="10" t="str">
        <f>UPPER(TEXT(B505, "[$-en-US]mmmm"))</f>
        <v>MARCH</v>
      </c>
      <c r="D505" s="41">
        <f>YEAR(B505)</f>
        <v>2024</v>
      </c>
      <c r="E505" s="10" t="str">
        <f>VLOOKUP(A505,Sheet2!A:B,2,0)</f>
        <v>EMEA</v>
      </c>
      <c r="F505" t="s">
        <v>13</v>
      </c>
      <c r="G505" t="s">
        <v>1364</v>
      </c>
      <c r="H505" t="s">
        <v>14</v>
      </c>
      <c r="I505" t="s">
        <v>593</v>
      </c>
      <c r="J505" s="15">
        <v>-1426</v>
      </c>
      <c r="K505" s="12">
        <v>-1667.636</v>
      </c>
      <c r="L505" s="12">
        <v>1667.636</v>
      </c>
      <c r="M505" s="12">
        <v>-1667.636</v>
      </c>
      <c r="N505" t="s">
        <v>1365</v>
      </c>
      <c r="O505" t="s">
        <v>1256</v>
      </c>
      <c r="P505" t="s">
        <v>1366</v>
      </c>
      <c r="AH505"/>
      <c r="AT505"/>
    </row>
    <row r="506" spans="1:46">
      <c r="A506" t="s">
        <v>1311</v>
      </c>
      <c r="B506" s="10">
        <v>45792</v>
      </c>
      <c r="C506" s="10" t="str">
        <f>UPPER(TEXT(B506, "[$-en-US]mmmm"))</f>
        <v>MAY</v>
      </c>
      <c r="D506" s="41">
        <f>YEAR(B506)</f>
        <v>2025</v>
      </c>
      <c r="E506" s="10" t="str">
        <f>VLOOKUP(A506,Sheet2!A:B,2,0)</f>
        <v>EMEA</v>
      </c>
      <c r="F506" t="s">
        <v>13</v>
      </c>
      <c r="G506" t="s">
        <v>1367</v>
      </c>
      <c r="H506" t="s">
        <v>14</v>
      </c>
      <c r="I506" t="s">
        <v>593</v>
      </c>
      <c r="J506" s="15">
        <v>-1255</v>
      </c>
      <c r="K506" s="12">
        <v>-1467.66</v>
      </c>
      <c r="L506" s="12">
        <v>1467.66</v>
      </c>
      <c r="M506" s="12">
        <v>-1467.66</v>
      </c>
      <c r="N506" t="s">
        <v>1368</v>
      </c>
      <c r="O506" t="s">
        <v>1256</v>
      </c>
      <c r="P506" t="s">
        <v>1369</v>
      </c>
      <c r="AH506"/>
      <c r="AT506"/>
    </row>
    <row r="507" spans="1:46">
      <c r="A507" t="s">
        <v>1311</v>
      </c>
      <c r="B507" s="10">
        <v>45159</v>
      </c>
      <c r="C507" s="10" t="str">
        <f>UPPER(TEXT(B507, "[$-en-US]mmmm"))</f>
        <v>AUGUST</v>
      </c>
      <c r="D507" s="41">
        <f>YEAR(B507)</f>
        <v>2023</v>
      </c>
      <c r="E507" s="10" t="str">
        <f>VLOOKUP(A507,Sheet2!A:B,2,0)</f>
        <v>EMEA</v>
      </c>
      <c r="F507" t="s">
        <v>13</v>
      </c>
      <c r="G507" t="s">
        <v>1370</v>
      </c>
      <c r="H507" t="s">
        <v>14</v>
      </c>
      <c r="I507" t="s">
        <v>593</v>
      </c>
      <c r="J507" s="15">
        <v>-1178</v>
      </c>
      <c r="K507" s="12">
        <v>-1377.6120000000001</v>
      </c>
      <c r="L507" s="12">
        <v>1377.6120000000001</v>
      </c>
      <c r="M507" s="12">
        <v>-1377.6120000000001</v>
      </c>
      <c r="N507" t="s">
        <v>1371</v>
      </c>
      <c r="O507" t="s">
        <v>1256</v>
      </c>
      <c r="P507" t="s">
        <v>1372</v>
      </c>
      <c r="AH507"/>
      <c r="AT507"/>
    </row>
    <row r="508" spans="1:46">
      <c r="A508" t="s">
        <v>1311</v>
      </c>
      <c r="B508" s="10">
        <v>45643</v>
      </c>
      <c r="C508" s="10" t="str">
        <f>UPPER(TEXT(B508, "[$-en-US]mmmm"))</f>
        <v>DECEMBER</v>
      </c>
      <c r="D508" s="41">
        <f>YEAR(B508)</f>
        <v>2024</v>
      </c>
      <c r="E508" s="10" t="str">
        <f>VLOOKUP(A508,Sheet2!A:B,2,0)</f>
        <v>EMEA</v>
      </c>
      <c r="F508" t="s">
        <v>13</v>
      </c>
      <c r="G508" t="s">
        <v>1373</v>
      </c>
      <c r="H508" t="s">
        <v>14</v>
      </c>
      <c r="I508" t="s">
        <v>593</v>
      </c>
      <c r="J508" s="15">
        <v>-1008.8</v>
      </c>
      <c r="K508" s="12">
        <v>-1179.741</v>
      </c>
      <c r="L508" s="12">
        <v>1179.741</v>
      </c>
      <c r="M508" s="12">
        <v>-1179.741</v>
      </c>
      <c r="N508" t="s">
        <v>1374</v>
      </c>
      <c r="O508" t="s">
        <v>1256</v>
      </c>
      <c r="P508" t="s">
        <v>1375</v>
      </c>
      <c r="AH508"/>
      <c r="AT508"/>
    </row>
    <row r="509" spans="1:46">
      <c r="A509" t="s">
        <v>1311</v>
      </c>
      <c r="B509" s="10">
        <v>46146</v>
      </c>
      <c r="C509" s="10" t="str">
        <f>UPPER(TEXT(B509, "[$-en-US]mmmm"))</f>
        <v>MAY</v>
      </c>
      <c r="D509" s="41">
        <f>YEAR(B509)</f>
        <v>2026</v>
      </c>
      <c r="E509" s="10" t="str">
        <f>VLOOKUP(A509,Sheet2!A:B,2,0)</f>
        <v>EMEA</v>
      </c>
      <c r="F509" t="s">
        <v>13</v>
      </c>
      <c r="G509" t="s">
        <v>1765</v>
      </c>
      <c r="H509" t="s">
        <v>14</v>
      </c>
      <c r="I509" t="s">
        <v>593</v>
      </c>
      <c r="J509" s="15">
        <v>-840.85</v>
      </c>
      <c r="K509" s="12">
        <v>-983.33199999999999</v>
      </c>
      <c r="L509" s="12">
        <v>983.33199999999999</v>
      </c>
      <c r="M509" s="12">
        <v>-1722.4480000000001</v>
      </c>
      <c r="N509" t="s">
        <v>1387</v>
      </c>
      <c r="O509" t="s">
        <v>1256</v>
      </c>
      <c r="P509" t="s">
        <v>1766</v>
      </c>
      <c r="AH509"/>
      <c r="AT509"/>
    </row>
    <row r="510" spans="1:46">
      <c r="A510" t="s">
        <v>1311</v>
      </c>
      <c r="B510" s="10">
        <v>45547</v>
      </c>
      <c r="C510" s="10" t="str">
        <f>UPPER(TEXT(B510, "[$-en-US]mmmm"))</f>
        <v>SEPTEMBER</v>
      </c>
      <c r="D510" s="41">
        <f>YEAR(B510)</f>
        <v>2024</v>
      </c>
      <c r="E510" s="10" t="str">
        <f>VLOOKUP(A510,Sheet2!A:B,2,0)</f>
        <v>EMEA</v>
      </c>
      <c r="F510" t="s">
        <v>13</v>
      </c>
      <c r="G510" t="s">
        <v>1376</v>
      </c>
      <c r="H510" t="s">
        <v>14</v>
      </c>
      <c r="I510" t="s">
        <v>593</v>
      </c>
      <c r="J510" s="15">
        <v>-830.8</v>
      </c>
      <c r="K510" s="12">
        <v>-971.57899999999995</v>
      </c>
      <c r="L510" s="12">
        <v>971.57899999999995</v>
      </c>
      <c r="M510" s="12">
        <v>-1943.1579999999999</v>
      </c>
      <c r="N510" t="s">
        <v>1377</v>
      </c>
      <c r="O510" t="s">
        <v>1256</v>
      </c>
      <c r="P510" t="s">
        <v>1378</v>
      </c>
      <c r="AH510"/>
      <c r="AT510"/>
    </row>
    <row r="511" spans="1:46">
      <c r="A511" t="s">
        <v>1311</v>
      </c>
      <c r="B511" s="10">
        <v>45555</v>
      </c>
      <c r="C511" s="10" t="str">
        <f>UPPER(TEXT(B511, "[$-en-US]mmmm"))</f>
        <v>SEPTEMBER</v>
      </c>
      <c r="D511" s="41">
        <f>YEAR(B511)</f>
        <v>2024</v>
      </c>
      <c r="E511" s="10" t="str">
        <f>VLOOKUP(A511,Sheet2!A:B,2,0)</f>
        <v>EMEA</v>
      </c>
      <c r="F511" t="s">
        <v>13</v>
      </c>
      <c r="G511" t="s">
        <v>1379</v>
      </c>
      <c r="H511" t="s">
        <v>1380</v>
      </c>
      <c r="I511" t="s">
        <v>593</v>
      </c>
      <c r="J511" s="15">
        <v>-840.85</v>
      </c>
      <c r="K511" s="12">
        <v>-983.33199999999999</v>
      </c>
      <c r="L511" s="12">
        <v>971.57899999999995</v>
      </c>
      <c r="M511" s="12">
        <v>-1943.1579999999999</v>
      </c>
      <c r="N511" t="s">
        <v>1377</v>
      </c>
      <c r="O511" t="s">
        <v>1256</v>
      </c>
      <c r="P511" t="s">
        <v>1380</v>
      </c>
      <c r="AH511"/>
      <c r="AT511"/>
    </row>
    <row r="512" spans="1:46">
      <c r="A512" t="s">
        <v>1311</v>
      </c>
      <c r="B512" s="10">
        <v>45876</v>
      </c>
      <c r="C512" s="10" t="str">
        <f>UPPER(TEXT(B512, "[$-en-US]mmmm"))</f>
        <v>AUGUST</v>
      </c>
      <c r="D512" s="41">
        <f>YEAR(B512)</f>
        <v>2025</v>
      </c>
      <c r="E512" s="10" t="str">
        <f>VLOOKUP(A512,Sheet2!A:B,2,0)</f>
        <v>EMEA</v>
      </c>
      <c r="F512" t="s">
        <v>13</v>
      </c>
      <c r="G512" t="s">
        <v>1381</v>
      </c>
      <c r="H512" t="s">
        <v>1722</v>
      </c>
      <c r="I512" t="s">
        <v>593</v>
      </c>
      <c r="J512" s="15">
        <v>-1302.69</v>
      </c>
      <c r="K512" s="12">
        <v>-1523.431</v>
      </c>
      <c r="L512" s="12">
        <v>877.66099999999994</v>
      </c>
      <c r="M512" s="12">
        <v>-3287.768</v>
      </c>
      <c r="N512" t="s">
        <v>1362</v>
      </c>
      <c r="O512" t="s">
        <v>1256</v>
      </c>
      <c r="P512" t="s">
        <v>1382</v>
      </c>
      <c r="AH512"/>
      <c r="AT512"/>
    </row>
    <row r="513" spans="1:46">
      <c r="A513" t="s">
        <v>1311</v>
      </c>
      <c r="B513" s="10">
        <v>45204</v>
      </c>
      <c r="C513" s="10" t="str">
        <f>UPPER(TEXT(B513, "[$-en-US]mmmm"))</f>
        <v>OCTOBER</v>
      </c>
      <c r="D513" s="41">
        <f>YEAR(B513)</f>
        <v>2023</v>
      </c>
      <c r="E513" s="10" t="str">
        <f>VLOOKUP(A513,Sheet2!A:B,2,0)</f>
        <v>EMEA</v>
      </c>
      <c r="F513" t="s">
        <v>13</v>
      </c>
      <c r="G513" t="s">
        <v>1383</v>
      </c>
      <c r="H513" t="s">
        <v>14</v>
      </c>
      <c r="I513" t="s">
        <v>593</v>
      </c>
      <c r="J513" s="15">
        <v>-723.34</v>
      </c>
      <c r="K513" s="12">
        <v>-845.91</v>
      </c>
      <c r="L513" s="12">
        <v>845.91</v>
      </c>
      <c r="M513" s="12">
        <v>-845.91</v>
      </c>
      <c r="N513" t="s">
        <v>1384</v>
      </c>
      <c r="O513" t="s">
        <v>1256</v>
      </c>
      <c r="P513" t="s">
        <v>1385</v>
      </c>
      <c r="AH513"/>
      <c r="AT513"/>
    </row>
    <row r="514" spans="1:46">
      <c r="A514" t="s">
        <v>1311</v>
      </c>
      <c r="B514" s="10">
        <v>45932</v>
      </c>
      <c r="C514" s="10" t="str">
        <f>UPPER(TEXT(B514, "[$-en-US]mmmm"))</f>
        <v>OCTOBER</v>
      </c>
      <c r="D514" s="41">
        <f>YEAR(B514)</f>
        <v>2025</v>
      </c>
      <c r="E514" s="10" t="str">
        <f>VLOOKUP(A514,Sheet2!A:B,2,0)</f>
        <v>EMEA</v>
      </c>
      <c r="F514" t="s">
        <v>13</v>
      </c>
      <c r="G514" t="s">
        <v>1386</v>
      </c>
      <c r="H514" t="s">
        <v>1723</v>
      </c>
      <c r="I514" t="s">
        <v>593</v>
      </c>
      <c r="J514" s="15">
        <v>-1472.87</v>
      </c>
      <c r="K514" s="12">
        <v>-1722.4480000000001</v>
      </c>
      <c r="L514" s="12">
        <v>739.11599999999999</v>
      </c>
      <c r="M514" s="12">
        <v>-1722.4480000000001</v>
      </c>
      <c r="N514" t="s">
        <v>1387</v>
      </c>
      <c r="O514" t="s">
        <v>1256</v>
      </c>
      <c r="P514" t="s">
        <v>1388</v>
      </c>
      <c r="AH514"/>
      <c r="AT514"/>
    </row>
    <row r="515" spans="1:46">
      <c r="A515" t="s">
        <v>1311</v>
      </c>
      <c r="B515" s="10">
        <v>45033</v>
      </c>
      <c r="C515" s="10" t="str">
        <f>UPPER(TEXT(B515, "[$-en-US]mmmm"))</f>
        <v>APRIL</v>
      </c>
      <c r="D515" s="41">
        <f>YEAR(B515)</f>
        <v>2023</v>
      </c>
      <c r="E515" s="10" t="str">
        <f>VLOOKUP(A515,Sheet2!A:B,2,0)</f>
        <v>EMEA</v>
      </c>
      <c r="F515" t="s">
        <v>13</v>
      </c>
      <c r="G515" t="s">
        <v>1389</v>
      </c>
      <c r="H515" t="s">
        <v>1724</v>
      </c>
      <c r="I515" t="s">
        <v>593</v>
      </c>
      <c r="J515" s="15">
        <v>-9765</v>
      </c>
      <c r="K515" s="12">
        <v>-11419.679</v>
      </c>
      <c r="L515" s="12">
        <v>725.04700000000003</v>
      </c>
      <c r="M515" s="12">
        <v>-725.04700000000003</v>
      </c>
      <c r="N515" t="s">
        <v>1390</v>
      </c>
      <c r="O515" t="s">
        <v>1256</v>
      </c>
      <c r="P515" t="s">
        <v>14</v>
      </c>
      <c r="AH515"/>
      <c r="AT515"/>
    </row>
    <row r="516" spans="1:46">
      <c r="A516" t="s">
        <v>1311</v>
      </c>
      <c r="B516" s="10">
        <v>45930</v>
      </c>
      <c r="C516" s="10" t="str">
        <f>UPPER(TEXT(B516, "[$-en-US]mmmm"))</f>
        <v>SEPTEMBER</v>
      </c>
      <c r="D516" s="41">
        <f>YEAR(B516)</f>
        <v>2025</v>
      </c>
      <c r="E516" s="10" t="str">
        <f>VLOOKUP(A516,Sheet2!A:B,2,0)</f>
        <v>EMEA</v>
      </c>
      <c r="F516" t="s">
        <v>13</v>
      </c>
      <c r="G516" t="s">
        <v>1391</v>
      </c>
      <c r="H516" t="s">
        <v>14</v>
      </c>
      <c r="I516" t="s">
        <v>593</v>
      </c>
      <c r="J516" s="15">
        <v>-552.20000000000005</v>
      </c>
      <c r="K516" s="12">
        <v>-645.77</v>
      </c>
      <c r="L516" s="12">
        <v>645.77</v>
      </c>
      <c r="M516" s="12">
        <v>-3287.768</v>
      </c>
      <c r="N516" t="s">
        <v>1362</v>
      </c>
      <c r="O516" t="s">
        <v>1256</v>
      </c>
      <c r="P516" t="s">
        <v>1392</v>
      </c>
      <c r="AH516"/>
      <c r="AT516"/>
    </row>
    <row r="517" spans="1:46">
      <c r="A517" t="s">
        <v>1311</v>
      </c>
      <c r="B517" s="10">
        <v>45930</v>
      </c>
      <c r="C517" s="10" t="str">
        <f>UPPER(TEXT(B517, "[$-en-US]mmmm"))</f>
        <v>SEPTEMBER</v>
      </c>
      <c r="D517" s="41">
        <f>YEAR(B517)</f>
        <v>2025</v>
      </c>
      <c r="E517" s="10" t="str">
        <f>VLOOKUP(A517,Sheet2!A:B,2,0)</f>
        <v>EMEA</v>
      </c>
      <c r="F517" t="s">
        <v>13</v>
      </c>
      <c r="G517" t="s">
        <v>1393</v>
      </c>
      <c r="H517" t="s">
        <v>14</v>
      </c>
      <c r="I517" t="s">
        <v>593</v>
      </c>
      <c r="J517" s="15">
        <v>-552.20000000000005</v>
      </c>
      <c r="K517" s="12">
        <v>-645.77</v>
      </c>
      <c r="L517" s="12">
        <v>645.77</v>
      </c>
      <c r="M517" s="12">
        <v>-3287.768</v>
      </c>
      <c r="N517" t="s">
        <v>1362</v>
      </c>
      <c r="O517" t="s">
        <v>1256</v>
      </c>
      <c r="P517" t="s">
        <v>1394</v>
      </c>
      <c r="AH517"/>
      <c r="AT517"/>
    </row>
    <row r="518" spans="1:46">
      <c r="A518" t="s">
        <v>1311</v>
      </c>
      <c r="B518" s="10">
        <v>45722</v>
      </c>
      <c r="C518" s="10" t="str">
        <f>UPPER(TEXT(B518, "[$-en-US]mmmm"))</f>
        <v>MARCH</v>
      </c>
      <c r="D518" s="41">
        <f>YEAR(B518)</f>
        <v>2025</v>
      </c>
      <c r="E518" s="10" t="str">
        <f>VLOOKUP(A518,Sheet2!A:B,2,0)</f>
        <v>EMEA</v>
      </c>
      <c r="F518" t="s">
        <v>13</v>
      </c>
      <c r="G518" t="s">
        <v>1395</v>
      </c>
      <c r="H518" t="s">
        <v>1725</v>
      </c>
      <c r="I518" t="s">
        <v>593</v>
      </c>
      <c r="J518" s="15">
        <v>-3983.01</v>
      </c>
      <c r="K518" s="12">
        <v>-4657.9309999999996</v>
      </c>
      <c r="L518" s="12">
        <v>404.65300000000002</v>
      </c>
      <c r="M518" s="12">
        <v>-404.65300000000002</v>
      </c>
      <c r="N518" t="s">
        <v>1396</v>
      </c>
      <c r="O518" t="s">
        <v>1256</v>
      </c>
      <c r="P518" t="s">
        <v>1397</v>
      </c>
      <c r="AH518"/>
      <c r="AT518"/>
    </row>
    <row r="519" spans="1:46">
      <c r="A519" t="s">
        <v>1311</v>
      </c>
      <c r="B519" s="10">
        <v>44986</v>
      </c>
      <c r="C519" s="10" t="str">
        <f>UPPER(TEXT(B519, "[$-en-US]mmmm"))</f>
        <v>MARCH</v>
      </c>
      <c r="D519" s="41">
        <f>YEAR(B519)</f>
        <v>2023</v>
      </c>
      <c r="E519" s="10" t="str">
        <f>VLOOKUP(A519,Sheet2!A:B,2,0)</f>
        <v>EMEA</v>
      </c>
      <c r="F519" t="s">
        <v>13</v>
      </c>
      <c r="G519" t="s">
        <v>1398</v>
      </c>
      <c r="H519" t="s">
        <v>1726</v>
      </c>
      <c r="I519" t="s">
        <v>593</v>
      </c>
      <c r="J519" s="15">
        <v>-4857.08</v>
      </c>
      <c r="K519" s="12">
        <v>-5680.1120000000001</v>
      </c>
      <c r="L519" s="12">
        <v>387.18200000000002</v>
      </c>
      <c r="M519" s="12">
        <v>-5680.1120000000001</v>
      </c>
      <c r="N519" t="s">
        <v>1339</v>
      </c>
      <c r="O519" t="s">
        <v>1256</v>
      </c>
      <c r="P519" t="s">
        <v>1340</v>
      </c>
      <c r="AH519"/>
      <c r="AT519"/>
    </row>
    <row r="520" spans="1:46">
      <c r="A520" t="s">
        <v>1311</v>
      </c>
      <c r="B520" s="10">
        <v>45854</v>
      </c>
      <c r="C520" s="10" t="str">
        <f>UPPER(TEXT(B520, "[$-en-US]mmmm"))</f>
        <v>JULY</v>
      </c>
      <c r="D520" s="41">
        <f>YEAR(B520)</f>
        <v>2025</v>
      </c>
      <c r="E520" s="10" t="str">
        <f>VLOOKUP(A520,Sheet2!A:B,2,0)</f>
        <v>EMEA</v>
      </c>
      <c r="F520" t="s">
        <v>13</v>
      </c>
      <c r="G520" t="s">
        <v>1399</v>
      </c>
      <c r="H520" t="s">
        <v>1727</v>
      </c>
      <c r="I520" t="s">
        <v>593</v>
      </c>
      <c r="J520" s="15">
        <v>-1631.5</v>
      </c>
      <c r="K520" s="12">
        <v>-1907.9580000000001</v>
      </c>
      <c r="L520" s="12">
        <v>384.52699999999999</v>
      </c>
      <c r="M520" s="12">
        <v>-384.52699999999999</v>
      </c>
      <c r="N520" t="s">
        <v>1400</v>
      </c>
      <c r="O520" t="s">
        <v>1256</v>
      </c>
      <c r="P520" t="s">
        <v>1361</v>
      </c>
      <c r="AH520"/>
      <c r="AT520"/>
    </row>
    <row r="521" spans="1:46">
      <c r="A521" t="s">
        <v>1311</v>
      </c>
      <c r="B521" s="10">
        <v>45273</v>
      </c>
      <c r="C521" s="10" t="str">
        <f>UPPER(TEXT(B521, "[$-en-US]mmmm"))</f>
        <v>DECEMBER</v>
      </c>
      <c r="D521" s="41">
        <f>YEAR(B521)</f>
        <v>2023</v>
      </c>
      <c r="E521" s="10" t="str">
        <f>VLOOKUP(A521,Sheet2!A:B,2,0)</f>
        <v>EMEA</v>
      </c>
      <c r="F521" t="s">
        <v>13</v>
      </c>
      <c r="G521" t="s">
        <v>1401</v>
      </c>
      <c r="H521" t="s">
        <v>14</v>
      </c>
      <c r="I521" t="s">
        <v>593</v>
      </c>
      <c r="J521" s="15">
        <v>-240.66</v>
      </c>
      <c r="K521" s="12">
        <v>-281.44</v>
      </c>
      <c r="L521" s="12">
        <v>281.44</v>
      </c>
      <c r="M521" s="12">
        <v>-281.44</v>
      </c>
      <c r="N521" t="s">
        <v>1402</v>
      </c>
      <c r="O521" t="s">
        <v>1256</v>
      </c>
      <c r="P521" t="s">
        <v>1403</v>
      </c>
      <c r="AH521"/>
      <c r="AT521"/>
    </row>
    <row r="522" spans="1:46">
      <c r="A522" t="s">
        <v>1311</v>
      </c>
      <c r="B522" s="10">
        <v>46008</v>
      </c>
      <c r="C522" s="10" t="str">
        <f>UPPER(TEXT(B522, "[$-en-US]mmmm"))</f>
        <v>DECEMBER</v>
      </c>
      <c r="D522" s="41">
        <f>YEAR(B522)</f>
        <v>2025</v>
      </c>
      <c r="E522" s="10" t="str">
        <f>VLOOKUP(A522,Sheet2!A:B,2,0)</f>
        <v>EMEA</v>
      </c>
      <c r="F522" t="s">
        <v>13</v>
      </c>
      <c r="G522" t="s">
        <v>1404</v>
      </c>
      <c r="H522" t="s">
        <v>1728</v>
      </c>
      <c r="I522" t="s">
        <v>593</v>
      </c>
      <c r="J522" s="15">
        <v>-10667.5</v>
      </c>
      <c r="K522" s="12">
        <v>-12475.108</v>
      </c>
      <c r="L522" s="12">
        <v>172.41200000000001</v>
      </c>
      <c r="M522" s="12">
        <v>-172.41200000000001</v>
      </c>
      <c r="N522" t="s">
        <v>1405</v>
      </c>
      <c r="O522" t="s">
        <v>1256</v>
      </c>
      <c r="P522" t="s">
        <v>1406</v>
      </c>
      <c r="AH522"/>
      <c r="AT522"/>
    </row>
    <row r="523" spans="1:46">
      <c r="A523" t="s">
        <v>1311</v>
      </c>
      <c r="B523" s="10">
        <v>44756</v>
      </c>
      <c r="C523" s="10" t="str">
        <f>UPPER(TEXT(B523, "[$-en-US]mmmm"))</f>
        <v>JULY</v>
      </c>
      <c r="D523" s="41">
        <f>YEAR(B523)</f>
        <v>2022</v>
      </c>
      <c r="E523" s="10" t="str">
        <f>VLOOKUP(A523,Sheet2!A:B,2,0)</f>
        <v>EMEA</v>
      </c>
      <c r="F523" t="s">
        <v>13</v>
      </c>
      <c r="G523" t="s">
        <v>1407</v>
      </c>
      <c r="H523" t="s">
        <v>14</v>
      </c>
      <c r="I523" t="s">
        <v>593</v>
      </c>
      <c r="J523" s="15">
        <v>-114.61</v>
      </c>
      <c r="K523" s="12">
        <v>-134.03100000000001</v>
      </c>
      <c r="L523" s="12">
        <v>134.03100000000001</v>
      </c>
      <c r="M523" s="12">
        <v>7644.5659999999998</v>
      </c>
      <c r="N523" t="s">
        <v>1408</v>
      </c>
      <c r="O523" t="s">
        <v>1256</v>
      </c>
      <c r="P523" t="s">
        <v>14</v>
      </c>
      <c r="AH523"/>
      <c r="AT523"/>
    </row>
    <row r="524" spans="1:46">
      <c r="A524" t="s">
        <v>1409</v>
      </c>
      <c r="B524" s="10">
        <v>45681</v>
      </c>
      <c r="C524" s="10" t="str">
        <f>UPPER(TEXT(B524, "[$-en-US]mmmm"))</f>
        <v>JANUARY</v>
      </c>
      <c r="D524" s="41">
        <f>YEAR(B524)</f>
        <v>2025</v>
      </c>
      <c r="E524" s="10" t="str">
        <f>VLOOKUP(A524,Sheet2!A:B,2,0)</f>
        <v>EMEA</v>
      </c>
      <c r="F524" t="s">
        <v>13</v>
      </c>
      <c r="G524" t="s">
        <v>1410</v>
      </c>
      <c r="H524" t="s">
        <v>14</v>
      </c>
      <c r="I524" t="s">
        <v>1411</v>
      </c>
      <c r="J524" s="25">
        <v>-116550</v>
      </c>
      <c r="K524" s="12">
        <v>-12475.046</v>
      </c>
      <c r="L524" s="12">
        <v>12475.046</v>
      </c>
      <c r="M524" s="12">
        <v>-12475.046</v>
      </c>
      <c r="N524" t="s">
        <v>1412</v>
      </c>
      <c r="O524" t="s">
        <v>1256</v>
      </c>
      <c r="P524" t="s">
        <v>1413</v>
      </c>
      <c r="AH524"/>
      <c r="AT524"/>
    </row>
    <row r="525" spans="1:46">
      <c r="A525" t="s">
        <v>1409</v>
      </c>
      <c r="B525" s="10">
        <v>45302</v>
      </c>
      <c r="C525" s="10" t="str">
        <f>UPPER(TEXT(B525, "[$-en-US]mmmm"))</f>
        <v>JANUARY</v>
      </c>
      <c r="D525" s="41">
        <f>YEAR(B525)</f>
        <v>2024</v>
      </c>
      <c r="E525" s="10" t="str">
        <f>VLOOKUP(A525,Sheet2!A:B,2,0)</f>
        <v>EMEA</v>
      </c>
      <c r="F525" t="s">
        <v>13</v>
      </c>
      <c r="G525" t="s">
        <v>1414</v>
      </c>
      <c r="H525" t="s">
        <v>1729</v>
      </c>
      <c r="I525" t="s">
        <v>1411</v>
      </c>
      <c r="J525" s="25">
        <v>-109911.25</v>
      </c>
      <c r="K525" s="12">
        <v>-11764.460999999999</v>
      </c>
      <c r="L525" s="12">
        <v>10229.966</v>
      </c>
      <c r="M525" s="12">
        <v>-10229.966</v>
      </c>
      <c r="N525" t="s">
        <v>1415</v>
      </c>
      <c r="O525" t="s">
        <v>1256</v>
      </c>
      <c r="P525" t="s">
        <v>1416</v>
      </c>
      <c r="AH525"/>
      <c r="AT525"/>
    </row>
    <row r="526" spans="1:46">
      <c r="A526" t="s">
        <v>1409</v>
      </c>
      <c r="B526" s="10">
        <v>44774</v>
      </c>
      <c r="C526" s="10" t="str">
        <f>UPPER(TEXT(B526, "[$-en-US]mmmm"))</f>
        <v>AUGUST</v>
      </c>
      <c r="D526" s="41">
        <f>YEAR(B526)</f>
        <v>2022</v>
      </c>
      <c r="E526" s="10" t="str">
        <f>VLOOKUP(A526,Sheet2!A:B,2,0)</f>
        <v>EMEA</v>
      </c>
      <c r="F526" t="s">
        <v>13</v>
      </c>
      <c r="G526" t="s">
        <v>1417</v>
      </c>
      <c r="H526" t="s">
        <v>1730</v>
      </c>
      <c r="I526" t="s">
        <v>1411</v>
      </c>
      <c r="J526" s="25">
        <v>-162750</v>
      </c>
      <c r="K526" s="12">
        <v>-17420.109</v>
      </c>
      <c r="L526" s="12">
        <v>8710.0550000000003</v>
      </c>
      <c r="M526" s="12">
        <v>-8710.0550000000003</v>
      </c>
      <c r="N526" t="s">
        <v>1418</v>
      </c>
      <c r="O526" t="s">
        <v>1256</v>
      </c>
      <c r="P526" t="s">
        <v>14</v>
      </c>
      <c r="AH526"/>
      <c r="AT526"/>
    </row>
    <row r="527" spans="1:46">
      <c r="A527" t="s">
        <v>1409</v>
      </c>
      <c r="B527" s="10">
        <v>44942</v>
      </c>
      <c r="C527" s="10" t="str">
        <f>UPPER(TEXT(B527, "[$-en-US]mmmm"))</f>
        <v>JANUARY</v>
      </c>
      <c r="D527" s="41">
        <f>YEAR(B527)</f>
        <v>2023</v>
      </c>
      <c r="E527" s="10" t="str">
        <f>VLOOKUP(A527,Sheet2!A:B,2,0)</f>
        <v>EMEA</v>
      </c>
      <c r="F527" t="s">
        <v>13</v>
      </c>
      <c r="G527" t="s">
        <v>1419</v>
      </c>
      <c r="H527" t="s">
        <v>14</v>
      </c>
      <c r="I527" t="s">
        <v>1411</v>
      </c>
      <c r="J527" s="25">
        <v>-76187.5</v>
      </c>
      <c r="K527" s="12">
        <v>-8154.8050000000003</v>
      </c>
      <c r="L527" s="12">
        <v>8154.8050000000003</v>
      </c>
      <c r="M527" s="12">
        <v>-8154.8050000000003</v>
      </c>
      <c r="N527" t="s">
        <v>1420</v>
      </c>
      <c r="O527" t="s">
        <v>1256</v>
      </c>
      <c r="P527" t="s">
        <v>1420</v>
      </c>
      <c r="AH527"/>
      <c r="AT527"/>
    </row>
    <row r="528" spans="1:46">
      <c r="A528" t="s">
        <v>1409</v>
      </c>
      <c r="B528" s="10">
        <v>45723</v>
      </c>
      <c r="C528" s="10" t="str">
        <f>UPPER(TEXT(B528, "[$-en-US]mmmm"))</f>
        <v>MARCH</v>
      </c>
      <c r="D528" s="41">
        <f>YEAR(B528)</f>
        <v>2025</v>
      </c>
      <c r="E528" s="10" t="str">
        <f>VLOOKUP(A528,Sheet2!A:B,2,0)</f>
        <v>EMEA</v>
      </c>
      <c r="F528" t="s">
        <v>13</v>
      </c>
      <c r="G528" t="s">
        <v>1421</v>
      </c>
      <c r="H528" t="s">
        <v>14</v>
      </c>
      <c r="I528" t="s">
        <v>1411</v>
      </c>
      <c r="J528" s="25">
        <v>-42655</v>
      </c>
      <c r="K528" s="12">
        <v>-4565.6210000000001</v>
      </c>
      <c r="L528" s="12">
        <v>4565.6210000000001</v>
      </c>
      <c r="M528" s="12">
        <v>-12141.629000000001</v>
      </c>
      <c r="N528" t="s">
        <v>1422</v>
      </c>
      <c r="O528" t="s">
        <v>1256</v>
      </c>
      <c r="P528" t="s">
        <v>1423</v>
      </c>
      <c r="AH528"/>
      <c r="AT528"/>
    </row>
    <row r="529" spans="1:46">
      <c r="A529" t="s">
        <v>1409</v>
      </c>
      <c r="B529" s="10">
        <v>45727</v>
      </c>
      <c r="C529" s="10" t="str">
        <f>UPPER(TEXT(B529, "[$-en-US]mmmm"))</f>
        <v>MARCH</v>
      </c>
      <c r="D529" s="41">
        <f>YEAR(B529)</f>
        <v>2025</v>
      </c>
      <c r="E529" s="10" t="str">
        <f>VLOOKUP(A529,Sheet2!A:B,2,0)</f>
        <v>EMEA</v>
      </c>
      <c r="F529" t="s">
        <v>13</v>
      </c>
      <c r="G529" t="s">
        <v>1424</v>
      </c>
      <c r="H529" t="s">
        <v>14</v>
      </c>
      <c r="I529" t="s">
        <v>1411</v>
      </c>
      <c r="J529" s="25">
        <v>-42655</v>
      </c>
      <c r="K529" s="12">
        <v>-4565.6210000000001</v>
      </c>
      <c r="L529" s="12">
        <v>4565.6210000000001</v>
      </c>
      <c r="M529" s="12">
        <v>-12141.629000000001</v>
      </c>
      <c r="N529" t="s">
        <v>1422</v>
      </c>
      <c r="O529" t="s">
        <v>1256</v>
      </c>
      <c r="P529" t="s">
        <v>1425</v>
      </c>
      <c r="AH529"/>
      <c r="AT529"/>
    </row>
    <row r="530" spans="1:46">
      <c r="A530" t="s">
        <v>1409</v>
      </c>
      <c r="B530" s="10">
        <v>45089</v>
      </c>
      <c r="C530" s="10" t="str">
        <f>UPPER(TEXT(B530, "[$-en-US]mmmm"))</f>
        <v>JUNE</v>
      </c>
      <c r="D530" s="41">
        <f>YEAR(B530)</f>
        <v>2023</v>
      </c>
      <c r="E530" s="10" t="str">
        <f>VLOOKUP(A530,Sheet2!A:B,2,0)</f>
        <v>EMEA</v>
      </c>
      <c r="F530" t="s">
        <v>13</v>
      </c>
      <c r="G530" t="s">
        <v>1426</v>
      </c>
      <c r="H530" t="s">
        <v>14</v>
      </c>
      <c r="I530" t="s">
        <v>1411</v>
      </c>
      <c r="J530" s="25">
        <v>-36584</v>
      </c>
      <c r="K530" s="12">
        <v>-3915.8049999999998</v>
      </c>
      <c r="L530" s="12">
        <v>3915.8049999999998</v>
      </c>
      <c r="M530" s="12">
        <v>-3915.8049999999998</v>
      </c>
      <c r="N530" t="s">
        <v>1427</v>
      </c>
      <c r="O530" t="s">
        <v>1256</v>
      </c>
      <c r="P530" t="s">
        <v>1428</v>
      </c>
      <c r="AH530"/>
      <c r="AT530"/>
    </row>
    <row r="531" spans="1:46">
      <c r="A531" t="s">
        <v>1409</v>
      </c>
      <c r="B531" s="10">
        <v>46134</v>
      </c>
      <c r="C531" s="10" t="str">
        <f>UPPER(TEXT(B531, "[$-en-US]mmmm"))</f>
        <v>APRIL</v>
      </c>
      <c r="D531" s="41">
        <f>YEAR(B531)</f>
        <v>2026</v>
      </c>
      <c r="E531" s="10" t="str">
        <f>VLOOKUP(A531,Sheet2!A:B,2,0)</f>
        <v>EMEA</v>
      </c>
      <c r="F531" t="s">
        <v>13</v>
      </c>
      <c r="G531" t="s">
        <v>1429</v>
      </c>
      <c r="H531" t="s">
        <v>14</v>
      </c>
      <c r="I531" t="s">
        <v>1411</v>
      </c>
      <c r="J531" s="25">
        <v>-34500</v>
      </c>
      <c r="K531" s="12">
        <v>-3692.7420000000002</v>
      </c>
      <c r="L531" s="12">
        <v>3692.7420000000002</v>
      </c>
      <c r="M531" s="12">
        <v>-9499.4449999999997</v>
      </c>
      <c r="N531" t="s">
        <v>1430</v>
      </c>
      <c r="O531" t="s">
        <v>1256</v>
      </c>
      <c r="P531" t="s">
        <v>1431</v>
      </c>
      <c r="AH531"/>
      <c r="AT531"/>
    </row>
    <row r="532" spans="1:46">
      <c r="A532" t="s">
        <v>1409</v>
      </c>
      <c r="B532" s="10">
        <v>44655</v>
      </c>
      <c r="C532" s="10" t="str">
        <f>UPPER(TEXT(B532, "[$-en-US]mmmm"))</f>
        <v>APRIL</v>
      </c>
      <c r="D532" s="41">
        <f>YEAR(B532)</f>
        <v>2022</v>
      </c>
      <c r="E532" s="10" t="str">
        <f>VLOOKUP(A532,Sheet2!A:B,2,0)</f>
        <v>EMEA</v>
      </c>
      <c r="F532" t="s">
        <v>13</v>
      </c>
      <c r="G532" t="s">
        <v>1432</v>
      </c>
      <c r="H532" t="s">
        <v>1731</v>
      </c>
      <c r="I532" t="s">
        <v>1411</v>
      </c>
      <c r="J532" s="25">
        <v>-62500</v>
      </c>
      <c r="K532" s="12">
        <v>-6689.75</v>
      </c>
      <c r="L532" s="12">
        <v>3344.875</v>
      </c>
      <c r="M532" s="12">
        <v>-9499.4449999999997</v>
      </c>
      <c r="N532" t="s">
        <v>1430</v>
      </c>
      <c r="O532" t="s">
        <v>1256</v>
      </c>
      <c r="P532" t="s">
        <v>14</v>
      </c>
      <c r="AH532"/>
      <c r="AT532"/>
    </row>
    <row r="533" spans="1:46">
      <c r="A533" t="s">
        <v>1409</v>
      </c>
      <c r="B533" s="10">
        <v>45188</v>
      </c>
      <c r="C533" s="10" t="str">
        <f>UPPER(TEXT(B533, "[$-en-US]mmmm"))</f>
        <v>SEPTEMBER</v>
      </c>
      <c r="D533" s="41">
        <f>YEAR(B533)</f>
        <v>2023</v>
      </c>
      <c r="E533" s="10" t="str">
        <f>VLOOKUP(A533,Sheet2!A:B,2,0)</f>
        <v>EMEA</v>
      </c>
      <c r="F533" t="s">
        <v>13</v>
      </c>
      <c r="G533" t="s">
        <v>1433</v>
      </c>
      <c r="H533" t="s">
        <v>14</v>
      </c>
      <c r="I533" t="s">
        <v>1411</v>
      </c>
      <c r="J533" s="25">
        <v>-28750</v>
      </c>
      <c r="K533" s="12">
        <v>-3077.2849999999999</v>
      </c>
      <c r="L533" s="12">
        <v>3077.2849999999999</v>
      </c>
      <c r="M533" s="12">
        <v>-3077.2849999999999</v>
      </c>
      <c r="N533" t="s">
        <v>1434</v>
      </c>
      <c r="O533" t="s">
        <v>1256</v>
      </c>
      <c r="P533" t="s">
        <v>1435</v>
      </c>
      <c r="AH533"/>
      <c r="AT533"/>
    </row>
    <row r="534" spans="1:46">
      <c r="A534" t="s">
        <v>1409</v>
      </c>
      <c r="B534" s="10">
        <v>46000</v>
      </c>
      <c r="C534" s="10" t="str">
        <f>UPPER(TEXT(B534, "[$-en-US]mmmm"))</f>
        <v>DECEMBER</v>
      </c>
      <c r="D534" s="41">
        <f>YEAR(B534)</f>
        <v>2025</v>
      </c>
      <c r="E534" s="10" t="str">
        <f>VLOOKUP(A534,Sheet2!A:B,2,0)</f>
        <v>EMEA</v>
      </c>
      <c r="F534" t="s">
        <v>13</v>
      </c>
      <c r="G534" t="s">
        <v>1436</v>
      </c>
      <c r="H534" t="s">
        <v>14</v>
      </c>
      <c r="I534" t="s">
        <v>1411</v>
      </c>
      <c r="J534" s="25">
        <v>-28125</v>
      </c>
      <c r="K534" s="12">
        <v>-3010.3879999999999</v>
      </c>
      <c r="L534" s="12">
        <v>3010.3879999999999</v>
      </c>
      <c r="M534" s="12">
        <v>-12141.629000000001</v>
      </c>
      <c r="N534" t="s">
        <v>1422</v>
      </c>
      <c r="O534" t="s">
        <v>1256</v>
      </c>
      <c r="P534" t="s">
        <v>1437</v>
      </c>
      <c r="AH534"/>
      <c r="AT534"/>
    </row>
    <row r="535" spans="1:46">
      <c r="A535" t="s">
        <v>1409</v>
      </c>
      <c r="B535" s="10">
        <v>45723</v>
      </c>
      <c r="C535" s="10" t="str">
        <f>UPPER(TEXT(B535, "[$-en-US]mmmm"))</f>
        <v>MARCH</v>
      </c>
      <c r="D535" s="41">
        <f>YEAR(B535)</f>
        <v>2025</v>
      </c>
      <c r="E535" s="10" t="str">
        <f>VLOOKUP(A535,Sheet2!A:B,2,0)</f>
        <v>EMEA</v>
      </c>
      <c r="F535" t="s">
        <v>13</v>
      </c>
      <c r="G535" t="s">
        <v>1438</v>
      </c>
      <c r="H535" t="s">
        <v>1732</v>
      </c>
      <c r="I535" t="s">
        <v>1411</v>
      </c>
      <c r="J535" s="25">
        <v>-54450</v>
      </c>
      <c r="K535" s="12">
        <v>-5828.11</v>
      </c>
      <c r="L535" s="12">
        <v>2914.0549999999998</v>
      </c>
      <c r="M535" s="12">
        <v>-2914.0549999999998</v>
      </c>
      <c r="N535" t="s">
        <v>1439</v>
      </c>
      <c r="O535" t="s">
        <v>1256</v>
      </c>
      <c r="P535" t="s">
        <v>1440</v>
      </c>
      <c r="AH535"/>
      <c r="AT535"/>
    </row>
    <row r="536" spans="1:46">
      <c r="A536" t="s">
        <v>1409</v>
      </c>
      <c r="B536" s="10">
        <v>46142</v>
      </c>
      <c r="C536" s="10" t="str">
        <f>UPPER(TEXT(B536, "[$-en-US]mmmm"))</f>
        <v>APRIL</v>
      </c>
      <c r="D536" s="41">
        <f>YEAR(B536)</f>
        <v>2026</v>
      </c>
      <c r="E536" s="10" t="str">
        <f>VLOOKUP(A536,Sheet2!A:B,2,0)</f>
        <v>EMEA</v>
      </c>
      <c r="F536" t="s">
        <v>13</v>
      </c>
      <c r="G536" t="s">
        <v>1767</v>
      </c>
      <c r="H536" t="s">
        <v>14</v>
      </c>
      <c r="I536" t="s">
        <v>1411</v>
      </c>
      <c r="J536" s="25">
        <v>-25987.5</v>
      </c>
      <c r="K536" s="12">
        <v>-2781.598</v>
      </c>
      <c r="L536" s="12">
        <v>2781.598</v>
      </c>
      <c r="M536" s="12">
        <v>-2781.598</v>
      </c>
      <c r="N536" t="s">
        <v>1768</v>
      </c>
      <c r="O536" t="s">
        <v>1256</v>
      </c>
      <c r="P536" t="s">
        <v>1769</v>
      </c>
      <c r="AH536"/>
      <c r="AT536"/>
    </row>
    <row r="537" spans="1:46">
      <c r="A537" t="s">
        <v>1409</v>
      </c>
      <c r="B537" s="10">
        <v>44937</v>
      </c>
      <c r="C537" s="10" t="str">
        <f>UPPER(TEXT(B537, "[$-en-US]mmmm"))</f>
        <v>JANUARY</v>
      </c>
      <c r="D537" s="41">
        <f>YEAR(B537)</f>
        <v>2023</v>
      </c>
      <c r="E537" s="10" t="str">
        <f>VLOOKUP(A537,Sheet2!A:B,2,0)</f>
        <v>EMEA</v>
      </c>
      <c r="F537" t="s">
        <v>13</v>
      </c>
      <c r="G537" t="s">
        <v>1441</v>
      </c>
      <c r="H537" t="s">
        <v>14</v>
      </c>
      <c r="I537" t="s">
        <v>1411</v>
      </c>
      <c r="J537" s="25">
        <v>-24500</v>
      </c>
      <c r="K537" s="12">
        <v>-2622.3820000000001</v>
      </c>
      <c r="L537" s="12">
        <v>2622.3820000000001</v>
      </c>
      <c r="M537" s="12">
        <v>-2622.3820000000001</v>
      </c>
      <c r="N537" t="s">
        <v>1442</v>
      </c>
      <c r="O537" t="s">
        <v>1256</v>
      </c>
      <c r="P537" t="s">
        <v>1443</v>
      </c>
      <c r="AH537"/>
      <c r="AT537"/>
    </row>
    <row r="538" spans="1:46">
      <c r="A538" t="s">
        <v>1409</v>
      </c>
      <c r="B538" s="10">
        <v>45749</v>
      </c>
      <c r="C538" s="10" t="str">
        <f>UPPER(TEXT(B538, "[$-en-US]mmmm"))</f>
        <v>APRIL</v>
      </c>
      <c r="D538" s="41">
        <f>YEAR(B538)</f>
        <v>2025</v>
      </c>
      <c r="E538" s="10" t="str">
        <f>VLOOKUP(A538,Sheet2!A:B,2,0)</f>
        <v>EMEA</v>
      </c>
      <c r="F538" t="s">
        <v>13</v>
      </c>
      <c r="G538" t="s">
        <v>1444</v>
      </c>
      <c r="H538" t="s">
        <v>1733</v>
      </c>
      <c r="I538" t="s">
        <v>1411</v>
      </c>
      <c r="J538" s="25">
        <v>-57500</v>
      </c>
      <c r="K538" s="12">
        <v>-6154.57</v>
      </c>
      <c r="L538" s="12">
        <v>2461.828</v>
      </c>
      <c r="M538" s="12">
        <v>-9499.4449999999997</v>
      </c>
      <c r="N538" t="s">
        <v>1430</v>
      </c>
      <c r="O538" t="s">
        <v>1256</v>
      </c>
      <c r="P538" t="s">
        <v>1445</v>
      </c>
      <c r="AH538"/>
      <c r="AT538"/>
    </row>
    <row r="539" spans="1:46">
      <c r="A539" t="s">
        <v>1409</v>
      </c>
      <c r="B539" s="10">
        <v>44796</v>
      </c>
      <c r="C539" s="10" t="str">
        <f>UPPER(TEXT(B539, "[$-en-US]mmmm"))</f>
        <v>AUGUST</v>
      </c>
      <c r="D539" s="41">
        <f>YEAR(B539)</f>
        <v>2022</v>
      </c>
      <c r="E539" s="10" t="str">
        <f>VLOOKUP(A539,Sheet2!A:B,2,0)</f>
        <v>EMEA</v>
      </c>
      <c r="F539" t="s">
        <v>13</v>
      </c>
      <c r="G539" t="s">
        <v>1446</v>
      </c>
      <c r="H539" t="s">
        <v>14</v>
      </c>
      <c r="I539" t="s">
        <v>1411</v>
      </c>
      <c r="J539" s="25">
        <v>-20267.5</v>
      </c>
      <c r="K539" s="12">
        <v>-2169.3519999999999</v>
      </c>
      <c r="L539" s="12">
        <v>2169.3519999999999</v>
      </c>
      <c r="M539" s="12">
        <v>-2169.3519999999999</v>
      </c>
      <c r="N539" t="s">
        <v>1447</v>
      </c>
      <c r="O539" t="s">
        <v>1256</v>
      </c>
      <c r="P539" t="s">
        <v>1448</v>
      </c>
      <c r="AH539"/>
      <c r="AT539"/>
    </row>
    <row r="540" spans="1:46">
      <c r="A540" t="s">
        <v>1409</v>
      </c>
      <c r="B540" s="10">
        <v>44824</v>
      </c>
      <c r="C540" s="10" t="str">
        <f>UPPER(TEXT(B540, "[$-en-US]mmmm"))</f>
        <v>SEPTEMBER</v>
      </c>
      <c r="D540" s="41">
        <f>YEAR(B540)</f>
        <v>2022</v>
      </c>
      <c r="E540" s="10" t="str">
        <f>VLOOKUP(A540,Sheet2!A:B,2,0)</f>
        <v>EMEA</v>
      </c>
      <c r="F540" t="s">
        <v>13</v>
      </c>
      <c r="G540" t="s">
        <v>1449</v>
      </c>
      <c r="H540" t="s">
        <v>14</v>
      </c>
      <c r="I540" t="s">
        <v>1411</v>
      </c>
      <c r="J540" s="25">
        <v>-18800</v>
      </c>
      <c r="K540" s="12">
        <v>-2012.277</v>
      </c>
      <c r="L540" s="12">
        <v>2012.277</v>
      </c>
      <c r="M540" s="12">
        <v>-2012.277</v>
      </c>
      <c r="N540" t="s">
        <v>1450</v>
      </c>
      <c r="O540" t="s">
        <v>1256</v>
      </c>
      <c r="P540" t="s">
        <v>14</v>
      </c>
      <c r="AH540"/>
      <c r="AT540"/>
    </row>
    <row r="541" spans="1:46">
      <c r="A541" t="s">
        <v>1409</v>
      </c>
      <c r="B541" s="10">
        <v>45289</v>
      </c>
      <c r="C541" s="10" t="str">
        <f>UPPER(TEXT(B541, "[$-en-US]mmmm"))</f>
        <v>DECEMBER</v>
      </c>
      <c r="D541" s="41">
        <f>YEAR(B541)</f>
        <v>2023</v>
      </c>
      <c r="E541" s="10" t="str">
        <f>VLOOKUP(A541,Sheet2!A:B,2,0)</f>
        <v>EMEA</v>
      </c>
      <c r="F541" t="s">
        <v>13</v>
      </c>
      <c r="G541" t="s">
        <v>1451</v>
      </c>
      <c r="H541" t="s">
        <v>14</v>
      </c>
      <c r="I541" t="s">
        <v>1411</v>
      </c>
      <c r="J541" s="25">
        <v>-15048.75</v>
      </c>
      <c r="K541" s="12">
        <v>-1610.758</v>
      </c>
      <c r="L541" s="12">
        <v>1610.758</v>
      </c>
      <c r="M541" s="12">
        <v>-1979.731</v>
      </c>
      <c r="N541" t="s">
        <v>1452</v>
      </c>
      <c r="O541" t="s">
        <v>1256</v>
      </c>
      <c r="P541" t="s">
        <v>1453</v>
      </c>
      <c r="AH541"/>
      <c r="AT541"/>
    </row>
    <row r="542" spans="1:46">
      <c r="A542" t="s">
        <v>1409</v>
      </c>
      <c r="B542" s="10">
        <v>45926</v>
      </c>
      <c r="C542" s="10" t="str">
        <f>UPPER(TEXT(B542, "[$-en-US]mmmm"))</f>
        <v>SEPTEMBER</v>
      </c>
      <c r="D542" s="41">
        <f>YEAR(B542)</f>
        <v>2025</v>
      </c>
      <c r="E542" s="10" t="str">
        <f>VLOOKUP(A542,Sheet2!A:B,2,0)</f>
        <v>EMEA</v>
      </c>
      <c r="F542" t="s">
        <v>13</v>
      </c>
      <c r="G542" t="s">
        <v>1454</v>
      </c>
      <c r="H542" t="s">
        <v>14</v>
      </c>
      <c r="I542" t="s">
        <v>1411</v>
      </c>
      <c r="J542" s="25">
        <v>-15000</v>
      </c>
      <c r="K542" s="12">
        <v>-1605.54</v>
      </c>
      <c r="L542" s="12">
        <v>1605.54</v>
      </c>
      <c r="M542" s="12">
        <v>-1605.54</v>
      </c>
      <c r="N542" t="s">
        <v>1455</v>
      </c>
      <c r="O542" t="s">
        <v>1256</v>
      </c>
      <c r="P542" t="s">
        <v>1456</v>
      </c>
      <c r="AH542"/>
      <c r="AT542"/>
    </row>
    <row r="543" spans="1:46">
      <c r="A543" t="s">
        <v>1409</v>
      </c>
      <c r="B543" s="10">
        <v>44715</v>
      </c>
      <c r="C543" s="10" t="str">
        <f>UPPER(TEXT(B543, "[$-en-US]mmmm"))</f>
        <v>JUNE</v>
      </c>
      <c r="D543" s="41">
        <f>YEAR(B543)</f>
        <v>2022</v>
      </c>
      <c r="E543" s="10" t="str">
        <f>VLOOKUP(A543,Sheet2!A:B,2,0)</f>
        <v>EMEA</v>
      </c>
      <c r="F543" t="s">
        <v>13</v>
      </c>
      <c r="G543" t="s">
        <v>1457</v>
      </c>
      <c r="H543" t="s">
        <v>14</v>
      </c>
      <c r="I543" t="s">
        <v>1411</v>
      </c>
      <c r="J543" s="25">
        <v>-12500</v>
      </c>
      <c r="K543" s="12">
        <v>-1337.95</v>
      </c>
      <c r="L543" s="12">
        <v>1337.95</v>
      </c>
      <c r="M543" s="12">
        <v>-2675.9</v>
      </c>
      <c r="N543" t="s">
        <v>1458</v>
      </c>
      <c r="O543" t="s">
        <v>1256</v>
      </c>
      <c r="P543" t="s">
        <v>1459</v>
      </c>
      <c r="AH543"/>
      <c r="AT543"/>
    </row>
    <row r="544" spans="1:46">
      <c r="A544" t="s">
        <v>1409</v>
      </c>
      <c r="B544" s="10">
        <v>45061</v>
      </c>
      <c r="C544" s="10" t="str">
        <f>UPPER(TEXT(B544, "[$-en-US]mmmm"))</f>
        <v>MAY</v>
      </c>
      <c r="D544" s="41">
        <f>YEAR(B544)</f>
        <v>2023</v>
      </c>
      <c r="E544" s="10" t="str">
        <f>VLOOKUP(A544,Sheet2!A:B,2,0)</f>
        <v>EMEA</v>
      </c>
      <c r="F544" t="s">
        <v>13</v>
      </c>
      <c r="G544" t="s">
        <v>1460</v>
      </c>
      <c r="H544" t="s">
        <v>14</v>
      </c>
      <c r="I544" t="s">
        <v>1411</v>
      </c>
      <c r="J544" s="25">
        <v>-12500</v>
      </c>
      <c r="K544" s="12">
        <v>-1337.95</v>
      </c>
      <c r="L544" s="12">
        <v>1337.95</v>
      </c>
      <c r="M544" s="12">
        <v>-2675.9</v>
      </c>
      <c r="N544" t="s">
        <v>1458</v>
      </c>
      <c r="O544" t="s">
        <v>1256</v>
      </c>
      <c r="P544" t="s">
        <v>1461</v>
      </c>
      <c r="AH544"/>
      <c r="AT544"/>
    </row>
    <row r="545" spans="1:46">
      <c r="A545" t="s">
        <v>1409</v>
      </c>
      <c r="B545" s="10">
        <v>45020</v>
      </c>
      <c r="C545" s="10" t="str">
        <f>UPPER(TEXT(B545, "[$-en-US]mmmm"))</f>
        <v>APRIL</v>
      </c>
      <c r="D545" s="41">
        <f>YEAR(B545)</f>
        <v>2023</v>
      </c>
      <c r="E545" s="10" t="str">
        <f>VLOOKUP(A545,Sheet2!A:B,2,0)</f>
        <v>EMEA</v>
      </c>
      <c r="F545" t="s">
        <v>13</v>
      </c>
      <c r="G545" t="s">
        <v>1462</v>
      </c>
      <c r="H545" t="s">
        <v>14</v>
      </c>
      <c r="I545" t="s">
        <v>1411</v>
      </c>
      <c r="J545" s="25">
        <v>-8036.25</v>
      </c>
      <c r="K545" s="12">
        <v>-860.16800000000001</v>
      </c>
      <c r="L545" s="12">
        <v>860.16800000000001</v>
      </c>
      <c r="M545" s="12">
        <v>-860.16800000000001</v>
      </c>
      <c r="N545" t="s">
        <v>1463</v>
      </c>
      <c r="O545" t="s">
        <v>1256</v>
      </c>
      <c r="P545" t="s">
        <v>1464</v>
      </c>
      <c r="AH545"/>
      <c r="AT545"/>
    </row>
    <row r="546" spans="1:46">
      <c r="A546" t="s">
        <v>1409</v>
      </c>
      <c r="B546" s="10">
        <v>45761</v>
      </c>
      <c r="C546" s="10" t="str">
        <f>UPPER(TEXT(B546, "[$-en-US]mmmm"))</f>
        <v>APRIL</v>
      </c>
      <c r="D546" s="41">
        <f>YEAR(B546)</f>
        <v>2025</v>
      </c>
      <c r="E546" s="10" t="str">
        <f>VLOOKUP(A546,Sheet2!A:B,2,0)</f>
        <v>EMEA</v>
      </c>
      <c r="F546" t="s">
        <v>13</v>
      </c>
      <c r="G546" t="s">
        <v>1465</v>
      </c>
      <c r="H546" t="s">
        <v>14</v>
      </c>
      <c r="I546" t="s">
        <v>1411</v>
      </c>
      <c r="J546" s="25">
        <v>-5208.75</v>
      </c>
      <c r="K546" s="12">
        <v>-557.524</v>
      </c>
      <c r="L546" s="12">
        <v>557.524</v>
      </c>
      <c r="M546" s="12">
        <v>-557.524</v>
      </c>
      <c r="N546" t="s">
        <v>1466</v>
      </c>
      <c r="O546" t="s">
        <v>1256</v>
      </c>
      <c r="P546" t="s">
        <v>1467</v>
      </c>
      <c r="AH546"/>
      <c r="AT546"/>
    </row>
    <row r="547" spans="1:46">
      <c r="A547" t="s">
        <v>1409</v>
      </c>
      <c r="B547" s="10">
        <v>45901</v>
      </c>
      <c r="C547" s="10" t="str">
        <f>UPPER(TEXT(B547, "[$-en-US]mmmm"))</f>
        <v>SEPTEMBER</v>
      </c>
      <c r="D547" s="41">
        <f>YEAR(B547)</f>
        <v>2025</v>
      </c>
      <c r="E547" s="10" t="str">
        <f>VLOOKUP(A547,Sheet2!A:B,2,0)</f>
        <v>EMEA</v>
      </c>
      <c r="F547" t="s">
        <v>13</v>
      </c>
      <c r="G547" t="s">
        <v>1468</v>
      </c>
      <c r="H547" t="s">
        <v>14</v>
      </c>
      <c r="I547" t="s">
        <v>1411</v>
      </c>
      <c r="J547" s="25">
        <v>-3004</v>
      </c>
      <c r="K547" s="12">
        <v>-321.536</v>
      </c>
      <c r="L547" s="12">
        <v>321.536</v>
      </c>
      <c r="M547" s="12">
        <v>-1979.731</v>
      </c>
      <c r="N547" t="s">
        <v>1452</v>
      </c>
      <c r="O547" t="s">
        <v>1256</v>
      </c>
      <c r="P547" t="s">
        <v>1469</v>
      </c>
      <c r="AH547"/>
      <c r="AT547"/>
    </row>
    <row r="548" spans="1:46">
      <c r="A548" t="s">
        <v>1409</v>
      </c>
      <c r="B548" s="10">
        <v>45103</v>
      </c>
      <c r="C548" s="10" t="str">
        <f>UPPER(TEXT(B548, "[$-en-US]mmmm"))</f>
        <v>JUNE</v>
      </c>
      <c r="D548" s="41">
        <f>YEAR(B548)</f>
        <v>2023</v>
      </c>
      <c r="E548" s="10" t="str">
        <f>VLOOKUP(A548,Sheet2!A:B,2,0)</f>
        <v>EMEA</v>
      </c>
      <c r="F548" t="s">
        <v>13</v>
      </c>
      <c r="G548" t="s">
        <v>1470</v>
      </c>
      <c r="H548" t="s">
        <v>14</v>
      </c>
      <c r="I548" t="s">
        <v>1411</v>
      </c>
      <c r="J548" s="25">
        <v>-443.19</v>
      </c>
      <c r="K548" s="12">
        <v>-47.436999999999998</v>
      </c>
      <c r="L548" s="12">
        <v>47.436999999999998</v>
      </c>
      <c r="M548" s="12">
        <v>-1979.731</v>
      </c>
      <c r="N548" t="s">
        <v>1452</v>
      </c>
      <c r="O548" t="s">
        <v>1256</v>
      </c>
      <c r="P548" t="s">
        <v>1471</v>
      </c>
      <c r="AH548"/>
      <c r="AT548"/>
    </row>
    <row r="549" spans="1:46">
      <c r="A549" t="s">
        <v>1770</v>
      </c>
      <c r="B549" s="10" t="s">
        <v>14</v>
      </c>
      <c r="C549" s="10" t="str">
        <f>UPPER(TEXT(B549, "[$-en-US]mmmm"))</f>
        <v/>
      </c>
      <c r="D549" s="41" t="e">
        <f>YEAR(B549)</f>
        <v>#VALUE!</v>
      </c>
      <c r="E549" s="10" t="e">
        <f>VLOOKUP(A549,Sheet2!A:B,2,0)</f>
        <v>#N/A</v>
      </c>
      <c r="F549" t="s">
        <v>14</v>
      </c>
      <c r="G549" t="s">
        <v>14</v>
      </c>
      <c r="H549" t="s">
        <v>14</v>
      </c>
      <c r="I549" t="s">
        <v>14</v>
      </c>
      <c r="J549" s="11">
        <v>-14611696.16</v>
      </c>
      <c r="K549" s="12">
        <v>-6776077.2599999998</v>
      </c>
      <c r="L549" s="12">
        <v>3256517.25</v>
      </c>
      <c r="M549" s="12">
        <v>-14871008.34</v>
      </c>
      <c r="N549" t="s">
        <v>14</v>
      </c>
      <c r="O549" t="s">
        <v>14</v>
      </c>
      <c r="P549" t="s">
        <v>14</v>
      </c>
      <c r="AH549"/>
      <c r="AT549"/>
    </row>
    <row r="550" spans="1:46">
      <c r="J550"/>
      <c r="AH550"/>
      <c r="AT550"/>
    </row>
    <row r="551" spans="1:46">
      <c r="J551"/>
      <c r="AH551"/>
      <c r="AT551"/>
    </row>
    <row r="552" spans="1:46">
      <c r="J552"/>
      <c r="AH552"/>
      <c r="AT552"/>
    </row>
    <row r="553" spans="1:46">
      <c r="J553"/>
      <c r="AH553"/>
      <c r="AT553"/>
    </row>
    <row r="554" spans="1:46">
      <c r="J554"/>
      <c r="AH554"/>
      <c r="AT554"/>
    </row>
    <row r="555" spans="1:46">
      <c r="J555"/>
      <c r="AH555"/>
      <c r="AT555"/>
    </row>
    <row r="556" spans="1:46">
      <c r="J556"/>
      <c r="AH556"/>
      <c r="AT556"/>
    </row>
    <row r="557" spans="1:46">
      <c r="J557"/>
      <c r="AH557"/>
      <c r="AT557"/>
    </row>
    <row r="558" spans="1:46">
      <c r="J558"/>
      <c r="AH558"/>
      <c r="AT558"/>
    </row>
    <row r="559" spans="1:46">
      <c r="J559"/>
      <c r="AH559"/>
      <c r="AT559"/>
    </row>
    <row r="560" spans="1:46">
      <c r="J560"/>
      <c r="AH560"/>
      <c r="AT560"/>
    </row>
    <row r="561" spans="10:46">
      <c r="J561"/>
      <c r="AH561"/>
      <c r="AT561"/>
    </row>
    <row r="562" spans="10:46">
      <c r="J562"/>
      <c r="AH562"/>
      <c r="AT562"/>
    </row>
    <row r="563" spans="10:46">
      <c r="J563"/>
      <c r="AH563"/>
      <c r="AT563"/>
    </row>
    <row r="564" spans="10:46">
      <c r="J564"/>
      <c r="AH564"/>
      <c r="AT564"/>
    </row>
    <row r="565" spans="10:46">
      <c r="J565"/>
      <c r="AH565"/>
      <c r="AT565"/>
    </row>
    <row r="566" spans="10:46">
      <c r="J566"/>
      <c r="AH566"/>
      <c r="AT566"/>
    </row>
    <row r="567" spans="10:46">
      <c r="J567"/>
      <c r="AH567"/>
      <c r="AT567"/>
    </row>
    <row r="568" spans="10:46">
      <c r="J568"/>
      <c r="AH568"/>
      <c r="AT568"/>
    </row>
    <row r="569" spans="10:46">
      <c r="J569"/>
      <c r="AH569"/>
      <c r="AT569"/>
    </row>
    <row r="570" spans="10:46">
      <c r="J570"/>
      <c r="AH570"/>
      <c r="AT570"/>
    </row>
    <row r="571" spans="10:46">
      <c r="J571"/>
      <c r="AH571"/>
      <c r="AT571"/>
    </row>
    <row r="572" spans="10:46">
      <c r="J572"/>
      <c r="AH572"/>
      <c r="AT572"/>
    </row>
    <row r="573" spans="10:46">
      <c r="J573"/>
      <c r="AH573"/>
      <c r="AT573"/>
    </row>
    <row r="574" spans="10:46">
      <c r="J574"/>
      <c r="AH574"/>
      <c r="AT574"/>
    </row>
    <row r="575" spans="10:46">
      <c r="J575"/>
      <c r="AH575"/>
      <c r="AT575"/>
    </row>
    <row r="576" spans="10:46">
      <c r="J576"/>
      <c r="AH576"/>
      <c r="AT576"/>
    </row>
    <row r="577" spans="10:46">
      <c r="J577"/>
      <c r="AH577"/>
      <c r="AT577"/>
    </row>
    <row r="578" spans="10:46">
      <c r="J578"/>
      <c r="AH578"/>
      <c r="AT578"/>
    </row>
    <row r="579" spans="10:46">
      <c r="J579"/>
      <c r="AH579"/>
      <c r="AT579"/>
    </row>
    <row r="580" spans="10:46">
      <c r="J580"/>
      <c r="AH580"/>
      <c r="AT580"/>
    </row>
    <row r="581" spans="10:46">
      <c r="J581"/>
      <c r="AH581"/>
      <c r="AT581"/>
    </row>
    <row r="582" spans="10:46">
      <c r="J582"/>
      <c r="AH582"/>
      <c r="AT582"/>
    </row>
    <row r="583" spans="10:46">
      <c r="J583"/>
      <c r="AH583"/>
      <c r="AT583"/>
    </row>
    <row r="584" spans="10:46">
      <c r="J584"/>
      <c r="AH584"/>
      <c r="AT584"/>
    </row>
    <row r="585" spans="10:46">
      <c r="J585"/>
      <c r="AH585"/>
      <c r="AT585"/>
    </row>
    <row r="586" spans="10:46">
      <c r="J586"/>
      <c r="AH586"/>
    </row>
    <row r="587" spans="10:46">
      <c r="J587"/>
      <c r="AH587"/>
    </row>
    <row r="588" spans="10:46">
      <c r="J588"/>
      <c r="AH588"/>
    </row>
    <row r="589" spans="10:46">
      <c r="J589"/>
    </row>
  </sheetData>
  <conditionalFormatting sqref="BL1:BL1048576">
    <cfRule type="duplicateValues" dxfId="51" priority="3"/>
  </conditionalFormatting>
  <conditionalFormatting sqref="AV586:AV1048576 AV1:AV543">
    <cfRule type="duplicateValues" dxfId="50" priority="2"/>
  </conditionalFormatting>
  <conditionalFormatting sqref="AT586:AT1048576 AT1:AT544">
    <cfRule type="duplicateValues" dxfId="49"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026B-429F-4117-B739-C397083C9FC8}">
  <dimension ref="A1:M589"/>
  <sheetViews>
    <sheetView zoomScale="85" zoomScaleNormal="85" workbookViewId="0">
      <selection activeCell="K13" sqref="K13"/>
    </sheetView>
  </sheetViews>
  <sheetFormatPr defaultRowHeight="10.199999999999999"/>
  <cols>
    <col min="1" max="1" width="15.5703125" customWidth="1"/>
    <col min="2" max="2" width="11.85546875" customWidth="1"/>
    <col min="7" max="7" width="29" bestFit="1" customWidth="1"/>
    <col min="8" max="8" width="15.28515625" bestFit="1" customWidth="1"/>
    <col min="9" max="9" width="14.42578125" bestFit="1" customWidth="1"/>
    <col min="10" max="10" width="16.42578125" bestFit="1" customWidth="1"/>
  </cols>
  <sheetData>
    <row r="1" spans="1:13">
      <c r="A1" s="1" t="s">
        <v>0</v>
      </c>
      <c r="B1" s="1" t="s">
        <v>1</v>
      </c>
      <c r="C1" s="1" t="s">
        <v>2</v>
      </c>
      <c r="D1" s="1" t="s">
        <v>3</v>
      </c>
      <c r="E1" s="1" t="s">
        <v>1734</v>
      </c>
      <c r="F1" s="1" t="s">
        <v>4</v>
      </c>
      <c r="G1" s="1" t="s">
        <v>5</v>
      </c>
      <c r="H1" s="1" t="s">
        <v>6</v>
      </c>
      <c r="I1" s="1" t="s">
        <v>7</v>
      </c>
      <c r="J1" s="1" t="s">
        <v>8</v>
      </c>
      <c r="K1" s="1" t="s">
        <v>9</v>
      </c>
      <c r="L1" s="1" t="s">
        <v>10</v>
      </c>
      <c r="M1" s="1" t="s">
        <v>11</v>
      </c>
    </row>
    <row r="2" spans="1:13">
      <c r="A2" t="s">
        <v>12</v>
      </c>
      <c r="B2" s="10">
        <v>45736</v>
      </c>
      <c r="C2" t="s">
        <v>13</v>
      </c>
      <c r="D2" t="s">
        <v>17</v>
      </c>
      <c r="E2" t="s">
        <v>14</v>
      </c>
      <c r="F2" t="s">
        <v>15</v>
      </c>
      <c r="G2" s="11">
        <v>-81229.11</v>
      </c>
      <c r="H2" s="12">
        <v>-81229.11</v>
      </c>
      <c r="I2" s="12">
        <v>81229.11</v>
      </c>
      <c r="J2" s="12">
        <v>-250567.82</v>
      </c>
      <c r="K2" t="s">
        <v>18</v>
      </c>
      <c r="L2" t="s">
        <v>14</v>
      </c>
      <c r="M2" t="s">
        <v>19</v>
      </c>
    </row>
    <row r="3" spans="1:13">
      <c r="A3" t="s">
        <v>12</v>
      </c>
      <c r="B3" s="10">
        <v>45922</v>
      </c>
      <c r="C3" t="s">
        <v>13</v>
      </c>
      <c r="D3" t="s">
        <v>20</v>
      </c>
      <c r="E3" t="s">
        <v>14</v>
      </c>
      <c r="F3" t="s">
        <v>15</v>
      </c>
      <c r="G3" s="11">
        <v>-54445.55</v>
      </c>
      <c r="H3" s="12">
        <v>-54445.55</v>
      </c>
      <c r="I3" s="12">
        <v>54445.55</v>
      </c>
      <c r="J3" s="12">
        <v>-50095.55</v>
      </c>
      <c r="K3" t="s">
        <v>21</v>
      </c>
      <c r="L3" t="s">
        <v>14</v>
      </c>
      <c r="M3" t="s">
        <v>22</v>
      </c>
    </row>
    <row r="4" spans="1:13">
      <c r="A4" t="s">
        <v>12</v>
      </c>
      <c r="B4" s="10">
        <v>46071</v>
      </c>
      <c r="C4" t="s">
        <v>13</v>
      </c>
      <c r="D4" t="s">
        <v>23</v>
      </c>
      <c r="E4" t="s">
        <v>14</v>
      </c>
      <c r="F4" t="s">
        <v>15</v>
      </c>
      <c r="G4" s="11">
        <v>-35534</v>
      </c>
      <c r="H4" s="12">
        <v>-35534</v>
      </c>
      <c r="I4" s="12">
        <v>35534</v>
      </c>
      <c r="J4" s="12">
        <v>-35534</v>
      </c>
      <c r="K4" t="s">
        <v>24</v>
      </c>
      <c r="L4" t="s">
        <v>14</v>
      </c>
      <c r="M4" t="s">
        <v>25</v>
      </c>
    </row>
    <row r="5" spans="1:13">
      <c r="A5" t="s">
        <v>12</v>
      </c>
      <c r="B5" s="10">
        <v>45691</v>
      </c>
      <c r="C5" t="s">
        <v>13</v>
      </c>
      <c r="D5" t="s">
        <v>26</v>
      </c>
      <c r="E5" t="s">
        <v>14</v>
      </c>
      <c r="F5" t="s">
        <v>15</v>
      </c>
      <c r="G5" s="11">
        <v>-32613.85</v>
      </c>
      <c r="H5" s="12">
        <v>-32613.85</v>
      </c>
      <c r="I5" s="12">
        <v>32613.85</v>
      </c>
      <c r="J5" s="12">
        <v>-250567.82</v>
      </c>
      <c r="K5" t="s">
        <v>18</v>
      </c>
      <c r="L5" t="s">
        <v>14</v>
      </c>
      <c r="M5" t="s">
        <v>27</v>
      </c>
    </row>
    <row r="6" spans="1:13">
      <c r="A6" t="s">
        <v>12</v>
      </c>
      <c r="B6" s="10">
        <v>44851</v>
      </c>
      <c r="C6" t="s">
        <v>13</v>
      </c>
      <c r="D6" t="s">
        <v>28</v>
      </c>
      <c r="E6" t="s">
        <v>14</v>
      </c>
      <c r="F6" t="s">
        <v>15</v>
      </c>
      <c r="G6" s="11">
        <v>-27218.77</v>
      </c>
      <c r="H6" s="12">
        <v>-27218.77</v>
      </c>
      <c r="I6" s="12">
        <v>27218.77</v>
      </c>
      <c r="J6" s="12">
        <v>-27218.77</v>
      </c>
      <c r="K6" t="s">
        <v>29</v>
      </c>
      <c r="L6" t="s">
        <v>14</v>
      </c>
      <c r="M6" t="s">
        <v>30</v>
      </c>
    </row>
    <row r="7" spans="1:13">
      <c r="A7" t="s">
        <v>12</v>
      </c>
      <c r="B7" s="10">
        <v>45856</v>
      </c>
      <c r="C7" t="s">
        <v>13</v>
      </c>
      <c r="D7" t="s">
        <v>31</v>
      </c>
      <c r="E7" t="s">
        <v>14</v>
      </c>
      <c r="F7" t="s">
        <v>15</v>
      </c>
      <c r="G7" s="11">
        <v>-25699.72</v>
      </c>
      <c r="H7" s="12">
        <v>-25699.72</v>
      </c>
      <c r="I7" s="12">
        <v>25699.72</v>
      </c>
      <c r="J7" s="12">
        <v>-250567.82</v>
      </c>
      <c r="K7" t="s">
        <v>18</v>
      </c>
      <c r="L7" t="s">
        <v>14</v>
      </c>
      <c r="M7" t="s">
        <v>32</v>
      </c>
    </row>
    <row r="8" spans="1:13">
      <c r="A8" t="s">
        <v>12</v>
      </c>
      <c r="B8" s="10">
        <v>45838</v>
      </c>
      <c r="C8" t="s">
        <v>13</v>
      </c>
      <c r="D8" t="s">
        <v>33</v>
      </c>
      <c r="E8" t="s">
        <v>14</v>
      </c>
      <c r="F8" t="s">
        <v>15</v>
      </c>
      <c r="G8" s="11">
        <v>-24128</v>
      </c>
      <c r="H8" s="12">
        <v>-24128</v>
      </c>
      <c r="I8" s="12">
        <v>24128</v>
      </c>
      <c r="J8" s="12">
        <v>-250567.82</v>
      </c>
      <c r="K8" t="s">
        <v>18</v>
      </c>
      <c r="L8" t="s">
        <v>14</v>
      </c>
      <c r="M8" t="s">
        <v>34</v>
      </c>
    </row>
    <row r="9" spans="1:13">
      <c r="A9" t="s">
        <v>12</v>
      </c>
      <c r="B9" s="10">
        <v>46118</v>
      </c>
      <c r="C9" t="s">
        <v>13</v>
      </c>
      <c r="D9" t="s">
        <v>35</v>
      </c>
      <c r="E9" t="s">
        <v>14</v>
      </c>
      <c r="F9" t="s">
        <v>15</v>
      </c>
      <c r="G9" s="11">
        <v>-20913.77</v>
      </c>
      <c r="H9" s="12">
        <v>-20913.77</v>
      </c>
      <c r="I9" s="12">
        <v>20913.77</v>
      </c>
      <c r="J9" s="12">
        <v>-20913.77</v>
      </c>
      <c r="K9" t="s">
        <v>36</v>
      </c>
      <c r="L9" t="s">
        <v>14</v>
      </c>
      <c r="M9" t="s">
        <v>37</v>
      </c>
    </row>
    <row r="10" spans="1:13">
      <c r="A10" t="s">
        <v>12</v>
      </c>
      <c r="B10" s="10">
        <v>46127</v>
      </c>
      <c r="C10" t="s">
        <v>13</v>
      </c>
      <c r="D10" t="s">
        <v>38</v>
      </c>
      <c r="E10" t="s">
        <v>14</v>
      </c>
      <c r="F10" t="s">
        <v>15</v>
      </c>
      <c r="G10" s="11">
        <v>-20698</v>
      </c>
      <c r="H10" s="12">
        <v>-20698</v>
      </c>
      <c r="I10" s="12">
        <v>20698</v>
      </c>
      <c r="J10" s="12">
        <v>-20698</v>
      </c>
      <c r="K10" t="s">
        <v>39</v>
      </c>
      <c r="L10" t="s">
        <v>14</v>
      </c>
      <c r="M10" t="s">
        <v>40</v>
      </c>
    </row>
    <row r="11" spans="1:13">
      <c r="A11" t="s">
        <v>12</v>
      </c>
      <c r="B11" s="10">
        <v>45889</v>
      </c>
      <c r="C11" t="s">
        <v>13</v>
      </c>
      <c r="D11" t="s">
        <v>41</v>
      </c>
      <c r="E11" t="s">
        <v>14</v>
      </c>
      <c r="F11" t="s">
        <v>15</v>
      </c>
      <c r="G11" s="11">
        <v>-20000</v>
      </c>
      <c r="H11" s="12">
        <v>-20000</v>
      </c>
      <c r="I11" s="12">
        <v>20000</v>
      </c>
      <c r="J11" s="12">
        <v>-50095.55</v>
      </c>
      <c r="K11" t="s">
        <v>21</v>
      </c>
      <c r="L11" t="s">
        <v>14</v>
      </c>
      <c r="M11" t="s">
        <v>42</v>
      </c>
    </row>
    <row r="12" spans="1:13">
      <c r="A12" t="s">
        <v>12</v>
      </c>
      <c r="B12" s="10">
        <v>46108</v>
      </c>
      <c r="C12" t="s">
        <v>13</v>
      </c>
      <c r="D12" t="s">
        <v>43</v>
      </c>
      <c r="E12" t="s">
        <v>43</v>
      </c>
      <c r="F12" t="s">
        <v>15</v>
      </c>
      <c r="G12" s="11">
        <v>-39600</v>
      </c>
      <c r="H12" s="12">
        <v>-39600</v>
      </c>
      <c r="I12" s="12">
        <v>19800</v>
      </c>
      <c r="J12" s="12">
        <v>-19800</v>
      </c>
      <c r="K12" t="s">
        <v>44</v>
      </c>
      <c r="L12" t="s">
        <v>14</v>
      </c>
      <c r="M12" t="s">
        <v>45</v>
      </c>
    </row>
    <row r="13" spans="1:13">
      <c r="A13" t="s">
        <v>12</v>
      </c>
      <c r="B13" s="10">
        <v>46108</v>
      </c>
      <c r="C13" t="s">
        <v>13</v>
      </c>
      <c r="D13" t="s">
        <v>43</v>
      </c>
      <c r="E13" t="s">
        <v>1497</v>
      </c>
      <c r="F13" t="s">
        <v>15</v>
      </c>
      <c r="G13" s="11">
        <v>-39600</v>
      </c>
      <c r="H13" s="12">
        <v>-39600</v>
      </c>
      <c r="I13" s="12">
        <v>19800</v>
      </c>
      <c r="J13" s="12">
        <v>-19800</v>
      </c>
      <c r="K13" t="s">
        <v>44</v>
      </c>
      <c r="L13" t="s">
        <v>14</v>
      </c>
      <c r="M13" t="s">
        <v>45</v>
      </c>
    </row>
    <row r="14" spans="1:13">
      <c r="A14" t="s">
        <v>12</v>
      </c>
      <c r="B14" s="10">
        <v>46139</v>
      </c>
      <c r="C14" t="s">
        <v>13</v>
      </c>
      <c r="D14" t="s">
        <v>46</v>
      </c>
      <c r="E14" t="s">
        <v>14</v>
      </c>
      <c r="F14" t="s">
        <v>15</v>
      </c>
      <c r="G14" s="11">
        <v>-19350</v>
      </c>
      <c r="H14" s="12">
        <v>-19350</v>
      </c>
      <c r="I14" s="12">
        <v>19350</v>
      </c>
      <c r="J14" s="12">
        <v>-19350</v>
      </c>
      <c r="K14" t="s">
        <v>47</v>
      </c>
      <c r="L14" t="s">
        <v>14</v>
      </c>
      <c r="M14" t="s">
        <v>14</v>
      </c>
    </row>
    <row r="15" spans="1:13">
      <c r="A15" t="s">
        <v>12</v>
      </c>
      <c r="B15" s="10">
        <v>45049</v>
      </c>
      <c r="C15" t="s">
        <v>13</v>
      </c>
      <c r="D15" t="s">
        <v>48</v>
      </c>
      <c r="E15" t="s">
        <v>14</v>
      </c>
      <c r="F15" t="s">
        <v>15</v>
      </c>
      <c r="G15" s="11">
        <v>-18060</v>
      </c>
      <c r="H15" s="12">
        <v>-18060</v>
      </c>
      <c r="I15" s="12">
        <v>18060</v>
      </c>
      <c r="J15" s="12">
        <v>-18060</v>
      </c>
      <c r="K15" t="s">
        <v>49</v>
      </c>
      <c r="L15" t="s">
        <v>14</v>
      </c>
      <c r="M15" t="s">
        <v>50</v>
      </c>
    </row>
    <row r="16" spans="1:13">
      <c r="A16" t="s">
        <v>12</v>
      </c>
      <c r="B16" s="10">
        <v>44652</v>
      </c>
      <c r="C16" t="s">
        <v>13</v>
      </c>
      <c r="D16" t="s">
        <v>51</v>
      </c>
      <c r="E16" t="s">
        <v>14</v>
      </c>
      <c r="F16" t="s">
        <v>15</v>
      </c>
      <c r="G16" s="11">
        <v>-17850.400000000001</v>
      </c>
      <c r="H16" s="12">
        <v>-17850.400000000001</v>
      </c>
      <c r="I16" s="12">
        <v>17850.400000000001</v>
      </c>
      <c r="J16" s="12">
        <v>-17850.400000000001</v>
      </c>
      <c r="K16" t="s">
        <v>52</v>
      </c>
      <c r="L16" t="s">
        <v>14</v>
      </c>
      <c r="M16" t="s">
        <v>53</v>
      </c>
    </row>
    <row r="17" spans="1:13">
      <c r="A17" t="s">
        <v>12</v>
      </c>
      <c r="B17" s="10">
        <v>46132</v>
      </c>
      <c r="C17" t="s">
        <v>13</v>
      </c>
      <c r="D17" t="s">
        <v>54</v>
      </c>
      <c r="E17" t="s">
        <v>14</v>
      </c>
      <c r="F17" t="s">
        <v>15</v>
      </c>
      <c r="G17" s="11">
        <v>-17200</v>
      </c>
      <c r="H17" s="12">
        <v>-17200</v>
      </c>
      <c r="I17" s="12">
        <v>17200</v>
      </c>
      <c r="J17" s="12">
        <v>0</v>
      </c>
      <c r="K17" t="s">
        <v>55</v>
      </c>
      <c r="L17" t="s">
        <v>14</v>
      </c>
      <c r="M17" t="s">
        <v>56</v>
      </c>
    </row>
    <row r="18" spans="1:13">
      <c r="A18" t="s">
        <v>12</v>
      </c>
      <c r="B18" s="10">
        <v>44907</v>
      </c>
      <c r="C18" t="s">
        <v>13</v>
      </c>
      <c r="D18" t="s">
        <v>57</v>
      </c>
      <c r="E18" t="s">
        <v>14</v>
      </c>
      <c r="F18" t="s">
        <v>15</v>
      </c>
      <c r="G18" s="11">
        <v>-16500</v>
      </c>
      <c r="H18" s="12">
        <v>-16500</v>
      </c>
      <c r="I18" s="12">
        <v>16500</v>
      </c>
      <c r="J18" s="12">
        <v>3500</v>
      </c>
      <c r="K18" t="s">
        <v>58</v>
      </c>
      <c r="L18" t="s">
        <v>14</v>
      </c>
      <c r="M18" t="s">
        <v>50</v>
      </c>
    </row>
    <row r="19" spans="1:13">
      <c r="A19" t="s">
        <v>12</v>
      </c>
      <c r="B19" s="10">
        <v>46143</v>
      </c>
      <c r="C19" t="s">
        <v>13</v>
      </c>
      <c r="D19" t="s">
        <v>1735</v>
      </c>
      <c r="E19" t="s">
        <v>14</v>
      </c>
      <c r="F19" t="s">
        <v>15</v>
      </c>
      <c r="G19" s="11">
        <v>-16483</v>
      </c>
      <c r="H19" s="12">
        <v>-16483</v>
      </c>
      <c r="I19" s="12">
        <v>16483</v>
      </c>
      <c r="J19" s="12">
        <v>-16483</v>
      </c>
      <c r="K19" t="s">
        <v>1736</v>
      </c>
      <c r="L19" t="s">
        <v>76</v>
      </c>
      <c r="M19" t="s">
        <v>59</v>
      </c>
    </row>
    <row r="20" spans="1:13">
      <c r="A20" t="s">
        <v>12</v>
      </c>
      <c r="B20" s="10">
        <v>46056</v>
      </c>
      <c r="C20" t="s">
        <v>13</v>
      </c>
      <c r="D20" t="s">
        <v>60</v>
      </c>
      <c r="E20" t="s">
        <v>1498</v>
      </c>
      <c r="F20" t="s">
        <v>15</v>
      </c>
      <c r="G20" s="11">
        <v>-16000</v>
      </c>
      <c r="H20" s="12">
        <v>-16000</v>
      </c>
      <c r="I20" s="12">
        <v>15999.84</v>
      </c>
      <c r="J20" s="12">
        <v>-15999.84</v>
      </c>
      <c r="K20" t="s">
        <v>61</v>
      </c>
      <c r="L20" t="s">
        <v>62</v>
      </c>
      <c r="M20" t="s">
        <v>14</v>
      </c>
    </row>
    <row r="21" spans="1:13">
      <c r="A21" t="s">
        <v>12</v>
      </c>
      <c r="B21" s="10">
        <v>44680</v>
      </c>
      <c r="C21" t="s">
        <v>13</v>
      </c>
      <c r="D21" t="s">
        <v>63</v>
      </c>
      <c r="E21" t="s">
        <v>14</v>
      </c>
      <c r="F21" t="s">
        <v>15</v>
      </c>
      <c r="G21" s="11">
        <v>-15750</v>
      </c>
      <c r="H21" s="12">
        <v>-15750</v>
      </c>
      <c r="I21" s="12">
        <v>15750</v>
      </c>
      <c r="J21" s="12">
        <v>-15750</v>
      </c>
      <c r="K21" t="s">
        <v>64</v>
      </c>
      <c r="L21" t="s">
        <v>65</v>
      </c>
      <c r="M21" t="s">
        <v>14</v>
      </c>
    </row>
    <row r="22" spans="1:13">
      <c r="A22" t="s">
        <v>12</v>
      </c>
      <c r="B22" s="10">
        <v>46139</v>
      </c>
      <c r="C22" t="s">
        <v>13</v>
      </c>
      <c r="D22" t="s">
        <v>66</v>
      </c>
      <c r="E22" t="s">
        <v>14</v>
      </c>
      <c r="F22" t="s">
        <v>15</v>
      </c>
      <c r="G22" s="11">
        <v>-15000</v>
      </c>
      <c r="H22" s="12">
        <v>-15000</v>
      </c>
      <c r="I22" s="12">
        <v>15000</v>
      </c>
      <c r="J22" s="12">
        <v>-15000</v>
      </c>
      <c r="K22" t="s">
        <v>67</v>
      </c>
      <c r="L22" t="s">
        <v>14</v>
      </c>
      <c r="M22" t="s">
        <v>68</v>
      </c>
    </row>
    <row r="23" spans="1:13">
      <c r="A23" t="s">
        <v>12</v>
      </c>
      <c r="B23" s="10">
        <v>45996</v>
      </c>
      <c r="C23" t="s">
        <v>13</v>
      </c>
      <c r="D23" t="s">
        <v>69</v>
      </c>
      <c r="E23" t="s">
        <v>14</v>
      </c>
      <c r="F23" t="s">
        <v>15</v>
      </c>
      <c r="G23" s="11">
        <v>-14145.99</v>
      </c>
      <c r="H23" s="12">
        <v>-14145.99</v>
      </c>
      <c r="I23" s="12">
        <v>14145.99</v>
      </c>
      <c r="J23" s="12">
        <v>154725.09</v>
      </c>
      <c r="K23" t="s">
        <v>70</v>
      </c>
      <c r="L23" t="s">
        <v>14</v>
      </c>
      <c r="M23" t="s">
        <v>71</v>
      </c>
    </row>
    <row r="24" spans="1:13">
      <c r="A24" t="s">
        <v>12</v>
      </c>
      <c r="B24" s="10">
        <v>45614</v>
      </c>
      <c r="C24" t="s">
        <v>13</v>
      </c>
      <c r="D24" t="s">
        <v>72</v>
      </c>
      <c r="E24" t="s">
        <v>14</v>
      </c>
      <c r="F24" t="s">
        <v>15</v>
      </c>
      <c r="G24" s="11">
        <v>-13975</v>
      </c>
      <c r="H24" s="12">
        <v>-13975</v>
      </c>
      <c r="I24" s="12">
        <v>13975</v>
      </c>
      <c r="J24" s="12">
        <v>-250567.82</v>
      </c>
      <c r="K24" t="s">
        <v>18</v>
      </c>
      <c r="L24" t="s">
        <v>14</v>
      </c>
      <c r="M24" t="s">
        <v>73</v>
      </c>
    </row>
    <row r="25" spans="1:13">
      <c r="A25" t="s">
        <v>12</v>
      </c>
      <c r="B25" s="10">
        <v>44694</v>
      </c>
      <c r="C25" t="s">
        <v>13</v>
      </c>
      <c r="D25" t="s">
        <v>74</v>
      </c>
      <c r="E25" t="s">
        <v>14</v>
      </c>
      <c r="F25" t="s">
        <v>15</v>
      </c>
      <c r="G25" s="11">
        <v>-13650</v>
      </c>
      <c r="H25" s="12">
        <v>-13650</v>
      </c>
      <c r="I25" s="12">
        <v>13650</v>
      </c>
      <c r="J25" s="12">
        <v>-13650</v>
      </c>
      <c r="K25" t="s">
        <v>75</v>
      </c>
      <c r="L25" t="s">
        <v>76</v>
      </c>
      <c r="M25" t="s">
        <v>50</v>
      </c>
    </row>
    <row r="26" spans="1:13">
      <c r="A26" t="s">
        <v>12</v>
      </c>
      <c r="B26" s="10">
        <v>45910</v>
      </c>
      <c r="C26" t="s">
        <v>13</v>
      </c>
      <c r="D26" t="s">
        <v>77</v>
      </c>
      <c r="E26" t="s">
        <v>14</v>
      </c>
      <c r="F26" t="s">
        <v>15</v>
      </c>
      <c r="G26" s="11">
        <v>-13564.62</v>
      </c>
      <c r="H26" s="12">
        <v>-13564.62</v>
      </c>
      <c r="I26" s="12">
        <v>13564.62</v>
      </c>
      <c r="J26" s="12">
        <v>-13564.62</v>
      </c>
      <c r="K26" t="s">
        <v>78</v>
      </c>
      <c r="L26" t="s">
        <v>62</v>
      </c>
      <c r="M26" t="s">
        <v>79</v>
      </c>
    </row>
    <row r="27" spans="1:13">
      <c r="A27" t="s">
        <v>12</v>
      </c>
      <c r="B27" s="10">
        <v>45167</v>
      </c>
      <c r="C27" t="s">
        <v>13</v>
      </c>
      <c r="D27" t="s">
        <v>80</v>
      </c>
      <c r="E27" t="s">
        <v>14</v>
      </c>
      <c r="F27" t="s">
        <v>15</v>
      </c>
      <c r="G27" s="11">
        <v>-13500</v>
      </c>
      <c r="H27" s="12">
        <v>-13500</v>
      </c>
      <c r="I27" s="12">
        <v>13500</v>
      </c>
      <c r="J27" s="12">
        <v>-13500</v>
      </c>
      <c r="K27" t="s">
        <v>81</v>
      </c>
      <c r="L27" t="s">
        <v>14</v>
      </c>
      <c r="M27" t="s">
        <v>50</v>
      </c>
    </row>
    <row r="28" spans="1:13">
      <c r="A28" t="s">
        <v>12</v>
      </c>
      <c r="B28" s="10">
        <v>45085</v>
      </c>
      <c r="C28" t="s">
        <v>13</v>
      </c>
      <c r="D28" t="s">
        <v>82</v>
      </c>
      <c r="E28" t="s">
        <v>14</v>
      </c>
      <c r="F28" t="s">
        <v>15</v>
      </c>
      <c r="G28" s="11">
        <v>-12980</v>
      </c>
      <c r="H28" s="12">
        <v>-12980</v>
      </c>
      <c r="I28" s="12">
        <v>12980</v>
      </c>
      <c r="J28" s="12">
        <v>-250567.82</v>
      </c>
      <c r="K28" t="s">
        <v>18</v>
      </c>
      <c r="L28" t="s">
        <v>14</v>
      </c>
      <c r="M28" t="s">
        <v>83</v>
      </c>
    </row>
    <row r="29" spans="1:13">
      <c r="A29" t="s">
        <v>12</v>
      </c>
      <c r="B29" s="10">
        <v>44830</v>
      </c>
      <c r="C29" t="s">
        <v>13</v>
      </c>
      <c r="D29" t="s">
        <v>84</v>
      </c>
      <c r="E29" t="s">
        <v>14</v>
      </c>
      <c r="F29" t="s">
        <v>15</v>
      </c>
      <c r="G29" s="11">
        <v>-11550</v>
      </c>
      <c r="H29" s="12">
        <v>-11550</v>
      </c>
      <c r="I29" s="12">
        <v>11550</v>
      </c>
      <c r="J29" s="12">
        <v>-11550</v>
      </c>
      <c r="K29" t="s">
        <v>85</v>
      </c>
      <c r="L29" t="s">
        <v>14</v>
      </c>
      <c r="M29" t="s">
        <v>50</v>
      </c>
    </row>
    <row r="30" spans="1:13">
      <c r="A30" t="s">
        <v>12</v>
      </c>
      <c r="B30" s="10">
        <v>45174</v>
      </c>
      <c r="C30" t="s">
        <v>13</v>
      </c>
      <c r="D30" t="s">
        <v>86</v>
      </c>
      <c r="E30" t="s">
        <v>1499</v>
      </c>
      <c r="F30" t="s">
        <v>15</v>
      </c>
      <c r="G30" s="11">
        <v>-22698.13</v>
      </c>
      <c r="H30" s="12">
        <v>-22698.13</v>
      </c>
      <c r="I30" s="12">
        <v>11349.07</v>
      </c>
      <c r="J30" s="12">
        <v>-11349.07</v>
      </c>
      <c r="K30" t="s">
        <v>87</v>
      </c>
      <c r="L30" t="s">
        <v>88</v>
      </c>
      <c r="M30" t="s">
        <v>89</v>
      </c>
    </row>
    <row r="31" spans="1:13">
      <c r="A31" t="s">
        <v>12</v>
      </c>
      <c r="B31" s="10">
        <v>46136</v>
      </c>
      <c r="C31" t="s">
        <v>13</v>
      </c>
      <c r="D31" t="s">
        <v>90</v>
      </c>
      <c r="E31" t="s">
        <v>14</v>
      </c>
      <c r="F31" t="s">
        <v>15</v>
      </c>
      <c r="G31" s="11">
        <v>-9900</v>
      </c>
      <c r="H31" s="12">
        <v>-9900</v>
      </c>
      <c r="I31" s="12">
        <v>9900</v>
      </c>
      <c r="J31" s="12">
        <v>-250567.82</v>
      </c>
      <c r="K31" t="s">
        <v>18</v>
      </c>
      <c r="L31" t="s">
        <v>14</v>
      </c>
      <c r="M31" t="s">
        <v>91</v>
      </c>
    </row>
    <row r="32" spans="1:13">
      <c r="A32" t="s">
        <v>12</v>
      </c>
      <c r="B32" s="10">
        <v>45114</v>
      </c>
      <c r="C32" t="s">
        <v>13</v>
      </c>
      <c r="D32" t="s">
        <v>92</v>
      </c>
      <c r="E32" t="s">
        <v>14</v>
      </c>
      <c r="F32" t="s">
        <v>15</v>
      </c>
      <c r="G32" s="11">
        <v>-9695</v>
      </c>
      <c r="H32" s="12">
        <v>-9695</v>
      </c>
      <c r="I32" s="12">
        <v>9695</v>
      </c>
      <c r="J32" s="12">
        <v>-10420</v>
      </c>
      <c r="K32" t="s">
        <v>93</v>
      </c>
      <c r="L32" t="s">
        <v>94</v>
      </c>
      <c r="M32" t="s">
        <v>95</v>
      </c>
    </row>
    <row r="33" spans="1:13">
      <c r="A33" t="s">
        <v>12</v>
      </c>
      <c r="B33" s="10">
        <v>45684</v>
      </c>
      <c r="C33" t="s">
        <v>13</v>
      </c>
      <c r="D33" t="s">
        <v>96</v>
      </c>
      <c r="E33" t="s">
        <v>14</v>
      </c>
      <c r="F33" t="s">
        <v>15</v>
      </c>
      <c r="G33" s="11">
        <v>-9680</v>
      </c>
      <c r="H33" s="12">
        <v>-9680</v>
      </c>
      <c r="I33" s="12">
        <v>9680</v>
      </c>
      <c r="J33" s="12">
        <v>-9680</v>
      </c>
      <c r="K33" t="s">
        <v>97</v>
      </c>
      <c r="L33" t="s">
        <v>14</v>
      </c>
      <c r="M33" t="s">
        <v>98</v>
      </c>
    </row>
    <row r="34" spans="1:13">
      <c r="A34" t="s">
        <v>12</v>
      </c>
      <c r="B34" s="10">
        <v>46031</v>
      </c>
      <c r="C34" t="s">
        <v>13</v>
      </c>
      <c r="D34" t="s">
        <v>99</v>
      </c>
      <c r="E34" t="s">
        <v>14</v>
      </c>
      <c r="F34" t="s">
        <v>15</v>
      </c>
      <c r="G34" s="11">
        <v>-9600</v>
      </c>
      <c r="H34" s="12">
        <v>-9600</v>
      </c>
      <c r="I34" s="12">
        <v>9600</v>
      </c>
      <c r="J34" s="12">
        <v>-9600</v>
      </c>
      <c r="K34" t="s">
        <v>100</v>
      </c>
      <c r="L34" t="s">
        <v>14</v>
      </c>
      <c r="M34" t="s">
        <v>101</v>
      </c>
    </row>
    <row r="35" spans="1:13">
      <c r="A35" t="s">
        <v>12</v>
      </c>
      <c r="B35" s="10">
        <v>44852</v>
      </c>
      <c r="C35" t="s">
        <v>13</v>
      </c>
      <c r="D35" t="s">
        <v>102</v>
      </c>
      <c r="E35" t="s">
        <v>1500</v>
      </c>
      <c r="F35" t="s">
        <v>15</v>
      </c>
      <c r="G35" s="11">
        <v>-14000</v>
      </c>
      <c r="H35" s="12">
        <v>-14000</v>
      </c>
      <c r="I35" s="12">
        <v>9333.33</v>
      </c>
      <c r="J35" s="12">
        <v>-9333.33</v>
      </c>
      <c r="K35" t="s">
        <v>103</v>
      </c>
      <c r="L35" t="s">
        <v>104</v>
      </c>
      <c r="M35" t="s">
        <v>105</v>
      </c>
    </row>
    <row r="36" spans="1:13">
      <c r="A36" t="s">
        <v>12</v>
      </c>
      <c r="B36" s="10">
        <v>44736</v>
      </c>
      <c r="C36" t="s">
        <v>13</v>
      </c>
      <c r="D36" t="s">
        <v>106</v>
      </c>
      <c r="E36" t="s">
        <v>14</v>
      </c>
      <c r="F36" t="s">
        <v>15</v>
      </c>
      <c r="G36" s="11">
        <v>-8250</v>
      </c>
      <c r="H36" s="12">
        <v>-8250</v>
      </c>
      <c r="I36" s="12">
        <v>8250</v>
      </c>
      <c r="J36" s="12">
        <v>-8250</v>
      </c>
      <c r="K36" t="s">
        <v>107</v>
      </c>
      <c r="L36" t="s">
        <v>14</v>
      </c>
      <c r="M36" t="s">
        <v>50</v>
      </c>
    </row>
    <row r="37" spans="1:13">
      <c r="A37" t="s">
        <v>12</v>
      </c>
      <c r="B37" s="10">
        <v>44748</v>
      </c>
      <c r="C37" t="s">
        <v>13</v>
      </c>
      <c r="D37" t="s">
        <v>108</v>
      </c>
      <c r="E37" t="s">
        <v>14</v>
      </c>
      <c r="F37" t="s">
        <v>15</v>
      </c>
      <c r="G37" s="11">
        <v>-8250</v>
      </c>
      <c r="H37" s="12">
        <v>-8250</v>
      </c>
      <c r="I37" s="12">
        <v>8250</v>
      </c>
      <c r="J37" s="12">
        <v>-250567.82</v>
      </c>
      <c r="K37" t="s">
        <v>18</v>
      </c>
      <c r="L37" t="s">
        <v>14</v>
      </c>
      <c r="M37" t="s">
        <v>109</v>
      </c>
    </row>
    <row r="38" spans="1:13">
      <c r="A38" t="s">
        <v>12</v>
      </c>
      <c r="B38" s="10">
        <v>44956</v>
      </c>
      <c r="C38" t="s">
        <v>13</v>
      </c>
      <c r="D38" t="s">
        <v>110</v>
      </c>
      <c r="E38" t="s">
        <v>1501</v>
      </c>
      <c r="F38" t="s">
        <v>15</v>
      </c>
      <c r="G38" s="11">
        <v>-15665.62</v>
      </c>
      <c r="H38" s="12">
        <v>-15665.62</v>
      </c>
      <c r="I38" s="12">
        <v>8165.62</v>
      </c>
      <c r="J38" s="12">
        <v>-8165.62</v>
      </c>
      <c r="K38" t="s">
        <v>111</v>
      </c>
      <c r="L38" t="s">
        <v>14</v>
      </c>
      <c r="M38" t="s">
        <v>112</v>
      </c>
    </row>
    <row r="39" spans="1:13">
      <c r="A39" t="s">
        <v>12</v>
      </c>
      <c r="B39" s="10">
        <v>45856</v>
      </c>
      <c r="C39" t="s">
        <v>13</v>
      </c>
      <c r="D39" t="s">
        <v>113</v>
      </c>
      <c r="E39" t="s">
        <v>14</v>
      </c>
      <c r="F39" t="s">
        <v>15</v>
      </c>
      <c r="G39" s="11">
        <v>-7720.17</v>
      </c>
      <c r="H39" s="12">
        <v>-7720.17</v>
      </c>
      <c r="I39" s="12">
        <v>7720.17</v>
      </c>
      <c r="J39" s="12">
        <v>-250567.82</v>
      </c>
      <c r="K39" t="s">
        <v>18</v>
      </c>
      <c r="L39" t="s">
        <v>14</v>
      </c>
      <c r="M39" t="s">
        <v>114</v>
      </c>
    </row>
    <row r="40" spans="1:13">
      <c r="A40" t="s">
        <v>12</v>
      </c>
      <c r="B40" s="10">
        <v>45881</v>
      </c>
      <c r="C40" t="s">
        <v>13</v>
      </c>
      <c r="D40" t="s">
        <v>115</v>
      </c>
      <c r="E40" t="s">
        <v>14</v>
      </c>
      <c r="F40" t="s">
        <v>15</v>
      </c>
      <c r="G40" s="11">
        <v>-7652</v>
      </c>
      <c r="H40" s="12">
        <v>-7652</v>
      </c>
      <c r="I40" s="12">
        <v>7652</v>
      </c>
      <c r="J40" s="12">
        <v>-7652</v>
      </c>
      <c r="K40" t="s">
        <v>116</v>
      </c>
      <c r="L40" t="s">
        <v>14</v>
      </c>
      <c r="M40" t="s">
        <v>14</v>
      </c>
    </row>
    <row r="41" spans="1:13">
      <c r="A41" t="s">
        <v>12</v>
      </c>
      <c r="B41" s="10">
        <v>46126</v>
      </c>
      <c r="C41" t="s">
        <v>13</v>
      </c>
      <c r="D41" t="s">
        <v>117</v>
      </c>
      <c r="E41" t="s">
        <v>14</v>
      </c>
      <c r="F41" t="s">
        <v>15</v>
      </c>
      <c r="G41" s="11">
        <v>-7500</v>
      </c>
      <c r="H41" s="12">
        <v>-7500</v>
      </c>
      <c r="I41" s="12">
        <v>7500</v>
      </c>
      <c r="J41" s="12">
        <v>-250567.82</v>
      </c>
      <c r="K41" t="s">
        <v>18</v>
      </c>
      <c r="L41" t="s">
        <v>14</v>
      </c>
      <c r="M41" t="s">
        <v>14</v>
      </c>
    </row>
    <row r="42" spans="1:13">
      <c r="A42" t="s">
        <v>12</v>
      </c>
      <c r="B42" s="10">
        <v>45205</v>
      </c>
      <c r="C42" t="s">
        <v>13</v>
      </c>
      <c r="D42" t="s">
        <v>118</v>
      </c>
      <c r="E42" t="s">
        <v>14</v>
      </c>
      <c r="F42" t="s">
        <v>15</v>
      </c>
      <c r="G42" s="11">
        <v>-7350</v>
      </c>
      <c r="H42" s="12">
        <v>-7350</v>
      </c>
      <c r="I42" s="12">
        <v>7350</v>
      </c>
      <c r="J42" s="12">
        <v>-7350</v>
      </c>
      <c r="K42" t="s">
        <v>119</v>
      </c>
      <c r="L42" t="s">
        <v>14</v>
      </c>
      <c r="M42" t="s">
        <v>120</v>
      </c>
    </row>
    <row r="43" spans="1:13">
      <c r="A43" t="s">
        <v>12</v>
      </c>
      <c r="B43" s="10">
        <v>45688</v>
      </c>
      <c r="C43" t="s">
        <v>13</v>
      </c>
      <c r="D43" t="s">
        <v>121</v>
      </c>
      <c r="E43" t="s">
        <v>14</v>
      </c>
      <c r="F43" t="s">
        <v>15</v>
      </c>
      <c r="G43" s="11">
        <v>-7150</v>
      </c>
      <c r="H43" s="12">
        <v>-7150</v>
      </c>
      <c r="I43" s="12">
        <v>7150</v>
      </c>
      <c r="J43" s="12">
        <v>-250567.82</v>
      </c>
      <c r="K43" t="s">
        <v>18</v>
      </c>
      <c r="L43" t="s">
        <v>14</v>
      </c>
      <c r="M43" t="s">
        <v>122</v>
      </c>
    </row>
    <row r="44" spans="1:13">
      <c r="A44" t="s">
        <v>12</v>
      </c>
      <c r="B44" s="10">
        <v>44838</v>
      </c>
      <c r="C44" t="s">
        <v>13</v>
      </c>
      <c r="D44" t="s">
        <v>123</v>
      </c>
      <c r="E44" t="s">
        <v>14</v>
      </c>
      <c r="F44" t="s">
        <v>15</v>
      </c>
      <c r="G44" s="11">
        <v>-7000</v>
      </c>
      <c r="H44" s="12">
        <v>-7000</v>
      </c>
      <c r="I44" s="12">
        <v>7000</v>
      </c>
      <c r="J44" s="12">
        <v>-7000</v>
      </c>
      <c r="K44" t="s">
        <v>124</v>
      </c>
      <c r="L44" t="s">
        <v>14</v>
      </c>
      <c r="M44" t="s">
        <v>125</v>
      </c>
    </row>
    <row r="45" spans="1:13">
      <c r="A45" t="s">
        <v>12</v>
      </c>
      <c r="B45" s="10">
        <v>44897</v>
      </c>
      <c r="C45" t="s">
        <v>13</v>
      </c>
      <c r="D45" t="s">
        <v>126</v>
      </c>
      <c r="E45" t="s">
        <v>1502</v>
      </c>
      <c r="F45" t="s">
        <v>15</v>
      </c>
      <c r="G45" s="11">
        <v>-20000</v>
      </c>
      <c r="H45" s="12">
        <v>-20000</v>
      </c>
      <c r="I45" s="12">
        <v>7000</v>
      </c>
      <c r="J45" s="12">
        <v>-7000</v>
      </c>
      <c r="K45" t="s">
        <v>127</v>
      </c>
      <c r="L45" t="s">
        <v>14</v>
      </c>
      <c r="M45" t="s">
        <v>128</v>
      </c>
    </row>
    <row r="46" spans="1:13">
      <c r="A46" t="s">
        <v>12</v>
      </c>
      <c r="B46" s="10">
        <v>45138</v>
      </c>
      <c r="C46" t="s">
        <v>13</v>
      </c>
      <c r="D46" t="s">
        <v>129</v>
      </c>
      <c r="E46" t="s">
        <v>1503</v>
      </c>
      <c r="F46" t="s">
        <v>15</v>
      </c>
      <c r="G46" s="11">
        <v>-7750</v>
      </c>
      <c r="H46" s="12">
        <v>-7750</v>
      </c>
      <c r="I46" s="12">
        <v>6975</v>
      </c>
      <c r="J46" s="12">
        <v>-6975</v>
      </c>
      <c r="K46" t="s">
        <v>130</v>
      </c>
      <c r="L46" t="s">
        <v>131</v>
      </c>
      <c r="M46" t="s">
        <v>50</v>
      </c>
    </row>
    <row r="47" spans="1:13">
      <c r="A47" t="s">
        <v>12</v>
      </c>
      <c r="B47" s="10">
        <v>45128</v>
      </c>
      <c r="C47" t="s">
        <v>13</v>
      </c>
      <c r="D47" t="s">
        <v>132</v>
      </c>
      <c r="E47" t="s">
        <v>14</v>
      </c>
      <c r="F47" t="s">
        <v>15</v>
      </c>
      <c r="G47" s="11">
        <v>-6929</v>
      </c>
      <c r="H47" s="12">
        <v>-6929</v>
      </c>
      <c r="I47" s="12">
        <v>6929</v>
      </c>
      <c r="J47" s="12">
        <v>-6929</v>
      </c>
      <c r="K47" t="s">
        <v>133</v>
      </c>
      <c r="L47" t="s">
        <v>14</v>
      </c>
      <c r="M47" t="s">
        <v>134</v>
      </c>
    </row>
    <row r="48" spans="1:13">
      <c r="A48" t="s">
        <v>12</v>
      </c>
      <c r="B48" s="10">
        <v>46013</v>
      </c>
      <c r="C48" t="s">
        <v>13</v>
      </c>
      <c r="D48" t="s">
        <v>1737</v>
      </c>
      <c r="E48" t="s">
        <v>1737</v>
      </c>
      <c r="F48" t="s">
        <v>15</v>
      </c>
      <c r="G48" s="11">
        <v>-6655</v>
      </c>
      <c r="H48" s="12">
        <v>-6655</v>
      </c>
      <c r="I48" s="12">
        <v>6655</v>
      </c>
      <c r="J48" s="12">
        <v>-6655</v>
      </c>
      <c r="K48" t="s">
        <v>1738</v>
      </c>
      <c r="L48" t="s">
        <v>14</v>
      </c>
      <c r="M48" t="s">
        <v>1739</v>
      </c>
    </row>
    <row r="49" spans="1:13">
      <c r="A49" t="s">
        <v>12</v>
      </c>
      <c r="B49" s="10">
        <v>44924</v>
      </c>
      <c r="C49" t="s">
        <v>13</v>
      </c>
      <c r="D49" t="s">
        <v>135</v>
      </c>
      <c r="E49" t="s">
        <v>14</v>
      </c>
      <c r="F49" t="s">
        <v>15</v>
      </c>
      <c r="G49" s="11">
        <v>-6325</v>
      </c>
      <c r="H49" s="12">
        <v>-6325</v>
      </c>
      <c r="I49" s="12">
        <v>6325</v>
      </c>
      <c r="J49" s="12">
        <v>-6325</v>
      </c>
      <c r="K49" t="s">
        <v>136</v>
      </c>
      <c r="L49" t="s">
        <v>14</v>
      </c>
      <c r="M49" t="s">
        <v>50</v>
      </c>
    </row>
    <row r="50" spans="1:13">
      <c r="A50" t="s">
        <v>12</v>
      </c>
      <c r="B50" s="10">
        <v>46136</v>
      </c>
      <c r="C50" t="s">
        <v>13</v>
      </c>
      <c r="D50" t="s">
        <v>137</v>
      </c>
      <c r="E50" t="s">
        <v>14</v>
      </c>
      <c r="F50" t="s">
        <v>15</v>
      </c>
      <c r="G50" s="11">
        <v>-6200</v>
      </c>
      <c r="H50" s="12">
        <v>-6200</v>
      </c>
      <c r="I50" s="12">
        <v>6200</v>
      </c>
      <c r="J50" s="12">
        <v>-6200</v>
      </c>
      <c r="K50" t="s">
        <v>138</v>
      </c>
      <c r="L50" t="s">
        <v>131</v>
      </c>
      <c r="M50" t="s">
        <v>14</v>
      </c>
    </row>
    <row r="51" spans="1:13">
      <c r="A51" t="s">
        <v>12</v>
      </c>
      <c r="B51" s="10">
        <v>46146</v>
      </c>
      <c r="C51" t="s">
        <v>13</v>
      </c>
      <c r="D51" t="s">
        <v>1740</v>
      </c>
      <c r="E51" t="s">
        <v>14</v>
      </c>
      <c r="F51" t="s">
        <v>15</v>
      </c>
      <c r="G51" s="11">
        <v>-5625</v>
      </c>
      <c r="H51" s="12">
        <v>-5625</v>
      </c>
      <c r="I51" s="12">
        <v>5625</v>
      </c>
      <c r="J51" s="12">
        <v>-5625</v>
      </c>
      <c r="K51" t="s">
        <v>1741</v>
      </c>
      <c r="L51" t="s">
        <v>14</v>
      </c>
      <c r="M51" t="s">
        <v>14</v>
      </c>
    </row>
    <row r="52" spans="1:13">
      <c r="A52" t="s">
        <v>12</v>
      </c>
      <c r="B52" s="10">
        <v>44678</v>
      </c>
      <c r="C52" t="s">
        <v>13</v>
      </c>
      <c r="D52" t="s">
        <v>139</v>
      </c>
      <c r="E52" t="s">
        <v>14</v>
      </c>
      <c r="F52" t="s">
        <v>15</v>
      </c>
      <c r="G52" s="11">
        <v>-5505</v>
      </c>
      <c r="H52" s="12">
        <v>-5505</v>
      </c>
      <c r="I52" s="12">
        <v>5505</v>
      </c>
      <c r="J52" s="12">
        <v>-5505</v>
      </c>
      <c r="K52" t="s">
        <v>140</v>
      </c>
      <c r="L52" t="s">
        <v>14</v>
      </c>
      <c r="M52" t="s">
        <v>141</v>
      </c>
    </row>
    <row r="53" spans="1:13">
      <c r="A53" t="s">
        <v>12</v>
      </c>
      <c r="B53" s="10">
        <v>45041</v>
      </c>
      <c r="C53" t="s">
        <v>13</v>
      </c>
      <c r="D53" t="s">
        <v>142</v>
      </c>
      <c r="E53" t="s">
        <v>14</v>
      </c>
      <c r="F53" t="s">
        <v>15</v>
      </c>
      <c r="G53" s="11">
        <v>-5500</v>
      </c>
      <c r="H53" s="12">
        <v>-5500</v>
      </c>
      <c r="I53" s="12">
        <v>5500</v>
      </c>
      <c r="J53" s="12">
        <v>-5500</v>
      </c>
      <c r="K53" t="s">
        <v>143</v>
      </c>
      <c r="L53" t="s">
        <v>14</v>
      </c>
      <c r="M53" t="s">
        <v>50</v>
      </c>
    </row>
    <row r="54" spans="1:13">
      <c r="A54" t="s">
        <v>12</v>
      </c>
      <c r="B54" s="10">
        <v>45154</v>
      </c>
      <c r="C54" t="s">
        <v>13</v>
      </c>
      <c r="D54" t="s">
        <v>144</v>
      </c>
      <c r="E54" t="s">
        <v>14</v>
      </c>
      <c r="F54" t="s">
        <v>15</v>
      </c>
      <c r="G54" s="11">
        <v>-5500</v>
      </c>
      <c r="H54" s="12">
        <v>-5500</v>
      </c>
      <c r="I54" s="12">
        <v>5500</v>
      </c>
      <c r="J54" s="12">
        <v>-5500</v>
      </c>
      <c r="K54" t="s">
        <v>145</v>
      </c>
      <c r="L54" t="s">
        <v>14</v>
      </c>
      <c r="M54" t="s">
        <v>146</v>
      </c>
    </row>
    <row r="55" spans="1:13">
      <c r="A55" t="s">
        <v>12</v>
      </c>
      <c r="B55" s="10">
        <v>45952</v>
      </c>
      <c r="C55" t="s">
        <v>13</v>
      </c>
      <c r="D55" t="s">
        <v>147</v>
      </c>
      <c r="E55" t="s">
        <v>14</v>
      </c>
      <c r="F55" t="s">
        <v>15</v>
      </c>
      <c r="G55" s="11">
        <v>-5500</v>
      </c>
      <c r="H55" s="12">
        <v>-5500</v>
      </c>
      <c r="I55" s="12">
        <v>5500</v>
      </c>
      <c r="J55" s="12">
        <v>-5500</v>
      </c>
      <c r="K55" t="s">
        <v>148</v>
      </c>
      <c r="L55" t="s">
        <v>14</v>
      </c>
      <c r="M55" t="s">
        <v>14</v>
      </c>
    </row>
    <row r="56" spans="1:13">
      <c r="A56" t="s">
        <v>12</v>
      </c>
      <c r="B56" s="10">
        <v>44930</v>
      </c>
      <c r="C56" t="s">
        <v>13</v>
      </c>
      <c r="D56" t="s">
        <v>149</v>
      </c>
      <c r="E56" t="s">
        <v>14</v>
      </c>
      <c r="F56" t="s">
        <v>15</v>
      </c>
      <c r="G56" s="11">
        <v>-5457</v>
      </c>
      <c r="H56" s="12">
        <v>-5457</v>
      </c>
      <c r="I56" s="12">
        <v>5457</v>
      </c>
      <c r="J56" s="12">
        <v>-5457</v>
      </c>
      <c r="K56" t="s">
        <v>150</v>
      </c>
      <c r="L56" t="s">
        <v>151</v>
      </c>
      <c r="M56" t="s">
        <v>152</v>
      </c>
    </row>
    <row r="57" spans="1:13">
      <c r="A57" t="s">
        <v>12</v>
      </c>
      <c r="B57" s="10">
        <v>45342</v>
      </c>
      <c r="C57" t="s">
        <v>13</v>
      </c>
      <c r="D57" t="s">
        <v>153</v>
      </c>
      <c r="E57" t="s">
        <v>14</v>
      </c>
      <c r="F57" t="s">
        <v>15</v>
      </c>
      <c r="G57" s="11">
        <v>-5400</v>
      </c>
      <c r="H57" s="12">
        <v>-5400</v>
      </c>
      <c r="I57" s="12">
        <v>5400</v>
      </c>
      <c r="J57" s="12">
        <v>-5400</v>
      </c>
      <c r="K57" t="s">
        <v>154</v>
      </c>
      <c r="L57" t="s">
        <v>155</v>
      </c>
      <c r="M57" t="s">
        <v>156</v>
      </c>
    </row>
    <row r="58" spans="1:13">
      <c r="A58" t="s">
        <v>12</v>
      </c>
      <c r="B58" s="10">
        <v>45763</v>
      </c>
      <c r="C58" t="s">
        <v>13</v>
      </c>
      <c r="D58" t="s">
        <v>157</v>
      </c>
      <c r="E58" t="s">
        <v>14</v>
      </c>
      <c r="F58" t="s">
        <v>15</v>
      </c>
      <c r="G58" s="11">
        <v>-5375</v>
      </c>
      <c r="H58" s="12">
        <v>-5375</v>
      </c>
      <c r="I58" s="12">
        <v>5375</v>
      </c>
      <c r="J58" s="12">
        <v>-5375</v>
      </c>
      <c r="K58" t="s">
        <v>158</v>
      </c>
      <c r="L58" t="s">
        <v>14</v>
      </c>
      <c r="M58" t="s">
        <v>159</v>
      </c>
    </row>
    <row r="59" spans="1:13">
      <c r="A59" t="s">
        <v>12</v>
      </c>
      <c r="B59" s="10">
        <v>45195</v>
      </c>
      <c r="C59" t="s">
        <v>13</v>
      </c>
      <c r="D59" t="s">
        <v>160</v>
      </c>
      <c r="E59" t="s">
        <v>1504</v>
      </c>
      <c r="F59" t="s">
        <v>15</v>
      </c>
      <c r="G59" s="11">
        <v>-9717.1200000000008</v>
      </c>
      <c r="H59" s="12">
        <v>-9717.1200000000008</v>
      </c>
      <c r="I59" s="12">
        <v>5254.62</v>
      </c>
      <c r="J59" s="12">
        <v>-5254.62</v>
      </c>
      <c r="K59" t="s">
        <v>161</v>
      </c>
      <c r="L59" t="s">
        <v>14</v>
      </c>
      <c r="M59" t="s">
        <v>162</v>
      </c>
    </row>
    <row r="60" spans="1:13">
      <c r="A60" t="s">
        <v>12</v>
      </c>
      <c r="B60" s="10">
        <v>45828</v>
      </c>
      <c r="C60" t="s">
        <v>13</v>
      </c>
      <c r="D60" t="s">
        <v>163</v>
      </c>
      <c r="E60" t="s">
        <v>1505</v>
      </c>
      <c r="F60" t="s">
        <v>15</v>
      </c>
      <c r="G60" s="11">
        <v>-55150</v>
      </c>
      <c r="H60" s="12">
        <v>-55150</v>
      </c>
      <c r="I60" s="12">
        <v>5150</v>
      </c>
      <c r="J60" s="12">
        <v>-50095.55</v>
      </c>
      <c r="K60" t="s">
        <v>21</v>
      </c>
      <c r="L60" t="s">
        <v>14</v>
      </c>
      <c r="M60" t="s">
        <v>164</v>
      </c>
    </row>
    <row r="61" spans="1:13">
      <c r="A61" t="s">
        <v>12</v>
      </c>
      <c r="B61" s="10">
        <v>45957</v>
      </c>
      <c r="C61" t="s">
        <v>13</v>
      </c>
      <c r="D61" t="s">
        <v>165</v>
      </c>
      <c r="E61" t="s">
        <v>14</v>
      </c>
      <c r="F61" t="s">
        <v>15</v>
      </c>
      <c r="G61" s="11">
        <v>-5000</v>
      </c>
      <c r="H61" s="12">
        <v>-5000</v>
      </c>
      <c r="I61" s="12">
        <v>5000</v>
      </c>
      <c r="J61" s="12">
        <v>-5000</v>
      </c>
      <c r="K61" t="s">
        <v>166</v>
      </c>
      <c r="L61" t="s">
        <v>14</v>
      </c>
      <c r="M61" t="s">
        <v>14</v>
      </c>
    </row>
    <row r="62" spans="1:13">
      <c r="A62" t="s">
        <v>12</v>
      </c>
      <c r="B62" s="10">
        <v>45980</v>
      </c>
      <c r="C62" t="s">
        <v>13</v>
      </c>
      <c r="D62" t="s">
        <v>167</v>
      </c>
      <c r="E62" t="s">
        <v>14</v>
      </c>
      <c r="F62" t="s">
        <v>15</v>
      </c>
      <c r="G62" s="11">
        <v>-5000</v>
      </c>
      <c r="H62" s="12">
        <v>-5000</v>
      </c>
      <c r="I62" s="12">
        <v>5000</v>
      </c>
      <c r="J62" s="12">
        <v>-5000</v>
      </c>
      <c r="K62" t="s">
        <v>168</v>
      </c>
      <c r="L62" t="s">
        <v>14</v>
      </c>
      <c r="M62" t="s">
        <v>14</v>
      </c>
    </row>
    <row r="63" spans="1:13">
      <c r="A63" t="s">
        <v>12</v>
      </c>
      <c r="B63" s="10">
        <v>44673</v>
      </c>
      <c r="C63" t="s">
        <v>13</v>
      </c>
      <c r="D63" t="s">
        <v>169</v>
      </c>
      <c r="E63" t="s">
        <v>14</v>
      </c>
      <c r="F63" t="s">
        <v>15</v>
      </c>
      <c r="G63" s="11">
        <v>-4800</v>
      </c>
      <c r="H63" s="12">
        <v>-4800</v>
      </c>
      <c r="I63" s="12">
        <v>4800</v>
      </c>
      <c r="J63" s="12">
        <v>-4800</v>
      </c>
      <c r="K63" t="s">
        <v>170</v>
      </c>
      <c r="L63" t="s">
        <v>14</v>
      </c>
      <c r="M63" t="s">
        <v>50</v>
      </c>
    </row>
    <row r="64" spans="1:13">
      <c r="A64" t="s">
        <v>12</v>
      </c>
      <c r="B64" s="10">
        <v>46135</v>
      </c>
      <c r="C64" t="s">
        <v>13</v>
      </c>
      <c r="D64" t="s">
        <v>171</v>
      </c>
      <c r="E64" t="s">
        <v>14</v>
      </c>
      <c r="F64" t="s">
        <v>15</v>
      </c>
      <c r="G64" s="11">
        <v>-4265.16</v>
      </c>
      <c r="H64" s="12">
        <v>-4265.16</v>
      </c>
      <c r="I64" s="12">
        <v>4265.16</v>
      </c>
      <c r="J64" s="12">
        <v>-4265.16</v>
      </c>
      <c r="K64" t="s">
        <v>172</v>
      </c>
      <c r="L64" t="s">
        <v>14</v>
      </c>
      <c r="M64" t="s">
        <v>173</v>
      </c>
    </row>
    <row r="65" spans="1:13">
      <c r="A65" t="s">
        <v>12</v>
      </c>
      <c r="B65" s="10">
        <v>44652</v>
      </c>
      <c r="C65" t="s">
        <v>13</v>
      </c>
      <c r="D65" t="s">
        <v>174</v>
      </c>
      <c r="E65" t="s">
        <v>14</v>
      </c>
      <c r="F65" t="s">
        <v>15</v>
      </c>
      <c r="G65" s="11">
        <v>-4225</v>
      </c>
      <c r="H65" s="12">
        <v>-4225</v>
      </c>
      <c r="I65" s="12">
        <v>4225</v>
      </c>
      <c r="J65" s="12">
        <v>-4225</v>
      </c>
      <c r="K65" t="s">
        <v>175</v>
      </c>
      <c r="L65" t="s">
        <v>14</v>
      </c>
      <c r="M65" t="s">
        <v>176</v>
      </c>
    </row>
    <row r="66" spans="1:13">
      <c r="A66" t="s">
        <v>12</v>
      </c>
      <c r="B66" s="10">
        <v>45834</v>
      </c>
      <c r="C66" t="s">
        <v>13</v>
      </c>
      <c r="D66" t="s">
        <v>177</v>
      </c>
      <c r="E66" t="s">
        <v>14</v>
      </c>
      <c r="F66" t="s">
        <v>15</v>
      </c>
      <c r="G66" s="11">
        <v>-4087.75</v>
      </c>
      <c r="H66" s="12">
        <v>-4087.75</v>
      </c>
      <c r="I66" s="12">
        <v>4087.75</v>
      </c>
      <c r="J66" s="12">
        <v>-4087.75</v>
      </c>
      <c r="K66" t="s">
        <v>178</v>
      </c>
      <c r="L66" t="s">
        <v>14</v>
      </c>
      <c r="M66" t="s">
        <v>179</v>
      </c>
    </row>
    <row r="67" spans="1:13">
      <c r="A67" t="s">
        <v>12</v>
      </c>
      <c r="B67" s="10">
        <v>46143</v>
      </c>
      <c r="C67" t="s">
        <v>13</v>
      </c>
      <c r="D67" t="s">
        <v>1742</v>
      </c>
      <c r="E67" t="s">
        <v>14</v>
      </c>
      <c r="F67" t="s">
        <v>15</v>
      </c>
      <c r="G67" s="11">
        <v>-4026</v>
      </c>
      <c r="H67" s="12">
        <v>-4026</v>
      </c>
      <c r="I67" s="12">
        <v>4026</v>
      </c>
      <c r="J67" s="12">
        <v>0</v>
      </c>
      <c r="K67" t="s">
        <v>1743</v>
      </c>
      <c r="L67" t="s">
        <v>131</v>
      </c>
      <c r="M67" t="s">
        <v>14</v>
      </c>
    </row>
    <row r="68" spans="1:13">
      <c r="A68" t="s">
        <v>12</v>
      </c>
      <c r="B68" s="10">
        <v>45457</v>
      </c>
      <c r="C68" t="s">
        <v>13</v>
      </c>
      <c r="D68" t="s">
        <v>180</v>
      </c>
      <c r="E68" t="s">
        <v>1506</v>
      </c>
      <c r="F68" t="s">
        <v>15</v>
      </c>
      <c r="G68" s="11">
        <v>-7983</v>
      </c>
      <c r="H68" s="12">
        <v>-7983</v>
      </c>
      <c r="I68" s="12">
        <v>3991.5</v>
      </c>
      <c r="J68" s="12">
        <v>-3991.5</v>
      </c>
      <c r="K68" t="s">
        <v>181</v>
      </c>
      <c r="L68" t="s">
        <v>14</v>
      </c>
      <c r="M68" t="s">
        <v>182</v>
      </c>
    </row>
    <row r="69" spans="1:13">
      <c r="A69" t="s">
        <v>12</v>
      </c>
      <c r="B69" s="10">
        <v>45786</v>
      </c>
      <c r="C69" t="s">
        <v>13</v>
      </c>
      <c r="D69" t="s">
        <v>183</v>
      </c>
      <c r="E69" t="s">
        <v>14</v>
      </c>
      <c r="F69" t="s">
        <v>15</v>
      </c>
      <c r="G69" s="11">
        <v>-3990</v>
      </c>
      <c r="H69" s="12">
        <v>-3990</v>
      </c>
      <c r="I69" s="12">
        <v>3990</v>
      </c>
      <c r="J69" s="12">
        <v>-3990</v>
      </c>
      <c r="K69" t="s">
        <v>184</v>
      </c>
      <c r="L69" t="s">
        <v>14</v>
      </c>
      <c r="M69" t="s">
        <v>185</v>
      </c>
    </row>
    <row r="70" spans="1:13">
      <c r="A70" t="s">
        <v>12</v>
      </c>
      <c r="B70" s="10">
        <v>44945</v>
      </c>
      <c r="C70" t="s">
        <v>13</v>
      </c>
      <c r="D70" t="s">
        <v>186</v>
      </c>
      <c r="E70" t="s">
        <v>14</v>
      </c>
      <c r="F70" t="s">
        <v>15</v>
      </c>
      <c r="G70" s="11">
        <v>-3950</v>
      </c>
      <c r="H70" s="12">
        <v>-3950</v>
      </c>
      <c r="I70" s="12">
        <v>3950</v>
      </c>
      <c r="J70" s="12">
        <v>-3950</v>
      </c>
      <c r="K70" t="s">
        <v>187</v>
      </c>
      <c r="L70" t="s">
        <v>14</v>
      </c>
      <c r="M70" t="s">
        <v>188</v>
      </c>
    </row>
    <row r="71" spans="1:13">
      <c r="A71" t="s">
        <v>12</v>
      </c>
      <c r="B71" s="10">
        <v>45987</v>
      </c>
      <c r="C71" t="s">
        <v>13</v>
      </c>
      <c r="D71" t="s">
        <v>189</v>
      </c>
      <c r="E71" t="s">
        <v>14</v>
      </c>
      <c r="F71" t="s">
        <v>15</v>
      </c>
      <c r="G71" s="11">
        <v>-3841.2</v>
      </c>
      <c r="H71" s="12">
        <v>-3841.2</v>
      </c>
      <c r="I71" s="12">
        <v>3841.2</v>
      </c>
      <c r="J71" s="12">
        <v>154725.09</v>
      </c>
      <c r="K71" t="s">
        <v>70</v>
      </c>
      <c r="L71" t="s">
        <v>14</v>
      </c>
      <c r="M71" t="s">
        <v>190</v>
      </c>
    </row>
    <row r="72" spans="1:13">
      <c r="A72" t="s">
        <v>12</v>
      </c>
      <c r="B72" s="10">
        <v>44823</v>
      </c>
      <c r="C72" t="s">
        <v>13</v>
      </c>
      <c r="D72" t="s">
        <v>191</v>
      </c>
      <c r="E72" t="s">
        <v>1507</v>
      </c>
      <c r="F72" t="s">
        <v>15</v>
      </c>
      <c r="G72" s="11">
        <v>-30844.22</v>
      </c>
      <c r="H72" s="12">
        <v>-30844.22</v>
      </c>
      <c r="I72" s="12">
        <v>3520.22</v>
      </c>
      <c r="J72" s="12">
        <v>-3520.22</v>
      </c>
      <c r="K72" t="s">
        <v>192</v>
      </c>
      <c r="L72" t="s">
        <v>104</v>
      </c>
      <c r="M72" t="s">
        <v>193</v>
      </c>
    </row>
    <row r="73" spans="1:13">
      <c r="A73" t="s">
        <v>12</v>
      </c>
      <c r="B73" s="10">
        <v>46108</v>
      </c>
      <c r="C73" t="s">
        <v>13</v>
      </c>
      <c r="D73" t="s">
        <v>194</v>
      </c>
      <c r="E73" t="s">
        <v>14</v>
      </c>
      <c r="F73" t="s">
        <v>15</v>
      </c>
      <c r="G73" s="11">
        <v>-3500</v>
      </c>
      <c r="H73" s="12">
        <v>-3500</v>
      </c>
      <c r="I73" s="12">
        <v>3500</v>
      </c>
      <c r="J73" s="12">
        <v>-250567.82</v>
      </c>
      <c r="K73" t="s">
        <v>18</v>
      </c>
      <c r="L73" t="s">
        <v>14</v>
      </c>
      <c r="M73" t="s">
        <v>195</v>
      </c>
    </row>
    <row r="74" spans="1:13">
      <c r="A74" t="s">
        <v>12</v>
      </c>
      <c r="B74" s="10">
        <v>44715</v>
      </c>
      <c r="C74" t="s">
        <v>13</v>
      </c>
      <c r="D74" t="s">
        <v>196</v>
      </c>
      <c r="E74" t="s">
        <v>14</v>
      </c>
      <c r="F74" t="s">
        <v>15</v>
      </c>
      <c r="G74" s="11">
        <v>-3450.01</v>
      </c>
      <c r="H74" s="12">
        <v>-3450.01</v>
      </c>
      <c r="I74" s="12">
        <v>3450.01</v>
      </c>
      <c r="J74" s="12">
        <v>-3450.01</v>
      </c>
      <c r="K74" t="s">
        <v>197</v>
      </c>
      <c r="L74" t="s">
        <v>14</v>
      </c>
      <c r="M74" t="s">
        <v>198</v>
      </c>
    </row>
    <row r="75" spans="1:13">
      <c r="A75" t="s">
        <v>12</v>
      </c>
      <c r="B75" s="10">
        <v>44778</v>
      </c>
      <c r="C75" t="s">
        <v>13</v>
      </c>
      <c r="D75" t="s">
        <v>199</v>
      </c>
      <c r="E75" t="s">
        <v>14</v>
      </c>
      <c r="F75" t="s">
        <v>15</v>
      </c>
      <c r="G75" s="11">
        <v>-3400</v>
      </c>
      <c r="H75" s="12">
        <v>-3400</v>
      </c>
      <c r="I75" s="12">
        <v>3400</v>
      </c>
      <c r="J75" s="12">
        <v>-3400</v>
      </c>
      <c r="K75" t="s">
        <v>200</v>
      </c>
      <c r="L75" t="s">
        <v>201</v>
      </c>
      <c r="M75" t="s">
        <v>202</v>
      </c>
    </row>
    <row r="76" spans="1:13">
      <c r="A76" t="s">
        <v>12</v>
      </c>
      <c r="B76" s="10">
        <v>44679</v>
      </c>
      <c r="C76" t="s">
        <v>13</v>
      </c>
      <c r="D76" t="s">
        <v>203</v>
      </c>
      <c r="E76" t="s">
        <v>1508</v>
      </c>
      <c r="F76" t="s">
        <v>15</v>
      </c>
      <c r="G76" s="11">
        <v>-6750</v>
      </c>
      <c r="H76" s="12">
        <v>-6750</v>
      </c>
      <c r="I76" s="12">
        <v>3375</v>
      </c>
      <c r="J76" s="12">
        <v>-3375</v>
      </c>
      <c r="K76" t="s">
        <v>204</v>
      </c>
      <c r="L76" t="s">
        <v>62</v>
      </c>
      <c r="M76" t="s">
        <v>205</v>
      </c>
    </row>
    <row r="77" spans="1:13">
      <c r="A77" t="s">
        <v>12</v>
      </c>
      <c r="B77" s="10">
        <v>44750</v>
      </c>
      <c r="C77" t="s">
        <v>13</v>
      </c>
      <c r="D77" t="s">
        <v>206</v>
      </c>
      <c r="E77" t="s">
        <v>14</v>
      </c>
      <c r="F77" t="s">
        <v>15</v>
      </c>
      <c r="G77" s="11">
        <v>-3300</v>
      </c>
      <c r="H77" s="12">
        <v>-3300</v>
      </c>
      <c r="I77" s="12">
        <v>3300</v>
      </c>
      <c r="J77" s="12">
        <v>-3300</v>
      </c>
      <c r="K77" t="s">
        <v>207</v>
      </c>
      <c r="L77" t="s">
        <v>62</v>
      </c>
      <c r="M77" t="s">
        <v>50</v>
      </c>
    </row>
    <row r="78" spans="1:13">
      <c r="A78" t="s">
        <v>12</v>
      </c>
      <c r="B78" s="10">
        <v>46146</v>
      </c>
      <c r="C78" t="s">
        <v>13</v>
      </c>
      <c r="D78" t="s">
        <v>1744</v>
      </c>
      <c r="E78" t="s">
        <v>14</v>
      </c>
      <c r="F78" t="s">
        <v>15</v>
      </c>
      <c r="G78" s="11">
        <v>-3187.5</v>
      </c>
      <c r="H78" s="12">
        <v>-3187.5</v>
      </c>
      <c r="I78" s="12">
        <v>3187.5</v>
      </c>
      <c r="J78" s="12">
        <v>-3187.5</v>
      </c>
      <c r="K78" t="s">
        <v>1745</v>
      </c>
      <c r="L78" t="s">
        <v>14</v>
      </c>
      <c r="M78" t="s">
        <v>14</v>
      </c>
    </row>
    <row r="79" spans="1:13">
      <c r="A79" t="s">
        <v>12</v>
      </c>
      <c r="B79" s="10">
        <v>44694</v>
      </c>
      <c r="C79" t="s">
        <v>13</v>
      </c>
      <c r="D79" t="s">
        <v>208</v>
      </c>
      <c r="E79" t="s">
        <v>1509</v>
      </c>
      <c r="F79" t="s">
        <v>15</v>
      </c>
      <c r="G79" s="11">
        <v>-6000</v>
      </c>
      <c r="H79" s="12">
        <v>-6000</v>
      </c>
      <c r="I79" s="12">
        <v>3000</v>
      </c>
      <c r="J79" s="12">
        <v>-3000</v>
      </c>
      <c r="K79" t="s">
        <v>209</v>
      </c>
      <c r="L79" t="s">
        <v>131</v>
      </c>
      <c r="M79" t="s">
        <v>50</v>
      </c>
    </row>
    <row r="80" spans="1:13">
      <c r="A80" t="s">
        <v>12</v>
      </c>
      <c r="B80" s="10">
        <v>45084</v>
      </c>
      <c r="C80" t="s">
        <v>13</v>
      </c>
      <c r="D80" t="s">
        <v>210</v>
      </c>
      <c r="E80" t="s">
        <v>14</v>
      </c>
      <c r="F80" t="s">
        <v>15</v>
      </c>
      <c r="G80" s="11">
        <v>-2979</v>
      </c>
      <c r="H80" s="12">
        <v>-2979</v>
      </c>
      <c r="I80" s="12">
        <v>2979</v>
      </c>
      <c r="J80" s="12">
        <v>-250567.82</v>
      </c>
      <c r="K80" t="s">
        <v>18</v>
      </c>
      <c r="L80" t="s">
        <v>14</v>
      </c>
      <c r="M80" t="s">
        <v>211</v>
      </c>
    </row>
    <row r="81" spans="1:13">
      <c r="A81" t="s">
        <v>12</v>
      </c>
      <c r="B81" s="10">
        <v>45883</v>
      </c>
      <c r="C81" t="s">
        <v>13</v>
      </c>
      <c r="D81" t="s">
        <v>212</v>
      </c>
      <c r="E81" t="s">
        <v>1510</v>
      </c>
      <c r="F81" t="s">
        <v>15</v>
      </c>
      <c r="G81" s="11">
        <v>-36131.26</v>
      </c>
      <c r="H81" s="12">
        <v>-36131.26</v>
      </c>
      <c r="I81" s="12">
        <v>2963.26</v>
      </c>
      <c r="J81" s="12">
        <v>-2963.26</v>
      </c>
      <c r="K81" t="s">
        <v>213</v>
      </c>
      <c r="L81" t="s">
        <v>62</v>
      </c>
      <c r="M81" t="s">
        <v>214</v>
      </c>
    </row>
    <row r="82" spans="1:13">
      <c r="A82" t="s">
        <v>12</v>
      </c>
      <c r="B82" s="10">
        <v>45866</v>
      </c>
      <c r="C82" t="s">
        <v>13</v>
      </c>
      <c r="D82" t="s">
        <v>215</v>
      </c>
      <c r="E82" t="s">
        <v>14</v>
      </c>
      <c r="F82" t="s">
        <v>15</v>
      </c>
      <c r="G82" s="11">
        <v>-2636.66</v>
      </c>
      <c r="H82" s="12">
        <v>-2636.66</v>
      </c>
      <c r="I82" s="12">
        <v>2636.66</v>
      </c>
      <c r="J82" s="12">
        <v>-2636.66</v>
      </c>
      <c r="K82" t="s">
        <v>216</v>
      </c>
      <c r="L82" t="s">
        <v>14</v>
      </c>
      <c r="M82" t="s">
        <v>14</v>
      </c>
    </row>
    <row r="83" spans="1:13">
      <c r="A83" t="s">
        <v>12</v>
      </c>
      <c r="B83" s="10">
        <v>45884</v>
      </c>
      <c r="C83" t="s">
        <v>13</v>
      </c>
      <c r="D83" t="s">
        <v>217</v>
      </c>
      <c r="E83" t="s">
        <v>14</v>
      </c>
      <c r="F83" t="s">
        <v>15</v>
      </c>
      <c r="G83" s="11">
        <v>-2625</v>
      </c>
      <c r="H83" s="12">
        <v>-2625</v>
      </c>
      <c r="I83" s="12">
        <v>2625</v>
      </c>
      <c r="J83" s="12">
        <v>-2625</v>
      </c>
      <c r="K83" t="s">
        <v>218</v>
      </c>
      <c r="L83" t="s">
        <v>14</v>
      </c>
      <c r="M83" t="s">
        <v>219</v>
      </c>
    </row>
    <row r="84" spans="1:13">
      <c r="A84" t="s">
        <v>12</v>
      </c>
      <c r="B84" s="10">
        <v>44992</v>
      </c>
      <c r="C84" t="s">
        <v>13</v>
      </c>
      <c r="D84" t="s">
        <v>220</v>
      </c>
      <c r="E84" t="s">
        <v>14</v>
      </c>
      <c r="F84" t="s">
        <v>15</v>
      </c>
      <c r="G84" s="11">
        <v>-2550</v>
      </c>
      <c r="H84" s="12">
        <v>-2550</v>
      </c>
      <c r="I84" s="12">
        <v>2550</v>
      </c>
      <c r="J84" s="12">
        <v>-250567.82</v>
      </c>
      <c r="K84" t="s">
        <v>18</v>
      </c>
      <c r="L84" t="s">
        <v>14</v>
      </c>
      <c r="M84" t="s">
        <v>221</v>
      </c>
    </row>
    <row r="85" spans="1:13">
      <c r="A85" t="s">
        <v>12</v>
      </c>
      <c r="B85" s="10">
        <v>44733</v>
      </c>
      <c r="C85" t="s">
        <v>13</v>
      </c>
      <c r="D85" t="s">
        <v>222</v>
      </c>
      <c r="E85" t="s">
        <v>14</v>
      </c>
      <c r="F85" t="s">
        <v>15</v>
      </c>
      <c r="G85" s="11">
        <v>-2425</v>
      </c>
      <c r="H85" s="12">
        <v>-2425</v>
      </c>
      <c r="I85" s="12">
        <v>2425</v>
      </c>
      <c r="J85" s="12">
        <v>-2425</v>
      </c>
      <c r="K85" t="s">
        <v>223</v>
      </c>
      <c r="L85" t="s">
        <v>14</v>
      </c>
      <c r="M85" t="s">
        <v>50</v>
      </c>
    </row>
    <row r="86" spans="1:13">
      <c r="A86" t="s">
        <v>12</v>
      </c>
      <c r="B86" s="10">
        <v>45933</v>
      </c>
      <c r="C86" t="s">
        <v>13</v>
      </c>
      <c r="D86" t="s">
        <v>224</v>
      </c>
      <c r="E86" t="s">
        <v>1511</v>
      </c>
      <c r="F86" t="s">
        <v>15</v>
      </c>
      <c r="G86" s="11">
        <v>-2500</v>
      </c>
      <c r="H86" s="12">
        <v>-2500</v>
      </c>
      <c r="I86" s="12">
        <v>2300</v>
      </c>
      <c r="J86" s="12">
        <v>-2300</v>
      </c>
      <c r="K86" t="s">
        <v>225</v>
      </c>
      <c r="L86" t="s">
        <v>14</v>
      </c>
      <c r="M86" t="s">
        <v>226</v>
      </c>
    </row>
    <row r="87" spans="1:13">
      <c r="A87" t="s">
        <v>12</v>
      </c>
      <c r="B87" s="10">
        <v>45209</v>
      </c>
      <c r="C87" t="s">
        <v>13</v>
      </c>
      <c r="D87" t="s">
        <v>227</v>
      </c>
      <c r="E87" t="s">
        <v>1512</v>
      </c>
      <c r="F87" t="s">
        <v>15</v>
      </c>
      <c r="G87" s="11">
        <v>-6360.82</v>
      </c>
      <c r="H87" s="12">
        <v>-6360.82</v>
      </c>
      <c r="I87" s="12">
        <v>2259.39</v>
      </c>
      <c r="J87" s="12">
        <v>-2259.39</v>
      </c>
      <c r="K87" t="s">
        <v>228</v>
      </c>
      <c r="L87" t="s">
        <v>14</v>
      </c>
      <c r="M87" t="s">
        <v>50</v>
      </c>
    </row>
    <row r="88" spans="1:13">
      <c r="A88" t="s">
        <v>12</v>
      </c>
      <c r="B88" s="10">
        <v>45202</v>
      </c>
      <c r="C88" t="s">
        <v>13</v>
      </c>
      <c r="D88" t="s">
        <v>229</v>
      </c>
      <c r="E88" t="s">
        <v>14</v>
      </c>
      <c r="F88" t="s">
        <v>15</v>
      </c>
      <c r="G88" s="11">
        <v>-2177.5100000000002</v>
      </c>
      <c r="H88" s="12">
        <v>-2177.5100000000002</v>
      </c>
      <c r="I88" s="12">
        <v>2177.5100000000002</v>
      </c>
      <c r="J88" s="12">
        <v>-2177.5100000000002</v>
      </c>
      <c r="K88" t="s">
        <v>230</v>
      </c>
      <c r="L88" t="s">
        <v>151</v>
      </c>
      <c r="M88" t="s">
        <v>231</v>
      </c>
    </row>
    <row r="89" spans="1:13">
      <c r="A89" t="s">
        <v>12</v>
      </c>
      <c r="B89" s="10">
        <v>46098</v>
      </c>
      <c r="C89" t="s">
        <v>13</v>
      </c>
      <c r="D89" t="s">
        <v>232</v>
      </c>
      <c r="E89" t="s">
        <v>14</v>
      </c>
      <c r="F89" t="s">
        <v>15</v>
      </c>
      <c r="G89" s="11">
        <v>-2150</v>
      </c>
      <c r="H89" s="12">
        <v>-2150</v>
      </c>
      <c r="I89" s="12">
        <v>2150</v>
      </c>
      <c r="J89" s="12">
        <v>-250567.82</v>
      </c>
      <c r="K89" t="s">
        <v>18</v>
      </c>
      <c r="L89" t="s">
        <v>14</v>
      </c>
      <c r="M89" t="s">
        <v>233</v>
      </c>
    </row>
    <row r="90" spans="1:13">
      <c r="A90" t="s">
        <v>12</v>
      </c>
      <c r="B90" s="10">
        <v>44869</v>
      </c>
      <c r="C90" t="s">
        <v>13</v>
      </c>
      <c r="D90" t="s">
        <v>234</v>
      </c>
      <c r="E90" t="s">
        <v>14</v>
      </c>
      <c r="F90" t="s">
        <v>15</v>
      </c>
      <c r="G90" s="11">
        <v>-2085</v>
      </c>
      <c r="H90" s="12">
        <v>-2085</v>
      </c>
      <c r="I90" s="12">
        <v>2085</v>
      </c>
      <c r="J90" s="12">
        <v>-250567.82</v>
      </c>
      <c r="K90" t="s">
        <v>18</v>
      </c>
      <c r="L90" t="s">
        <v>14</v>
      </c>
      <c r="M90" t="s">
        <v>235</v>
      </c>
    </row>
    <row r="91" spans="1:13">
      <c r="A91" t="s">
        <v>12</v>
      </c>
      <c r="B91" s="10">
        <v>44848</v>
      </c>
      <c r="C91" t="s">
        <v>13</v>
      </c>
      <c r="D91" t="s">
        <v>236</v>
      </c>
      <c r="E91" t="s">
        <v>14</v>
      </c>
      <c r="F91" t="s">
        <v>15</v>
      </c>
      <c r="G91" s="11">
        <v>-2032.49</v>
      </c>
      <c r="H91" s="12">
        <v>-2032.49</v>
      </c>
      <c r="I91" s="12">
        <v>2032.49</v>
      </c>
      <c r="J91" s="12">
        <v>-2032.49</v>
      </c>
      <c r="K91" t="s">
        <v>237</v>
      </c>
      <c r="L91" t="s">
        <v>14</v>
      </c>
      <c r="M91" t="s">
        <v>50</v>
      </c>
    </row>
    <row r="92" spans="1:13">
      <c r="A92" t="s">
        <v>12</v>
      </c>
      <c r="B92" s="10">
        <v>45194</v>
      </c>
      <c r="C92" t="s">
        <v>13</v>
      </c>
      <c r="D92" t="s">
        <v>238</v>
      </c>
      <c r="E92" t="s">
        <v>1513</v>
      </c>
      <c r="F92" t="s">
        <v>15</v>
      </c>
      <c r="G92" s="11">
        <v>-4000</v>
      </c>
      <c r="H92" s="12">
        <v>-4000</v>
      </c>
      <c r="I92" s="12">
        <v>2000</v>
      </c>
      <c r="J92" s="12">
        <v>-2000</v>
      </c>
      <c r="K92" t="s">
        <v>239</v>
      </c>
      <c r="L92" t="s">
        <v>14</v>
      </c>
      <c r="M92" t="s">
        <v>240</v>
      </c>
    </row>
    <row r="93" spans="1:13">
      <c r="A93" t="s">
        <v>12</v>
      </c>
      <c r="B93" s="10">
        <v>45593</v>
      </c>
      <c r="C93" t="s">
        <v>13</v>
      </c>
      <c r="D93" t="s">
        <v>241</v>
      </c>
      <c r="E93" t="s">
        <v>1514</v>
      </c>
      <c r="F93" t="s">
        <v>15</v>
      </c>
      <c r="G93" s="11">
        <v>-22000</v>
      </c>
      <c r="H93" s="12">
        <v>-22000</v>
      </c>
      <c r="I93" s="12">
        <v>2000</v>
      </c>
      <c r="J93" s="12">
        <v>-2000</v>
      </c>
      <c r="K93" t="s">
        <v>242</v>
      </c>
      <c r="L93" t="s">
        <v>14</v>
      </c>
      <c r="M93" t="s">
        <v>243</v>
      </c>
    </row>
    <row r="94" spans="1:13">
      <c r="A94" t="s">
        <v>12</v>
      </c>
      <c r="B94" s="10">
        <v>44872</v>
      </c>
      <c r="C94" t="s">
        <v>13</v>
      </c>
      <c r="D94" t="s">
        <v>244</v>
      </c>
      <c r="E94" t="s">
        <v>14</v>
      </c>
      <c r="F94" t="s">
        <v>15</v>
      </c>
      <c r="G94" s="11">
        <v>-1800</v>
      </c>
      <c r="H94" s="12">
        <v>-1800</v>
      </c>
      <c r="I94" s="12">
        <v>1800</v>
      </c>
      <c r="J94" s="12">
        <v>-1800</v>
      </c>
      <c r="K94" t="s">
        <v>245</v>
      </c>
      <c r="L94" t="s">
        <v>104</v>
      </c>
      <c r="M94" t="s">
        <v>246</v>
      </c>
    </row>
    <row r="95" spans="1:13">
      <c r="A95" t="s">
        <v>12</v>
      </c>
      <c r="B95" s="10">
        <v>46003</v>
      </c>
      <c r="C95" t="s">
        <v>13</v>
      </c>
      <c r="D95" t="s">
        <v>247</v>
      </c>
      <c r="E95" t="s">
        <v>14</v>
      </c>
      <c r="F95" t="s">
        <v>15</v>
      </c>
      <c r="G95" s="11">
        <v>-1750</v>
      </c>
      <c r="H95" s="12">
        <v>-1750</v>
      </c>
      <c r="I95" s="12">
        <v>1750</v>
      </c>
      <c r="J95" s="12">
        <v>-250567.82</v>
      </c>
      <c r="K95" t="s">
        <v>18</v>
      </c>
      <c r="L95" t="s">
        <v>14</v>
      </c>
      <c r="M95" t="s">
        <v>248</v>
      </c>
    </row>
    <row r="96" spans="1:13">
      <c r="A96" t="s">
        <v>12</v>
      </c>
      <c r="B96" s="10">
        <v>44862</v>
      </c>
      <c r="C96" t="s">
        <v>13</v>
      </c>
      <c r="D96" t="s">
        <v>249</v>
      </c>
      <c r="E96" t="s">
        <v>14</v>
      </c>
      <c r="F96" t="s">
        <v>15</v>
      </c>
      <c r="G96" s="11">
        <v>-1500</v>
      </c>
      <c r="H96" s="12">
        <v>-1500</v>
      </c>
      <c r="I96" s="12">
        <v>1500</v>
      </c>
      <c r="J96" s="12">
        <v>-250567.82</v>
      </c>
      <c r="K96" t="s">
        <v>18</v>
      </c>
      <c r="L96" t="s">
        <v>14</v>
      </c>
      <c r="M96" t="s">
        <v>250</v>
      </c>
    </row>
    <row r="97" spans="1:13">
      <c r="A97" t="s">
        <v>12</v>
      </c>
      <c r="B97" s="10">
        <v>45960</v>
      </c>
      <c r="C97" t="s">
        <v>13</v>
      </c>
      <c r="D97" t="s">
        <v>251</v>
      </c>
      <c r="E97" t="s">
        <v>14</v>
      </c>
      <c r="F97" t="s">
        <v>15</v>
      </c>
      <c r="G97" s="11">
        <v>-1500</v>
      </c>
      <c r="H97" s="12">
        <v>-1500</v>
      </c>
      <c r="I97" s="12">
        <v>1500</v>
      </c>
      <c r="J97" s="12">
        <v>-1500</v>
      </c>
      <c r="K97" t="s">
        <v>252</v>
      </c>
      <c r="L97" t="s">
        <v>88</v>
      </c>
      <c r="M97" t="s">
        <v>253</v>
      </c>
    </row>
    <row r="98" spans="1:13">
      <c r="A98" t="s">
        <v>12</v>
      </c>
      <c r="B98" s="10">
        <v>46038</v>
      </c>
      <c r="C98" t="s">
        <v>13</v>
      </c>
      <c r="D98" t="s">
        <v>254</v>
      </c>
      <c r="E98" t="s">
        <v>14</v>
      </c>
      <c r="F98" t="s">
        <v>15</v>
      </c>
      <c r="G98" s="11">
        <v>-1498.72</v>
      </c>
      <c r="H98" s="12">
        <v>-1498.72</v>
      </c>
      <c r="I98" s="12">
        <v>1498.72</v>
      </c>
      <c r="J98" s="12">
        <v>-1498.72</v>
      </c>
      <c r="K98" t="s">
        <v>255</v>
      </c>
      <c r="L98" t="s">
        <v>14</v>
      </c>
      <c r="M98" t="s">
        <v>256</v>
      </c>
    </row>
    <row r="99" spans="1:13">
      <c r="A99" t="s">
        <v>12</v>
      </c>
      <c r="B99" s="10">
        <v>46143</v>
      </c>
      <c r="C99" t="s">
        <v>13</v>
      </c>
      <c r="D99" t="s">
        <v>1746</v>
      </c>
      <c r="E99" t="s">
        <v>14</v>
      </c>
      <c r="F99" t="s">
        <v>15</v>
      </c>
      <c r="G99" s="11">
        <v>-1450</v>
      </c>
      <c r="H99" s="12">
        <v>-1450</v>
      </c>
      <c r="I99" s="12">
        <v>1450</v>
      </c>
      <c r="J99" s="12">
        <v>-1450</v>
      </c>
      <c r="K99" t="s">
        <v>16</v>
      </c>
      <c r="L99" t="s">
        <v>14</v>
      </c>
      <c r="M99" t="s">
        <v>14</v>
      </c>
    </row>
    <row r="100" spans="1:13">
      <c r="A100" t="s">
        <v>12</v>
      </c>
      <c r="B100" s="10">
        <v>45533</v>
      </c>
      <c r="C100" t="s">
        <v>13</v>
      </c>
      <c r="D100" t="s">
        <v>257</v>
      </c>
      <c r="E100" t="s">
        <v>14</v>
      </c>
      <c r="F100" t="s">
        <v>15</v>
      </c>
      <c r="G100" s="11">
        <v>-1379.91</v>
      </c>
      <c r="H100" s="12">
        <v>-1379.91</v>
      </c>
      <c r="I100" s="12">
        <v>1379.91</v>
      </c>
      <c r="J100" s="12">
        <v>-250567.82</v>
      </c>
      <c r="K100" t="s">
        <v>18</v>
      </c>
      <c r="L100" t="s">
        <v>14</v>
      </c>
      <c r="M100" t="s">
        <v>258</v>
      </c>
    </row>
    <row r="101" spans="1:13">
      <c r="A101" t="s">
        <v>12</v>
      </c>
      <c r="B101" s="10">
        <v>46080</v>
      </c>
      <c r="C101" t="s">
        <v>13</v>
      </c>
      <c r="D101" t="s">
        <v>259</v>
      </c>
      <c r="E101" t="s">
        <v>1515</v>
      </c>
      <c r="F101" t="s">
        <v>15</v>
      </c>
      <c r="G101" s="11">
        <v>-46120.26</v>
      </c>
      <c r="H101" s="12">
        <v>-46120.26</v>
      </c>
      <c r="I101" s="12">
        <v>1320.26</v>
      </c>
      <c r="J101" s="12">
        <v>-1320.26</v>
      </c>
      <c r="K101" t="s">
        <v>260</v>
      </c>
      <c r="L101" t="s">
        <v>14</v>
      </c>
      <c r="M101" t="s">
        <v>261</v>
      </c>
    </row>
    <row r="102" spans="1:13">
      <c r="A102" t="s">
        <v>12</v>
      </c>
      <c r="B102" s="10">
        <v>45950</v>
      </c>
      <c r="C102" t="s">
        <v>13</v>
      </c>
      <c r="D102" t="s">
        <v>262</v>
      </c>
      <c r="E102" t="s">
        <v>14</v>
      </c>
      <c r="F102" t="s">
        <v>15</v>
      </c>
      <c r="G102" s="11">
        <v>-1250</v>
      </c>
      <c r="H102" s="12">
        <v>-1250</v>
      </c>
      <c r="I102" s="12">
        <v>1250</v>
      </c>
      <c r="J102" s="12">
        <v>-1250</v>
      </c>
      <c r="K102" t="s">
        <v>263</v>
      </c>
      <c r="L102" t="s">
        <v>14</v>
      </c>
      <c r="M102" t="s">
        <v>14</v>
      </c>
    </row>
    <row r="103" spans="1:13">
      <c r="A103" t="s">
        <v>12</v>
      </c>
      <c r="B103" s="10">
        <v>44893</v>
      </c>
      <c r="C103" t="s">
        <v>13</v>
      </c>
      <c r="D103" t="s">
        <v>264</v>
      </c>
      <c r="E103" t="s">
        <v>14</v>
      </c>
      <c r="F103" t="s">
        <v>15</v>
      </c>
      <c r="G103" s="11">
        <v>-1200</v>
      </c>
      <c r="H103" s="12">
        <v>-1200</v>
      </c>
      <c r="I103" s="12">
        <v>1200</v>
      </c>
      <c r="J103" s="12">
        <v>-1200</v>
      </c>
      <c r="K103" t="s">
        <v>265</v>
      </c>
      <c r="L103" t="s">
        <v>14</v>
      </c>
      <c r="M103" t="s">
        <v>50</v>
      </c>
    </row>
    <row r="104" spans="1:13">
      <c r="A104" t="s">
        <v>12</v>
      </c>
      <c r="B104" s="10">
        <v>45021</v>
      </c>
      <c r="C104" t="s">
        <v>13</v>
      </c>
      <c r="D104" t="s">
        <v>266</v>
      </c>
      <c r="E104" t="s">
        <v>1516</v>
      </c>
      <c r="F104" t="s">
        <v>15</v>
      </c>
      <c r="G104" s="11">
        <v>-4549</v>
      </c>
      <c r="H104" s="12">
        <v>-4549</v>
      </c>
      <c r="I104" s="12">
        <v>1000</v>
      </c>
      <c r="J104" s="12">
        <v>-1000</v>
      </c>
      <c r="K104" t="s">
        <v>267</v>
      </c>
      <c r="L104" t="s">
        <v>14</v>
      </c>
      <c r="M104" t="s">
        <v>268</v>
      </c>
    </row>
    <row r="105" spans="1:13">
      <c r="A105" t="s">
        <v>12</v>
      </c>
      <c r="B105" s="10">
        <v>44978</v>
      </c>
      <c r="C105" t="s">
        <v>13</v>
      </c>
      <c r="D105" t="s">
        <v>269</v>
      </c>
      <c r="E105" t="s">
        <v>14</v>
      </c>
      <c r="F105" t="s">
        <v>15</v>
      </c>
      <c r="G105" s="11">
        <v>-970.92</v>
      </c>
      <c r="H105" s="12">
        <v>-970.92</v>
      </c>
      <c r="I105" s="12">
        <v>970.92</v>
      </c>
      <c r="J105" s="12">
        <v>2004.08</v>
      </c>
      <c r="K105" t="s">
        <v>270</v>
      </c>
      <c r="L105" t="s">
        <v>14</v>
      </c>
      <c r="M105" t="s">
        <v>50</v>
      </c>
    </row>
    <row r="106" spans="1:13">
      <c r="A106" t="s">
        <v>12</v>
      </c>
      <c r="B106" s="10">
        <v>44970</v>
      </c>
      <c r="C106" t="s">
        <v>13</v>
      </c>
      <c r="D106" t="s">
        <v>271</v>
      </c>
      <c r="E106" t="s">
        <v>14</v>
      </c>
      <c r="F106" t="s">
        <v>15</v>
      </c>
      <c r="G106" s="11">
        <v>-958.69</v>
      </c>
      <c r="H106" s="12">
        <v>-958.69</v>
      </c>
      <c r="I106" s="12">
        <v>958.69</v>
      </c>
      <c r="J106" s="12">
        <v>-958.69</v>
      </c>
      <c r="K106" t="s">
        <v>272</v>
      </c>
      <c r="L106" t="s">
        <v>14</v>
      </c>
      <c r="M106" t="s">
        <v>50</v>
      </c>
    </row>
    <row r="107" spans="1:13">
      <c r="A107" t="s">
        <v>12</v>
      </c>
      <c r="B107" s="10">
        <v>44988</v>
      </c>
      <c r="C107" t="s">
        <v>13</v>
      </c>
      <c r="D107" t="s">
        <v>273</v>
      </c>
      <c r="E107" t="s">
        <v>1517</v>
      </c>
      <c r="F107" t="s">
        <v>15</v>
      </c>
      <c r="G107" s="11">
        <v>-11900</v>
      </c>
      <c r="H107" s="12">
        <v>-11900</v>
      </c>
      <c r="I107" s="12">
        <v>900</v>
      </c>
      <c r="J107" s="12">
        <v>11475</v>
      </c>
      <c r="K107" t="s">
        <v>274</v>
      </c>
      <c r="L107" t="s">
        <v>14</v>
      </c>
      <c r="M107" t="s">
        <v>275</v>
      </c>
    </row>
    <row r="108" spans="1:13">
      <c r="A108" t="s">
        <v>12</v>
      </c>
      <c r="B108" s="10">
        <v>45848</v>
      </c>
      <c r="C108" t="s">
        <v>13</v>
      </c>
      <c r="D108" t="s">
        <v>276</v>
      </c>
      <c r="E108" t="s">
        <v>14</v>
      </c>
      <c r="F108" t="s">
        <v>15</v>
      </c>
      <c r="G108" s="11">
        <v>-881.54</v>
      </c>
      <c r="H108" s="12">
        <v>-881.54</v>
      </c>
      <c r="I108" s="12">
        <v>881.54</v>
      </c>
      <c r="J108" s="12">
        <v>-2065</v>
      </c>
      <c r="K108" t="s">
        <v>277</v>
      </c>
      <c r="L108" t="s">
        <v>14</v>
      </c>
      <c r="M108" t="s">
        <v>278</v>
      </c>
    </row>
    <row r="109" spans="1:13">
      <c r="A109" t="s">
        <v>12</v>
      </c>
      <c r="B109" s="10">
        <v>44974</v>
      </c>
      <c r="C109" t="s">
        <v>13</v>
      </c>
      <c r="D109" t="s">
        <v>279</v>
      </c>
      <c r="E109" t="s">
        <v>14</v>
      </c>
      <c r="F109" t="s">
        <v>15</v>
      </c>
      <c r="G109" s="11">
        <v>-814.24</v>
      </c>
      <c r="H109" s="12">
        <v>-814.24</v>
      </c>
      <c r="I109" s="12">
        <v>814.24</v>
      </c>
      <c r="J109" s="12">
        <v>-2166.46</v>
      </c>
      <c r="K109" t="s">
        <v>280</v>
      </c>
      <c r="L109" t="s">
        <v>151</v>
      </c>
      <c r="M109" t="s">
        <v>281</v>
      </c>
    </row>
    <row r="110" spans="1:13">
      <c r="A110" t="s">
        <v>12</v>
      </c>
      <c r="B110" s="10">
        <v>46065</v>
      </c>
      <c r="C110" t="s">
        <v>13</v>
      </c>
      <c r="D110" t="s">
        <v>282</v>
      </c>
      <c r="E110" t="s">
        <v>1518</v>
      </c>
      <c r="F110" t="s">
        <v>15</v>
      </c>
      <c r="G110" s="11">
        <v>-18311.53</v>
      </c>
      <c r="H110" s="12">
        <v>-18311.53</v>
      </c>
      <c r="I110" s="12">
        <v>762.97</v>
      </c>
      <c r="J110" s="12">
        <v>-762.97</v>
      </c>
      <c r="K110" t="s">
        <v>283</v>
      </c>
      <c r="L110" t="s">
        <v>76</v>
      </c>
      <c r="M110" t="s">
        <v>14</v>
      </c>
    </row>
    <row r="111" spans="1:13">
      <c r="A111" t="s">
        <v>12</v>
      </c>
      <c r="B111" s="10">
        <v>45065</v>
      </c>
      <c r="C111" t="s">
        <v>13</v>
      </c>
      <c r="D111" t="s">
        <v>284</v>
      </c>
      <c r="E111" t="s">
        <v>1521</v>
      </c>
      <c r="F111" t="s">
        <v>15</v>
      </c>
      <c r="G111" s="11">
        <v>-38800</v>
      </c>
      <c r="H111" s="12">
        <v>-38800</v>
      </c>
      <c r="I111" s="12">
        <v>725</v>
      </c>
      <c r="J111" s="12">
        <v>-10420</v>
      </c>
      <c r="K111" t="s">
        <v>93</v>
      </c>
      <c r="L111" t="s">
        <v>94</v>
      </c>
      <c r="M111" t="s">
        <v>285</v>
      </c>
    </row>
    <row r="112" spans="1:13">
      <c r="A112" t="s">
        <v>12</v>
      </c>
      <c r="B112" s="10">
        <v>45065</v>
      </c>
      <c r="C112" t="s">
        <v>13</v>
      </c>
      <c r="D112" t="s">
        <v>284</v>
      </c>
      <c r="E112" t="s">
        <v>1520</v>
      </c>
      <c r="F112" t="s">
        <v>15</v>
      </c>
      <c r="G112" s="11">
        <v>-38800</v>
      </c>
      <c r="H112" s="12">
        <v>-38800</v>
      </c>
      <c r="I112" s="12">
        <v>725</v>
      </c>
      <c r="J112" s="12">
        <v>-10420</v>
      </c>
      <c r="K112" t="s">
        <v>93</v>
      </c>
      <c r="L112" t="s">
        <v>94</v>
      </c>
      <c r="M112" t="s">
        <v>285</v>
      </c>
    </row>
    <row r="113" spans="1:13">
      <c r="A113" t="s">
        <v>12</v>
      </c>
      <c r="B113" s="10">
        <v>45065</v>
      </c>
      <c r="C113" t="s">
        <v>13</v>
      </c>
      <c r="D113" t="s">
        <v>284</v>
      </c>
      <c r="E113" t="s">
        <v>1519</v>
      </c>
      <c r="F113" t="s">
        <v>15</v>
      </c>
      <c r="G113" s="11">
        <v>-38800</v>
      </c>
      <c r="H113" s="12">
        <v>-38800</v>
      </c>
      <c r="I113" s="12">
        <v>725</v>
      </c>
      <c r="J113" s="12">
        <v>-10420</v>
      </c>
      <c r="K113" t="s">
        <v>93</v>
      </c>
      <c r="L113" t="s">
        <v>94</v>
      </c>
      <c r="M113" t="s">
        <v>285</v>
      </c>
    </row>
    <row r="114" spans="1:13">
      <c r="A114" t="s">
        <v>12</v>
      </c>
      <c r="B114" s="10">
        <v>44792</v>
      </c>
      <c r="C114" t="s">
        <v>13</v>
      </c>
      <c r="D114" t="s">
        <v>286</v>
      </c>
      <c r="E114" t="s">
        <v>14</v>
      </c>
      <c r="F114" t="s">
        <v>15</v>
      </c>
      <c r="G114" s="11">
        <v>-703</v>
      </c>
      <c r="H114" s="12">
        <v>-703</v>
      </c>
      <c r="I114" s="12">
        <v>703</v>
      </c>
      <c r="J114" s="12">
        <v>-703</v>
      </c>
      <c r="K114" t="s">
        <v>287</v>
      </c>
      <c r="L114" t="s">
        <v>88</v>
      </c>
      <c r="M114" t="s">
        <v>288</v>
      </c>
    </row>
    <row r="115" spans="1:13">
      <c r="A115" t="s">
        <v>12</v>
      </c>
      <c r="B115" s="10">
        <v>44922</v>
      </c>
      <c r="C115" t="s">
        <v>13</v>
      </c>
      <c r="D115" t="s">
        <v>289</v>
      </c>
      <c r="E115" t="s">
        <v>14</v>
      </c>
      <c r="F115" t="s">
        <v>15</v>
      </c>
      <c r="G115" s="11">
        <v>-700</v>
      </c>
      <c r="H115" s="12">
        <v>-700</v>
      </c>
      <c r="I115" s="12">
        <v>700</v>
      </c>
      <c r="J115" s="12">
        <v>-250567.82</v>
      </c>
      <c r="K115" t="s">
        <v>18</v>
      </c>
      <c r="L115" t="s">
        <v>14</v>
      </c>
      <c r="M115" t="s">
        <v>290</v>
      </c>
    </row>
    <row r="116" spans="1:13">
      <c r="A116" t="s">
        <v>12</v>
      </c>
      <c r="B116" s="10">
        <v>45848</v>
      </c>
      <c r="C116" t="s">
        <v>13</v>
      </c>
      <c r="D116" t="s">
        <v>291</v>
      </c>
      <c r="E116" t="s">
        <v>14</v>
      </c>
      <c r="F116" t="s">
        <v>15</v>
      </c>
      <c r="G116" s="11">
        <v>-667.21</v>
      </c>
      <c r="H116" s="12">
        <v>-667.21</v>
      </c>
      <c r="I116" s="12">
        <v>667.21</v>
      </c>
      <c r="J116" s="12">
        <v>-2065</v>
      </c>
      <c r="K116" t="s">
        <v>277</v>
      </c>
      <c r="L116" t="s">
        <v>14</v>
      </c>
      <c r="M116" t="s">
        <v>292</v>
      </c>
    </row>
    <row r="117" spans="1:13">
      <c r="A117" t="s">
        <v>12</v>
      </c>
      <c r="B117" s="10">
        <v>44993</v>
      </c>
      <c r="C117" t="s">
        <v>13</v>
      </c>
      <c r="D117" t="s">
        <v>293</v>
      </c>
      <c r="E117" t="s">
        <v>1522</v>
      </c>
      <c r="F117" t="s">
        <v>15</v>
      </c>
      <c r="G117" s="11">
        <v>-4860</v>
      </c>
      <c r="H117" s="12">
        <v>-4860</v>
      </c>
      <c r="I117" s="12">
        <v>660</v>
      </c>
      <c r="J117" s="12">
        <v>-660</v>
      </c>
      <c r="K117" t="s">
        <v>294</v>
      </c>
      <c r="L117" t="s">
        <v>14</v>
      </c>
      <c r="M117" t="s">
        <v>295</v>
      </c>
    </row>
    <row r="118" spans="1:13">
      <c r="A118" t="s">
        <v>12</v>
      </c>
      <c r="B118" s="10">
        <v>45320</v>
      </c>
      <c r="C118" t="s">
        <v>13</v>
      </c>
      <c r="D118" t="s">
        <v>296</v>
      </c>
      <c r="E118" t="s">
        <v>1523</v>
      </c>
      <c r="F118" t="s">
        <v>15</v>
      </c>
      <c r="G118" s="11">
        <v>-10093.75</v>
      </c>
      <c r="H118" s="12">
        <v>-10093.75</v>
      </c>
      <c r="I118" s="12">
        <v>593.75</v>
      </c>
      <c r="J118" s="12">
        <v>-593.75</v>
      </c>
      <c r="K118" t="s">
        <v>297</v>
      </c>
      <c r="L118" t="s">
        <v>14</v>
      </c>
      <c r="M118" t="s">
        <v>50</v>
      </c>
    </row>
    <row r="119" spans="1:13">
      <c r="A119" t="s">
        <v>12</v>
      </c>
      <c r="B119" s="10">
        <v>45848</v>
      </c>
      <c r="C119" t="s">
        <v>13</v>
      </c>
      <c r="D119" t="s">
        <v>298</v>
      </c>
      <c r="E119" t="s">
        <v>14</v>
      </c>
      <c r="F119" t="s">
        <v>15</v>
      </c>
      <c r="G119" s="11">
        <v>-516.25</v>
      </c>
      <c r="H119" s="12">
        <v>-516.25</v>
      </c>
      <c r="I119" s="12">
        <v>516.25</v>
      </c>
      <c r="J119" s="12">
        <v>-2065</v>
      </c>
      <c r="K119" t="s">
        <v>277</v>
      </c>
      <c r="L119" t="s">
        <v>14</v>
      </c>
      <c r="M119" t="s">
        <v>299</v>
      </c>
    </row>
    <row r="120" spans="1:13">
      <c r="A120" t="s">
        <v>12</v>
      </c>
      <c r="B120" s="10">
        <v>46051</v>
      </c>
      <c r="C120" t="s">
        <v>13</v>
      </c>
      <c r="D120" t="s">
        <v>300</v>
      </c>
      <c r="E120" t="s">
        <v>1524</v>
      </c>
      <c r="F120" t="s">
        <v>15</v>
      </c>
      <c r="G120" s="11">
        <v>-37552</v>
      </c>
      <c r="H120" s="12">
        <v>-37552</v>
      </c>
      <c r="I120" s="12">
        <v>508</v>
      </c>
      <c r="J120" s="12">
        <v>-508</v>
      </c>
      <c r="K120" t="s">
        <v>301</v>
      </c>
      <c r="L120" t="s">
        <v>14</v>
      </c>
      <c r="M120" t="s">
        <v>302</v>
      </c>
    </row>
    <row r="121" spans="1:13">
      <c r="A121" t="s">
        <v>12</v>
      </c>
      <c r="B121" s="10">
        <v>45615</v>
      </c>
      <c r="C121" t="s">
        <v>13</v>
      </c>
      <c r="D121" t="s">
        <v>303</v>
      </c>
      <c r="E121" t="s">
        <v>14</v>
      </c>
      <c r="F121" t="s">
        <v>15</v>
      </c>
      <c r="G121" s="11">
        <v>-505</v>
      </c>
      <c r="H121" s="12">
        <v>-505</v>
      </c>
      <c r="I121" s="12">
        <v>505</v>
      </c>
      <c r="J121" s="12">
        <v>-505</v>
      </c>
      <c r="K121" t="s">
        <v>304</v>
      </c>
      <c r="L121" t="s">
        <v>14</v>
      </c>
      <c r="M121" t="s">
        <v>50</v>
      </c>
    </row>
    <row r="122" spans="1:13">
      <c r="A122" t="s">
        <v>12</v>
      </c>
      <c r="B122" s="10">
        <v>44795</v>
      </c>
      <c r="C122" t="s">
        <v>13</v>
      </c>
      <c r="D122" t="s">
        <v>305</v>
      </c>
      <c r="E122" t="s">
        <v>1525</v>
      </c>
      <c r="F122" t="s">
        <v>15</v>
      </c>
      <c r="G122" s="11">
        <v>-10500</v>
      </c>
      <c r="H122" s="12">
        <v>-10500</v>
      </c>
      <c r="I122" s="12">
        <v>500</v>
      </c>
      <c r="J122" s="12">
        <v>-500</v>
      </c>
      <c r="K122" t="s">
        <v>306</v>
      </c>
      <c r="L122" t="s">
        <v>14</v>
      </c>
      <c r="M122" t="s">
        <v>307</v>
      </c>
    </row>
    <row r="123" spans="1:13">
      <c r="A123" t="s">
        <v>12</v>
      </c>
      <c r="B123" s="10">
        <v>45142</v>
      </c>
      <c r="C123" t="s">
        <v>13</v>
      </c>
      <c r="D123" t="s">
        <v>308</v>
      </c>
      <c r="E123" t="s">
        <v>14</v>
      </c>
      <c r="F123" t="s">
        <v>15</v>
      </c>
      <c r="G123" s="11">
        <v>-500</v>
      </c>
      <c r="H123" s="12">
        <v>-500</v>
      </c>
      <c r="I123" s="12">
        <v>500</v>
      </c>
      <c r="J123" s="12">
        <v>-500</v>
      </c>
      <c r="K123" t="s">
        <v>309</v>
      </c>
      <c r="L123" t="s">
        <v>14</v>
      </c>
      <c r="M123" t="s">
        <v>310</v>
      </c>
    </row>
    <row r="124" spans="1:13">
      <c r="A124" t="s">
        <v>12</v>
      </c>
      <c r="B124" s="10">
        <v>44974</v>
      </c>
      <c r="C124" t="s">
        <v>13</v>
      </c>
      <c r="D124" t="s">
        <v>311</v>
      </c>
      <c r="E124" t="s">
        <v>14</v>
      </c>
      <c r="F124" t="s">
        <v>15</v>
      </c>
      <c r="G124" s="11">
        <v>-450.74</v>
      </c>
      <c r="H124" s="12">
        <v>-450.74</v>
      </c>
      <c r="I124" s="12">
        <v>450.74</v>
      </c>
      <c r="J124" s="12">
        <v>-2166.46</v>
      </c>
      <c r="K124" t="s">
        <v>280</v>
      </c>
      <c r="L124" t="s">
        <v>151</v>
      </c>
      <c r="M124" t="s">
        <v>312</v>
      </c>
    </row>
    <row r="125" spans="1:13">
      <c r="A125" t="s">
        <v>12</v>
      </c>
      <c r="B125" s="10">
        <v>44974</v>
      </c>
      <c r="C125" t="s">
        <v>13</v>
      </c>
      <c r="D125" t="s">
        <v>313</v>
      </c>
      <c r="E125" t="s">
        <v>14</v>
      </c>
      <c r="F125" t="s">
        <v>15</v>
      </c>
      <c r="G125" s="11">
        <v>-450.74</v>
      </c>
      <c r="H125" s="12">
        <v>-450.74</v>
      </c>
      <c r="I125" s="12">
        <v>450.74</v>
      </c>
      <c r="J125" s="12">
        <v>-2166.46</v>
      </c>
      <c r="K125" t="s">
        <v>280</v>
      </c>
      <c r="L125" t="s">
        <v>151</v>
      </c>
      <c r="M125" t="s">
        <v>314</v>
      </c>
    </row>
    <row r="126" spans="1:13">
      <c r="A126" t="s">
        <v>12</v>
      </c>
      <c r="B126" s="10">
        <v>44974</v>
      </c>
      <c r="C126" t="s">
        <v>13</v>
      </c>
      <c r="D126" t="s">
        <v>315</v>
      </c>
      <c r="E126" t="s">
        <v>14</v>
      </c>
      <c r="F126" t="s">
        <v>15</v>
      </c>
      <c r="G126" s="11">
        <v>-450.74</v>
      </c>
      <c r="H126" s="12">
        <v>-450.74</v>
      </c>
      <c r="I126" s="12">
        <v>450.74</v>
      </c>
      <c r="J126" s="12">
        <v>-2166.46</v>
      </c>
      <c r="K126" t="s">
        <v>280</v>
      </c>
      <c r="L126" t="s">
        <v>151</v>
      </c>
      <c r="M126" t="s">
        <v>316</v>
      </c>
    </row>
    <row r="127" spans="1:13">
      <c r="A127" t="s">
        <v>12</v>
      </c>
      <c r="B127" s="10">
        <v>45170</v>
      </c>
      <c r="C127" t="s">
        <v>13</v>
      </c>
      <c r="D127" t="s">
        <v>317</v>
      </c>
      <c r="E127" t="s">
        <v>1526</v>
      </c>
      <c r="F127" t="s">
        <v>15</v>
      </c>
      <c r="G127" s="11">
        <v>-55374.16</v>
      </c>
      <c r="H127" s="12">
        <v>-55374.16</v>
      </c>
      <c r="I127" s="12">
        <v>424.16</v>
      </c>
      <c r="J127" s="12">
        <v>-424.16</v>
      </c>
      <c r="K127" t="s">
        <v>318</v>
      </c>
      <c r="L127" t="s">
        <v>14</v>
      </c>
      <c r="M127" t="s">
        <v>319</v>
      </c>
    </row>
    <row r="128" spans="1:13">
      <c r="A128" t="s">
        <v>12</v>
      </c>
      <c r="B128" s="10">
        <v>45170</v>
      </c>
      <c r="C128" t="s">
        <v>13</v>
      </c>
      <c r="D128" t="s">
        <v>317</v>
      </c>
      <c r="E128" t="s">
        <v>1527</v>
      </c>
      <c r="F128" t="s">
        <v>15</v>
      </c>
      <c r="G128" s="11">
        <v>-55374.16</v>
      </c>
      <c r="H128" s="12">
        <v>-55374.16</v>
      </c>
      <c r="I128" s="12">
        <v>424.16</v>
      </c>
      <c r="J128" s="12">
        <v>-424.16</v>
      </c>
      <c r="K128" t="s">
        <v>318</v>
      </c>
      <c r="L128" t="s">
        <v>14</v>
      </c>
      <c r="M128" t="s">
        <v>319</v>
      </c>
    </row>
    <row r="129" spans="1:13">
      <c r="A129" t="s">
        <v>12</v>
      </c>
      <c r="B129" s="10">
        <v>44806</v>
      </c>
      <c r="C129" t="s">
        <v>13</v>
      </c>
      <c r="D129" t="s">
        <v>320</v>
      </c>
      <c r="E129" t="s">
        <v>1528</v>
      </c>
      <c r="F129" t="s">
        <v>15</v>
      </c>
      <c r="G129" s="11">
        <v>-17166.41</v>
      </c>
      <c r="H129" s="12">
        <v>-17166.41</v>
      </c>
      <c r="I129" s="12">
        <v>416.41</v>
      </c>
      <c r="J129" s="12">
        <v>-416.41</v>
      </c>
      <c r="K129" t="s">
        <v>321</v>
      </c>
      <c r="L129" t="s">
        <v>131</v>
      </c>
      <c r="M129" t="s">
        <v>50</v>
      </c>
    </row>
    <row r="130" spans="1:13">
      <c r="A130" t="s">
        <v>12</v>
      </c>
      <c r="B130" s="10">
        <v>46035</v>
      </c>
      <c r="C130" t="s">
        <v>13</v>
      </c>
      <c r="D130" t="s">
        <v>322</v>
      </c>
      <c r="E130" t="s">
        <v>1529</v>
      </c>
      <c r="F130" t="s">
        <v>15</v>
      </c>
      <c r="G130" s="11">
        <v>-5578.13</v>
      </c>
      <c r="H130" s="12">
        <v>-5578.13</v>
      </c>
      <c r="I130" s="12">
        <v>412.5</v>
      </c>
      <c r="J130" s="12">
        <v>9672.75</v>
      </c>
      <c r="K130" t="s">
        <v>323</v>
      </c>
      <c r="L130" t="s">
        <v>324</v>
      </c>
      <c r="M130" t="s">
        <v>325</v>
      </c>
    </row>
    <row r="131" spans="1:13">
      <c r="A131" t="s">
        <v>12</v>
      </c>
      <c r="B131" s="10">
        <v>45856</v>
      </c>
      <c r="C131" t="s">
        <v>13</v>
      </c>
      <c r="D131" t="s">
        <v>326</v>
      </c>
      <c r="E131" t="s">
        <v>14</v>
      </c>
      <c r="F131" t="s">
        <v>15</v>
      </c>
      <c r="G131" s="11">
        <v>-405.47</v>
      </c>
      <c r="H131" s="12">
        <v>-405.47</v>
      </c>
      <c r="I131" s="12">
        <v>405.47</v>
      </c>
      <c r="J131" s="12">
        <v>-250567.82</v>
      </c>
      <c r="K131" t="s">
        <v>18</v>
      </c>
      <c r="L131" t="s">
        <v>14</v>
      </c>
      <c r="M131" t="s">
        <v>327</v>
      </c>
    </row>
    <row r="132" spans="1:13">
      <c r="A132" t="s">
        <v>12</v>
      </c>
      <c r="B132" s="10">
        <v>44904</v>
      </c>
      <c r="C132" t="s">
        <v>13</v>
      </c>
      <c r="D132" t="s">
        <v>328</v>
      </c>
      <c r="E132" t="s">
        <v>14</v>
      </c>
      <c r="F132" t="s">
        <v>15</v>
      </c>
      <c r="G132" s="11">
        <v>-345</v>
      </c>
      <c r="H132" s="12">
        <v>-345</v>
      </c>
      <c r="I132" s="12">
        <v>345</v>
      </c>
      <c r="J132" s="12">
        <v>-345</v>
      </c>
      <c r="K132" t="s">
        <v>329</v>
      </c>
      <c r="L132" t="s">
        <v>14</v>
      </c>
      <c r="M132" t="s">
        <v>330</v>
      </c>
    </row>
    <row r="133" spans="1:13">
      <c r="A133" t="s">
        <v>12</v>
      </c>
      <c r="B133" s="10">
        <v>45856</v>
      </c>
      <c r="C133" t="s">
        <v>13</v>
      </c>
      <c r="D133" t="s">
        <v>331</v>
      </c>
      <c r="E133" t="s">
        <v>14</v>
      </c>
      <c r="F133" t="s">
        <v>15</v>
      </c>
      <c r="G133" s="11">
        <v>-312.81</v>
      </c>
      <c r="H133" s="12">
        <v>-312.81</v>
      </c>
      <c r="I133" s="12">
        <v>312.81</v>
      </c>
      <c r="J133" s="12">
        <v>-250567.82</v>
      </c>
      <c r="K133" t="s">
        <v>18</v>
      </c>
      <c r="L133" t="s">
        <v>14</v>
      </c>
      <c r="M133" t="s">
        <v>332</v>
      </c>
    </row>
    <row r="134" spans="1:13">
      <c r="A134" t="s">
        <v>12</v>
      </c>
      <c r="B134" s="10">
        <v>45737</v>
      </c>
      <c r="C134" t="s">
        <v>13</v>
      </c>
      <c r="D134" t="s">
        <v>333</v>
      </c>
      <c r="E134" t="s">
        <v>1530</v>
      </c>
      <c r="F134" t="s">
        <v>15</v>
      </c>
      <c r="G134" s="11">
        <v>-7800</v>
      </c>
      <c r="H134" s="12">
        <v>-7800</v>
      </c>
      <c r="I134" s="12">
        <v>281</v>
      </c>
      <c r="J134" s="12">
        <v>-281</v>
      </c>
      <c r="K134" t="s">
        <v>334</v>
      </c>
      <c r="L134" t="s">
        <v>104</v>
      </c>
      <c r="M134" t="s">
        <v>335</v>
      </c>
    </row>
    <row r="135" spans="1:13">
      <c r="A135" t="s">
        <v>12</v>
      </c>
      <c r="B135" s="10">
        <v>45154</v>
      </c>
      <c r="C135" t="s">
        <v>13</v>
      </c>
      <c r="D135" t="s">
        <v>336</v>
      </c>
      <c r="E135" t="s">
        <v>14</v>
      </c>
      <c r="F135" t="s">
        <v>15</v>
      </c>
      <c r="G135" s="11">
        <v>-280</v>
      </c>
      <c r="H135" s="12">
        <v>-280</v>
      </c>
      <c r="I135" s="12">
        <v>280</v>
      </c>
      <c r="J135" s="12">
        <v>-280</v>
      </c>
      <c r="K135" t="s">
        <v>337</v>
      </c>
      <c r="L135" t="s">
        <v>131</v>
      </c>
      <c r="M135" t="s">
        <v>338</v>
      </c>
    </row>
    <row r="136" spans="1:13">
      <c r="A136" t="s">
        <v>12</v>
      </c>
      <c r="B136" s="10">
        <v>44725</v>
      </c>
      <c r="C136" t="s">
        <v>13</v>
      </c>
      <c r="D136" t="s">
        <v>339</v>
      </c>
      <c r="E136" t="s">
        <v>14</v>
      </c>
      <c r="F136" t="s">
        <v>15</v>
      </c>
      <c r="G136" s="11">
        <v>-275.37</v>
      </c>
      <c r="H136" s="12">
        <v>-275.37</v>
      </c>
      <c r="I136" s="12">
        <v>275.37</v>
      </c>
      <c r="J136" s="12">
        <v>-275.37</v>
      </c>
      <c r="K136" t="s">
        <v>340</v>
      </c>
      <c r="L136" t="s">
        <v>14</v>
      </c>
      <c r="M136" t="s">
        <v>341</v>
      </c>
    </row>
    <row r="137" spans="1:13">
      <c r="A137" t="s">
        <v>12</v>
      </c>
      <c r="B137" s="10">
        <v>45821</v>
      </c>
      <c r="C137" t="s">
        <v>13</v>
      </c>
      <c r="D137" t="s">
        <v>342</v>
      </c>
      <c r="E137" t="s">
        <v>1531</v>
      </c>
      <c r="F137" t="s">
        <v>15</v>
      </c>
      <c r="G137" s="11">
        <v>-29850</v>
      </c>
      <c r="H137" s="12">
        <v>-29850</v>
      </c>
      <c r="I137" s="12">
        <v>270</v>
      </c>
      <c r="J137" s="12">
        <v>-270</v>
      </c>
      <c r="K137" t="s">
        <v>343</v>
      </c>
      <c r="L137" t="s">
        <v>14</v>
      </c>
      <c r="M137" t="s">
        <v>344</v>
      </c>
    </row>
    <row r="138" spans="1:13">
      <c r="A138" t="s">
        <v>12</v>
      </c>
      <c r="B138" s="10">
        <v>46014</v>
      </c>
      <c r="C138" t="s">
        <v>13</v>
      </c>
      <c r="D138" t="s">
        <v>345</v>
      </c>
      <c r="E138" t="s">
        <v>1532</v>
      </c>
      <c r="F138" t="s">
        <v>15</v>
      </c>
      <c r="G138" s="11">
        <v>-16740</v>
      </c>
      <c r="H138" s="12">
        <v>-16740</v>
      </c>
      <c r="I138" s="12">
        <v>270</v>
      </c>
      <c r="J138" s="12">
        <v>-270</v>
      </c>
      <c r="K138" t="s">
        <v>346</v>
      </c>
      <c r="L138" t="s">
        <v>76</v>
      </c>
      <c r="M138" t="s">
        <v>14</v>
      </c>
    </row>
    <row r="139" spans="1:13">
      <c r="A139" t="s">
        <v>12</v>
      </c>
      <c r="B139" s="10">
        <v>45240</v>
      </c>
      <c r="C139" t="s">
        <v>13</v>
      </c>
      <c r="D139" t="s">
        <v>347</v>
      </c>
      <c r="E139" t="s">
        <v>1533</v>
      </c>
      <c r="F139" t="s">
        <v>15</v>
      </c>
      <c r="G139" s="11">
        <v>-2500</v>
      </c>
      <c r="H139" s="12">
        <v>-2500</v>
      </c>
      <c r="I139" s="12">
        <v>250</v>
      </c>
      <c r="J139" s="12">
        <v>-250</v>
      </c>
      <c r="K139" t="s">
        <v>348</v>
      </c>
      <c r="L139" t="s">
        <v>62</v>
      </c>
      <c r="M139" t="s">
        <v>50</v>
      </c>
    </row>
    <row r="140" spans="1:13">
      <c r="A140" t="s">
        <v>12</v>
      </c>
      <c r="B140" s="10">
        <v>45911</v>
      </c>
      <c r="C140" t="s">
        <v>13</v>
      </c>
      <c r="D140" t="s">
        <v>349</v>
      </c>
      <c r="E140" t="s">
        <v>1534</v>
      </c>
      <c r="F140" t="s">
        <v>15</v>
      </c>
      <c r="G140" s="11">
        <v>-7500</v>
      </c>
      <c r="H140" s="12">
        <v>-7500</v>
      </c>
      <c r="I140" s="12">
        <v>250</v>
      </c>
      <c r="J140" s="12">
        <v>-250</v>
      </c>
      <c r="K140" t="s">
        <v>350</v>
      </c>
      <c r="L140" t="s">
        <v>14</v>
      </c>
      <c r="M140" t="s">
        <v>351</v>
      </c>
    </row>
    <row r="141" spans="1:13">
      <c r="A141" t="s">
        <v>12</v>
      </c>
      <c r="B141" s="10">
        <v>45105</v>
      </c>
      <c r="C141" t="s">
        <v>13</v>
      </c>
      <c r="D141" t="s">
        <v>352</v>
      </c>
      <c r="E141" t="s">
        <v>14</v>
      </c>
      <c r="F141" t="s">
        <v>15</v>
      </c>
      <c r="G141" s="11">
        <v>-235.95</v>
      </c>
      <c r="H141" s="12">
        <v>-235.95</v>
      </c>
      <c r="I141" s="12">
        <v>235.95</v>
      </c>
      <c r="J141" s="12">
        <v>-235.95</v>
      </c>
      <c r="K141" t="s">
        <v>353</v>
      </c>
      <c r="L141" t="s">
        <v>14</v>
      </c>
      <c r="M141" t="s">
        <v>50</v>
      </c>
    </row>
    <row r="142" spans="1:13">
      <c r="A142" t="s">
        <v>12</v>
      </c>
      <c r="B142" s="10">
        <v>44708</v>
      </c>
      <c r="C142" t="s">
        <v>13</v>
      </c>
      <c r="D142" t="s">
        <v>354</v>
      </c>
      <c r="E142" t="s">
        <v>1535</v>
      </c>
      <c r="F142" t="s">
        <v>15</v>
      </c>
      <c r="G142" s="11">
        <v>-3000</v>
      </c>
      <c r="H142" s="12">
        <v>-3000</v>
      </c>
      <c r="I142" s="12">
        <v>233</v>
      </c>
      <c r="J142" s="12">
        <v>-233</v>
      </c>
      <c r="K142" t="s">
        <v>355</v>
      </c>
      <c r="L142" t="s">
        <v>14</v>
      </c>
      <c r="M142" t="s">
        <v>356</v>
      </c>
    </row>
    <row r="143" spans="1:13">
      <c r="A143" t="s">
        <v>12</v>
      </c>
      <c r="B143" s="10">
        <v>44827</v>
      </c>
      <c r="C143" t="s">
        <v>13</v>
      </c>
      <c r="D143" t="s">
        <v>357</v>
      </c>
      <c r="E143" t="s">
        <v>1536</v>
      </c>
      <c r="F143" t="s">
        <v>15</v>
      </c>
      <c r="G143" s="11">
        <v>-3895.5</v>
      </c>
      <c r="H143" s="12">
        <v>-3895.5</v>
      </c>
      <c r="I143" s="12">
        <v>220.5</v>
      </c>
      <c r="J143" s="12">
        <v>-220.5</v>
      </c>
      <c r="K143" t="s">
        <v>358</v>
      </c>
      <c r="L143" t="s">
        <v>14</v>
      </c>
      <c r="M143" t="s">
        <v>359</v>
      </c>
    </row>
    <row r="144" spans="1:13">
      <c r="A144" t="s">
        <v>12</v>
      </c>
      <c r="B144" s="10">
        <v>45679</v>
      </c>
      <c r="C144" t="s">
        <v>13</v>
      </c>
      <c r="D144" t="s">
        <v>360</v>
      </c>
      <c r="E144" t="s">
        <v>1537</v>
      </c>
      <c r="F144" t="s">
        <v>15</v>
      </c>
      <c r="G144" s="11">
        <v>-3309</v>
      </c>
      <c r="H144" s="12">
        <v>-3309</v>
      </c>
      <c r="I144" s="12">
        <v>219</v>
      </c>
      <c r="J144" s="12">
        <v>-219</v>
      </c>
      <c r="K144" t="s">
        <v>361</v>
      </c>
      <c r="L144" t="s">
        <v>14</v>
      </c>
      <c r="M144" t="s">
        <v>14</v>
      </c>
    </row>
    <row r="145" spans="1:13">
      <c r="A145" t="s">
        <v>12</v>
      </c>
      <c r="B145" s="10">
        <v>44785</v>
      </c>
      <c r="C145" t="s">
        <v>13</v>
      </c>
      <c r="D145" t="s">
        <v>362</v>
      </c>
      <c r="E145" t="s">
        <v>1539</v>
      </c>
      <c r="F145" t="s">
        <v>15</v>
      </c>
      <c r="G145" s="11">
        <v>-1000</v>
      </c>
      <c r="H145" s="12">
        <v>-1000</v>
      </c>
      <c r="I145" s="12">
        <v>200</v>
      </c>
      <c r="J145" s="12">
        <v>-200</v>
      </c>
      <c r="K145" t="s">
        <v>363</v>
      </c>
      <c r="L145" t="s">
        <v>14</v>
      </c>
      <c r="M145" t="s">
        <v>50</v>
      </c>
    </row>
    <row r="146" spans="1:13">
      <c r="A146" t="s">
        <v>12</v>
      </c>
      <c r="B146" s="10">
        <v>44785</v>
      </c>
      <c r="C146" t="s">
        <v>13</v>
      </c>
      <c r="D146" t="s">
        <v>362</v>
      </c>
      <c r="E146" t="s">
        <v>1538</v>
      </c>
      <c r="F146" t="s">
        <v>15</v>
      </c>
      <c r="G146" s="11">
        <v>-1000</v>
      </c>
      <c r="H146" s="12">
        <v>-1000</v>
      </c>
      <c r="I146" s="12">
        <v>200</v>
      </c>
      <c r="J146" s="12">
        <v>-200</v>
      </c>
      <c r="K146" t="s">
        <v>363</v>
      </c>
      <c r="L146" t="s">
        <v>14</v>
      </c>
      <c r="M146" t="s">
        <v>50</v>
      </c>
    </row>
    <row r="147" spans="1:13">
      <c r="A147" t="s">
        <v>12</v>
      </c>
      <c r="B147" s="10">
        <v>45443</v>
      </c>
      <c r="C147" t="s">
        <v>13</v>
      </c>
      <c r="D147" t="s">
        <v>364</v>
      </c>
      <c r="E147" t="s">
        <v>1540</v>
      </c>
      <c r="F147" t="s">
        <v>15</v>
      </c>
      <c r="G147" s="11">
        <v>-2167.5</v>
      </c>
      <c r="H147" s="12">
        <v>-2167.5</v>
      </c>
      <c r="I147" s="12">
        <v>200</v>
      </c>
      <c r="J147" s="12">
        <v>-200</v>
      </c>
      <c r="K147" t="s">
        <v>365</v>
      </c>
      <c r="L147" t="s">
        <v>14</v>
      </c>
      <c r="M147" t="s">
        <v>366</v>
      </c>
    </row>
    <row r="148" spans="1:13">
      <c r="A148" t="s">
        <v>12</v>
      </c>
      <c r="B148" s="10">
        <v>45650</v>
      </c>
      <c r="C148" t="s">
        <v>13</v>
      </c>
      <c r="D148" t="s">
        <v>367</v>
      </c>
      <c r="E148" t="s">
        <v>14</v>
      </c>
      <c r="F148" t="s">
        <v>15</v>
      </c>
      <c r="G148" s="11">
        <v>-183.34</v>
      </c>
      <c r="H148" s="12">
        <v>-183.34</v>
      </c>
      <c r="I148" s="12">
        <v>183.34</v>
      </c>
      <c r="J148" s="12">
        <v>-183.34</v>
      </c>
      <c r="K148" t="s">
        <v>368</v>
      </c>
      <c r="L148" t="s">
        <v>14</v>
      </c>
      <c r="M148" t="s">
        <v>14</v>
      </c>
    </row>
    <row r="149" spans="1:13">
      <c r="A149" t="s">
        <v>12</v>
      </c>
      <c r="B149" s="10">
        <v>44722</v>
      </c>
      <c r="C149" t="s">
        <v>13</v>
      </c>
      <c r="D149" t="s">
        <v>369</v>
      </c>
      <c r="E149" t="s">
        <v>1541</v>
      </c>
      <c r="F149" t="s">
        <v>15</v>
      </c>
      <c r="G149" s="11">
        <v>-3206.5</v>
      </c>
      <c r="H149" s="12">
        <v>-3206.5</v>
      </c>
      <c r="I149" s="12">
        <v>181.5</v>
      </c>
      <c r="J149" s="12">
        <v>3549.5</v>
      </c>
      <c r="K149" t="s">
        <v>370</v>
      </c>
      <c r="L149" t="s">
        <v>104</v>
      </c>
      <c r="M149" t="s">
        <v>371</v>
      </c>
    </row>
    <row r="150" spans="1:13">
      <c r="A150" t="s">
        <v>12</v>
      </c>
      <c r="B150" s="10">
        <v>44874</v>
      </c>
      <c r="C150" t="s">
        <v>13</v>
      </c>
      <c r="D150" t="s">
        <v>372</v>
      </c>
      <c r="E150" t="s">
        <v>1542</v>
      </c>
      <c r="F150" t="s">
        <v>15</v>
      </c>
      <c r="G150" s="11">
        <v>-31293.39</v>
      </c>
      <c r="H150" s="12">
        <v>-31293.39</v>
      </c>
      <c r="I150" s="12">
        <v>177.39</v>
      </c>
      <c r="J150" s="12">
        <v>-177.39</v>
      </c>
      <c r="K150" t="s">
        <v>373</v>
      </c>
      <c r="L150" t="s">
        <v>14</v>
      </c>
      <c r="M150" t="s">
        <v>50</v>
      </c>
    </row>
    <row r="151" spans="1:13">
      <c r="A151" t="s">
        <v>12</v>
      </c>
      <c r="B151" s="10">
        <v>45805</v>
      </c>
      <c r="C151" t="s">
        <v>13</v>
      </c>
      <c r="D151" t="s">
        <v>374</v>
      </c>
      <c r="E151" t="s">
        <v>14</v>
      </c>
      <c r="F151" t="s">
        <v>15</v>
      </c>
      <c r="G151" s="11">
        <v>-109.77</v>
      </c>
      <c r="H151" s="12">
        <v>-109.77</v>
      </c>
      <c r="I151" s="12">
        <v>109.77</v>
      </c>
      <c r="J151" s="12">
        <v>-250567.82</v>
      </c>
      <c r="K151" t="s">
        <v>18</v>
      </c>
      <c r="L151" t="s">
        <v>14</v>
      </c>
      <c r="M151" t="s">
        <v>375</v>
      </c>
    </row>
    <row r="152" spans="1:13">
      <c r="A152" t="s">
        <v>12</v>
      </c>
      <c r="B152" s="10">
        <v>44805</v>
      </c>
      <c r="C152" t="s">
        <v>13</v>
      </c>
      <c r="D152" t="s">
        <v>376</v>
      </c>
      <c r="E152" t="s">
        <v>1543</v>
      </c>
      <c r="F152" t="s">
        <v>15</v>
      </c>
      <c r="G152" s="11">
        <v>-5543.76</v>
      </c>
      <c r="H152" s="12">
        <v>-5543.76</v>
      </c>
      <c r="I152" s="12">
        <v>100</v>
      </c>
      <c r="J152" s="12">
        <v>-100</v>
      </c>
      <c r="K152" t="s">
        <v>377</v>
      </c>
      <c r="L152" t="s">
        <v>14</v>
      </c>
      <c r="M152" t="s">
        <v>378</v>
      </c>
    </row>
    <row r="153" spans="1:13">
      <c r="A153" t="s">
        <v>12</v>
      </c>
      <c r="B153" s="10">
        <v>44973</v>
      </c>
      <c r="C153" t="s">
        <v>13</v>
      </c>
      <c r="D153" t="s">
        <v>379</v>
      </c>
      <c r="E153" t="s">
        <v>1546</v>
      </c>
      <c r="F153" t="s">
        <v>15</v>
      </c>
      <c r="G153" s="11">
        <v>-570.61</v>
      </c>
      <c r="H153" s="12">
        <v>-570.61</v>
      </c>
      <c r="I153" s="12">
        <v>67.61</v>
      </c>
      <c r="J153" s="12">
        <v>-67.61</v>
      </c>
      <c r="K153" t="s">
        <v>380</v>
      </c>
      <c r="L153" t="s">
        <v>14</v>
      </c>
      <c r="M153" t="s">
        <v>381</v>
      </c>
    </row>
    <row r="154" spans="1:13">
      <c r="A154" t="s">
        <v>12</v>
      </c>
      <c r="B154" s="10">
        <v>44973</v>
      </c>
      <c r="C154" t="s">
        <v>13</v>
      </c>
      <c r="D154" t="s">
        <v>379</v>
      </c>
      <c r="E154" t="s">
        <v>1544</v>
      </c>
      <c r="F154" t="s">
        <v>15</v>
      </c>
      <c r="G154" s="11">
        <v>-570.61</v>
      </c>
      <c r="H154" s="12">
        <v>-570.61</v>
      </c>
      <c r="I154" s="12">
        <v>67.61</v>
      </c>
      <c r="J154" s="12">
        <v>-67.61</v>
      </c>
      <c r="K154" t="s">
        <v>380</v>
      </c>
      <c r="L154" t="s">
        <v>14</v>
      </c>
      <c r="M154" t="s">
        <v>381</v>
      </c>
    </row>
    <row r="155" spans="1:13">
      <c r="A155" t="s">
        <v>12</v>
      </c>
      <c r="B155" s="10">
        <v>44973</v>
      </c>
      <c r="C155" t="s">
        <v>13</v>
      </c>
      <c r="D155" t="s">
        <v>379</v>
      </c>
      <c r="E155" t="s">
        <v>1545</v>
      </c>
      <c r="F155" t="s">
        <v>15</v>
      </c>
      <c r="G155" s="11">
        <v>-570.61</v>
      </c>
      <c r="H155" s="12">
        <v>-570.61</v>
      </c>
      <c r="I155" s="12">
        <v>67.61</v>
      </c>
      <c r="J155" s="12">
        <v>-67.61</v>
      </c>
      <c r="K155" t="s">
        <v>380</v>
      </c>
      <c r="L155" t="s">
        <v>14</v>
      </c>
      <c r="M155" t="s">
        <v>381</v>
      </c>
    </row>
    <row r="156" spans="1:13">
      <c r="A156" t="s">
        <v>12</v>
      </c>
      <c r="B156" s="10">
        <v>46113</v>
      </c>
      <c r="C156" t="s">
        <v>13</v>
      </c>
      <c r="D156" t="s">
        <v>382</v>
      </c>
      <c r="E156" t="s">
        <v>1547</v>
      </c>
      <c r="F156" t="s">
        <v>15</v>
      </c>
      <c r="G156" s="11">
        <v>-18986</v>
      </c>
      <c r="H156" s="12">
        <v>-18986</v>
      </c>
      <c r="I156" s="12">
        <v>10</v>
      </c>
      <c r="J156" s="12">
        <v>-10</v>
      </c>
      <c r="K156" t="s">
        <v>383</v>
      </c>
      <c r="L156" t="s">
        <v>14</v>
      </c>
      <c r="M156" t="s">
        <v>384</v>
      </c>
    </row>
    <row r="157" spans="1:13">
      <c r="A157" t="s">
        <v>12</v>
      </c>
      <c r="B157" s="10">
        <v>46143</v>
      </c>
      <c r="C157" t="s">
        <v>13</v>
      </c>
      <c r="D157" t="s">
        <v>1747</v>
      </c>
      <c r="E157" t="s">
        <v>14</v>
      </c>
      <c r="F157" t="s">
        <v>15</v>
      </c>
      <c r="G157" s="11">
        <v>-0.01</v>
      </c>
      <c r="H157" s="12">
        <v>-0.01</v>
      </c>
      <c r="I157" s="12">
        <v>0.01</v>
      </c>
      <c r="J157" s="12">
        <v>-250567.82</v>
      </c>
      <c r="K157" t="s">
        <v>18</v>
      </c>
      <c r="L157" t="s">
        <v>14</v>
      </c>
      <c r="M157" t="s">
        <v>385</v>
      </c>
    </row>
    <row r="158" spans="1:13">
      <c r="A158" t="s">
        <v>386</v>
      </c>
      <c r="B158" s="10">
        <v>43857</v>
      </c>
      <c r="C158" t="s">
        <v>13</v>
      </c>
      <c r="D158" t="s">
        <v>387</v>
      </c>
      <c r="E158" t="s">
        <v>14</v>
      </c>
      <c r="F158" t="s">
        <v>15</v>
      </c>
      <c r="G158" s="11">
        <v>-130323.38</v>
      </c>
      <c r="H158" s="12">
        <v>-130323.38</v>
      </c>
      <c r="I158" s="12">
        <v>130323.38</v>
      </c>
      <c r="J158" s="12">
        <v>-164619.01</v>
      </c>
      <c r="K158" t="s">
        <v>388</v>
      </c>
      <c r="L158" t="s">
        <v>389</v>
      </c>
      <c r="M158" t="s">
        <v>390</v>
      </c>
    </row>
    <row r="159" spans="1:13">
      <c r="A159" t="s">
        <v>386</v>
      </c>
      <c r="B159" s="10">
        <v>43689</v>
      </c>
      <c r="C159" t="s">
        <v>13</v>
      </c>
      <c r="D159" t="s">
        <v>391</v>
      </c>
      <c r="E159" t="s">
        <v>1548</v>
      </c>
      <c r="F159" t="s">
        <v>15</v>
      </c>
      <c r="G159" s="11">
        <v>-164619.01</v>
      </c>
      <c r="H159" s="12">
        <v>-164619.01</v>
      </c>
      <c r="I159" s="12">
        <v>34295.629999999997</v>
      </c>
      <c r="J159" s="12">
        <v>-164619.01</v>
      </c>
      <c r="K159" t="s">
        <v>388</v>
      </c>
      <c r="L159" t="s">
        <v>389</v>
      </c>
      <c r="M159" t="s">
        <v>392</v>
      </c>
    </row>
    <row r="160" spans="1:13">
      <c r="A160" t="s">
        <v>386</v>
      </c>
      <c r="B160" s="10">
        <v>43777</v>
      </c>
      <c r="C160" t="s">
        <v>13</v>
      </c>
      <c r="D160" t="s">
        <v>393</v>
      </c>
      <c r="E160" t="s">
        <v>14</v>
      </c>
      <c r="F160" t="s">
        <v>15</v>
      </c>
      <c r="G160" s="11">
        <v>-6666.68</v>
      </c>
      <c r="H160" s="12">
        <v>-6666.68</v>
      </c>
      <c r="I160" s="12">
        <v>6666.68</v>
      </c>
      <c r="J160" s="12">
        <v>-6666.68</v>
      </c>
      <c r="K160" t="s">
        <v>394</v>
      </c>
      <c r="L160" t="s">
        <v>88</v>
      </c>
      <c r="M160" t="s">
        <v>395</v>
      </c>
    </row>
    <row r="161" spans="1:13">
      <c r="A161" t="s">
        <v>386</v>
      </c>
      <c r="B161" s="10">
        <v>43693</v>
      </c>
      <c r="C161" t="s">
        <v>13</v>
      </c>
      <c r="D161" t="s">
        <v>396</v>
      </c>
      <c r="E161" t="s">
        <v>14</v>
      </c>
      <c r="F161" t="s">
        <v>15</v>
      </c>
      <c r="G161" s="11">
        <v>-5000</v>
      </c>
      <c r="H161" s="12">
        <v>-5000</v>
      </c>
      <c r="I161" s="12">
        <v>5000</v>
      </c>
      <c r="J161" s="12">
        <v>-13919.5</v>
      </c>
      <c r="K161" t="s">
        <v>397</v>
      </c>
      <c r="L161" t="s">
        <v>14</v>
      </c>
      <c r="M161" t="s">
        <v>398</v>
      </c>
    </row>
    <row r="162" spans="1:13">
      <c r="A162" t="s">
        <v>386</v>
      </c>
      <c r="B162" s="10">
        <v>43629</v>
      </c>
      <c r="C162" t="s">
        <v>13</v>
      </c>
      <c r="D162" t="s">
        <v>399</v>
      </c>
      <c r="E162" t="s">
        <v>1550</v>
      </c>
      <c r="F162" t="s">
        <v>15</v>
      </c>
      <c r="G162" s="11">
        <v>-42992.57</v>
      </c>
      <c r="H162" s="12">
        <v>-42992.57</v>
      </c>
      <c r="I162" s="12">
        <v>4512.04</v>
      </c>
      <c r="J162" s="12">
        <v>-5594.86</v>
      </c>
      <c r="K162" t="s">
        <v>400</v>
      </c>
      <c r="L162" t="s">
        <v>389</v>
      </c>
      <c r="M162" t="s">
        <v>401</v>
      </c>
    </row>
    <row r="163" spans="1:13">
      <c r="A163" t="s">
        <v>386</v>
      </c>
      <c r="B163" s="10">
        <v>43629</v>
      </c>
      <c r="C163" t="s">
        <v>13</v>
      </c>
      <c r="D163" t="s">
        <v>399</v>
      </c>
      <c r="E163" t="s">
        <v>1549</v>
      </c>
      <c r="F163" t="s">
        <v>15</v>
      </c>
      <c r="G163" s="11">
        <v>-42992.57</v>
      </c>
      <c r="H163" s="12">
        <v>-42992.57</v>
      </c>
      <c r="I163" s="12">
        <v>4512.04</v>
      </c>
      <c r="J163" s="12">
        <v>-5594.86</v>
      </c>
      <c r="K163" t="s">
        <v>400</v>
      </c>
      <c r="L163" t="s">
        <v>389</v>
      </c>
      <c r="M163" t="s">
        <v>401</v>
      </c>
    </row>
    <row r="164" spans="1:13">
      <c r="A164" t="s">
        <v>386</v>
      </c>
      <c r="B164" s="10">
        <v>43647</v>
      </c>
      <c r="C164" t="s">
        <v>13</v>
      </c>
      <c r="D164" t="s">
        <v>402</v>
      </c>
      <c r="E164" t="s">
        <v>1551</v>
      </c>
      <c r="F164" t="s">
        <v>15</v>
      </c>
      <c r="G164" s="11">
        <v>-8591.86</v>
      </c>
      <c r="H164" s="12">
        <v>-8591.86</v>
      </c>
      <c r="I164" s="12">
        <v>4009.53</v>
      </c>
      <c r="J164" s="12">
        <v>-4009.53</v>
      </c>
      <c r="K164" t="s">
        <v>403</v>
      </c>
      <c r="L164" t="s">
        <v>389</v>
      </c>
      <c r="M164" t="s">
        <v>404</v>
      </c>
    </row>
    <row r="165" spans="1:13">
      <c r="A165" t="s">
        <v>386</v>
      </c>
      <c r="B165" s="10">
        <v>43861</v>
      </c>
      <c r="C165" t="s">
        <v>13</v>
      </c>
      <c r="D165" t="s">
        <v>405</v>
      </c>
      <c r="E165" t="s">
        <v>14</v>
      </c>
      <c r="F165" t="s">
        <v>15</v>
      </c>
      <c r="G165" s="11">
        <v>-3897.59</v>
      </c>
      <c r="H165" s="12">
        <v>-3897.59</v>
      </c>
      <c r="I165" s="12">
        <v>3897.59</v>
      </c>
      <c r="J165" s="12">
        <v>-13919.5</v>
      </c>
      <c r="K165" t="s">
        <v>397</v>
      </c>
      <c r="L165" t="s">
        <v>14</v>
      </c>
      <c r="M165" t="s">
        <v>406</v>
      </c>
    </row>
    <row r="166" spans="1:13">
      <c r="A166" t="s">
        <v>386</v>
      </c>
      <c r="B166" s="10">
        <v>43516</v>
      </c>
      <c r="C166" t="s">
        <v>13</v>
      </c>
      <c r="D166" t="s">
        <v>407</v>
      </c>
      <c r="E166" t="s">
        <v>14</v>
      </c>
      <c r="F166" t="s">
        <v>15</v>
      </c>
      <c r="G166" s="11">
        <v>-3140.77</v>
      </c>
      <c r="H166" s="12">
        <v>-3140.77</v>
      </c>
      <c r="I166" s="12">
        <v>3140.77</v>
      </c>
      <c r="J166" s="12">
        <v>-3140.77</v>
      </c>
      <c r="K166" t="s">
        <v>408</v>
      </c>
      <c r="L166" t="s">
        <v>409</v>
      </c>
      <c r="M166" t="s">
        <v>410</v>
      </c>
    </row>
    <row r="167" spans="1:13">
      <c r="A167" t="s">
        <v>386</v>
      </c>
      <c r="B167" s="10">
        <v>43760</v>
      </c>
      <c r="C167" t="s">
        <v>13</v>
      </c>
      <c r="D167" t="s">
        <v>411</v>
      </c>
      <c r="E167" t="s">
        <v>14</v>
      </c>
      <c r="F167" t="s">
        <v>15</v>
      </c>
      <c r="G167" s="11">
        <v>-2600.96</v>
      </c>
      <c r="H167" s="12">
        <v>-2600.96</v>
      </c>
      <c r="I167" s="12">
        <v>2600.96</v>
      </c>
      <c r="J167" s="12">
        <v>-2600.96</v>
      </c>
      <c r="K167" t="s">
        <v>412</v>
      </c>
      <c r="L167" t="s">
        <v>88</v>
      </c>
      <c r="M167" t="s">
        <v>413</v>
      </c>
    </row>
    <row r="168" spans="1:13">
      <c r="A168" t="s">
        <v>386</v>
      </c>
      <c r="B168" s="10">
        <v>43649</v>
      </c>
      <c r="C168" t="s">
        <v>13</v>
      </c>
      <c r="D168" t="s">
        <v>414</v>
      </c>
      <c r="E168" t="s">
        <v>14</v>
      </c>
      <c r="F168" t="s">
        <v>15</v>
      </c>
      <c r="G168" s="11">
        <v>-2476.91</v>
      </c>
      <c r="H168" s="12">
        <v>-2476.91</v>
      </c>
      <c r="I168" s="12">
        <v>2476.91</v>
      </c>
      <c r="J168" s="12">
        <v>-2476.91</v>
      </c>
      <c r="K168" t="s">
        <v>415</v>
      </c>
      <c r="L168" t="s">
        <v>389</v>
      </c>
      <c r="M168" t="s">
        <v>416</v>
      </c>
    </row>
    <row r="169" spans="1:13">
      <c r="A169" t="s">
        <v>386</v>
      </c>
      <c r="B169" s="10">
        <v>43675</v>
      </c>
      <c r="C169" t="s">
        <v>13</v>
      </c>
      <c r="D169" t="s">
        <v>417</v>
      </c>
      <c r="E169" t="s">
        <v>14</v>
      </c>
      <c r="F169" t="s">
        <v>15</v>
      </c>
      <c r="G169" s="11">
        <v>-2375</v>
      </c>
      <c r="H169" s="12">
        <v>-2375</v>
      </c>
      <c r="I169" s="12">
        <v>2375</v>
      </c>
      <c r="J169" s="12">
        <v>-2375</v>
      </c>
      <c r="K169" t="s">
        <v>418</v>
      </c>
      <c r="L169" t="s">
        <v>88</v>
      </c>
      <c r="M169" t="s">
        <v>419</v>
      </c>
    </row>
    <row r="170" spans="1:13">
      <c r="A170" t="s">
        <v>386</v>
      </c>
      <c r="B170" s="10">
        <v>43642</v>
      </c>
      <c r="C170" t="s">
        <v>13</v>
      </c>
      <c r="D170" t="s">
        <v>420</v>
      </c>
      <c r="E170" t="s">
        <v>14</v>
      </c>
      <c r="F170" t="s">
        <v>15</v>
      </c>
      <c r="G170" s="11">
        <v>-2331.25</v>
      </c>
      <c r="H170" s="12">
        <v>-2331.25</v>
      </c>
      <c r="I170" s="12">
        <v>2331.25</v>
      </c>
      <c r="J170" s="12">
        <v>-13919.5</v>
      </c>
      <c r="K170" t="s">
        <v>397</v>
      </c>
      <c r="L170" t="s">
        <v>14</v>
      </c>
      <c r="M170" t="s">
        <v>421</v>
      </c>
    </row>
    <row r="171" spans="1:13">
      <c r="A171" t="s">
        <v>386</v>
      </c>
      <c r="B171" s="10">
        <v>43553</v>
      </c>
      <c r="C171" t="s">
        <v>13</v>
      </c>
      <c r="D171" t="s">
        <v>422</v>
      </c>
      <c r="E171" t="s">
        <v>1552</v>
      </c>
      <c r="F171" t="s">
        <v>15</v>
      </c>
      <c r="G171" s="11">
        <v>-2600.3000000000002</v>
      </c>
      <c r="H171" s="12">
        <v>-2600.3000000000002</v>
      </c>
      <c r="I171" s="12">
        <v>2228.81</v>
      </c>
      <c r="J171" s="12">
        <v>-2228.81</v>
      </c>
      <c r="K171" t="s">
        <v>423</v>
      </c>
      <c r="L171" t="s">
        <v>88</v>
      </c>
      <c r="M171" t="s">
        <v>424</v>
      </c>
    </row>
    <row r="172" spans="1:13">
      <c r="A172" t="s">
        <v>386</v>
      </c>
      <c r="B172" s="10">
        <v>43719</v>
      </c>
      <c r="C172" t="s">
        <v>13</v>
      </c>
      <c r="D172" t="s">
        <v>425</v>
      </c>
      <c r="E172" t="s">
        <v>14</v>
      </c>
      <c r="F172" t="s">
        <v>15</v>
      </c>
      <c r="G172" s="11">
        <v>-2224.3200000000002</v>
      </c>
      <c r="H172" s="12">
        <v>-2224.3200000000002</v>
      </c>
      <c r="I172" s="12">
        <v>2224.3200000000002</v>
      </c>
      <c r="J172" s="12">
        <v>-13919.5</v>
      </c>
      <c r="K172" t="s">
        <v>397</v>
      </c>
      <c r="L172" t="s">
        <v>14</v>
      </c>
      <c r="M172" t="s">
        <v>426</v>
      </c>
    </row>
    <row r="173" spans="1:13">
      <c r="A173" t="s">
        <v>386</v>
      </c>
      <c r="B173" s="10">
        <v>43500</v>
      </c>
      <c r="C173" t="s">
        <v>13</v>
      </c>
      <c r="D173" t="s">
        <v>427</v>
      </c>
      <c r="E173" t="s">
        <v>1554</v>
      </c>
      <c r="F173" t="s">
        <v>15</v>
      </c>
      <c r="G173" s="11">
        <v>-29165</v>
      </c>
      <c r="H173" s="12">
        <v>-29165</v>
      </c>
      <c r="I173" s="12">
        <v>1450.3</v>
      </c>
      <c r="J173" s="12">
        <v>-1450.3</v>
      </c>
      <c r="K173" t="s">
        <v>428</v>
      </c>
      <c r="L173" t="s">
        <v>88</v>
      </c>
      <c r="M173" t="s">
        <v>429</v>
      </c>
    </row>
    <row r="174" spans="1:13">
      <c r="A174" t="s">
        <v>386</v>
      </c>
      <c r="B174" s="10">
        <v>43500</v>
      </c>
      <c r="C174" t="s">
        <v>13</v>
      </c>
      <c r="D174" t="s">
        <v>427</v>
      </c>
      <c r="E174" t="s">
        <v>1553</v>
      </c>
      <c r="F174" t="s">
        <v>15</v>
      </c>
      <c r="G174" s="11">
        <v>-29165</v>
      </c>
      <c r="H174" s="12">
        <v>-29165</v>
      </c>
      <c r="I174" s="12">
        <v>1450.3</v>
      </c>
      <c r="J174" s="12">
        <v>-1450.3</v>
      </c>
      <c r="K174" t="s">
        <v>428</v>
      </c>
      <c r="L174" t="s">
        <v>88</v>
      </c>
      <c r="M174" t="s">
        <v>429</v>
      </c>
    </row>
    <row r="175" spans="1:13">
      <c r="A175" t="s">
        <v>386</v>
      </c>
      <c r="B175" s="10">
        <v>43500</v>
      </c>
      <c r="C175" t="s">
        <v>13</v>
      </c>
      <c r="D175" t="s">
        <v>427</v>
      </c>
      <c r="E175" t="s">
        <v>1556</v>
      </c>
      <c r="F175" t="s">
        <v>15</v>
      </c>
      <c r="G175" s="11">
        <v>-29165</v>
      </c>
      <c r="H175" s="12">
        <v>-29165</v>
      </c>
      <c r="I175" s="12">
        <v>1450.3</v>
      </c>
      <c r="J175" s="12">
        <v>-1450.3</v>
      </c>
      <c r="K175" t="s">
        <v>428</v>
      </c>
      <c r="L175" t="s">
        <v>88</v>
      </c>
      <c r="M175" t="s">
        <v>429</v>
      </c>
    </row>
    <row r="176" spans="1:13">
      <c r="A176" t="s">
        <v>386</v>
      </c>
      <c r="B176" s="10">
        <v>43500</v>
      </c>
      <c r="C176" t="s">
        <v>13</v>
      </c>
      <c r="D176" t="s">
        <v>427</v>
      </c>
      <c r="E176" t="s">
        <v>1555</v>
      </c>
      <c r="F176" t="s">
        <v>15</v>
      </c>
      <c r="G176" s="11">
        <v>-29165</v>
      </c>
      <c r="H176" s="12">
        <v>-29165</v>
      </c>
      <c r="I176" s="12">
        <v>1450.3</v>
      </c>
      <c r="J176" s="12">
        <v>-1450.3</v>
      </c>
      <c r="K176" t="s">
        <v>428</v>
      </c>
      <c r="L176" t="s">
        <v>88</v>
      </c>
      <c r="M176" t="s">
        <v>429</v>
      </c>
    </row>
    <row r="177" spans="1:13">
      <c r="A177" t="s">
        <v>386</v>
      </c>
      <c r="B177" s="10">
        <v>43560</v>
      </c>
      <c r="C177" t="s">
        <v>13</v>
      </c>
      <c r="D177" t="s">
        <v>430</v>
      </c>
      <c r="E177" t="s">
        <v>1557</v>
      </c>
      <c r="F177" t="s">
        <v>15</v>
      </c>
      <c r="G177" s="11">
        <v>-4095.71</v>
      </c>
      <c r="H177" s="12">
        <v>-4095.71</v>
      </c>
      <c r="I177" s="12">
        <v>1082.82</v>
      </c>
      <c r="J177" s="12">
        <v>-5594.86</v>
      </c>
      <c r="K177" t="s">
        <v>400</v>
      </c>
      <c r="L177" t="s">
        <v>389</v>
      </c>
      <c r="M177" t="s">
        <v>431</v>
      </c>
    </row>
    <row r="178" spans="1:13">
      <c r="A178" t="s">
        <v>386</v>
      </c>
      <c r="B178" s="10">
        <v>43529</v>
      </c>
      <c r="C178" t="s">
        <v>13</v>
      </c>
      <c r="D178" t="s">
        <v>432</v>
      </c>
      <c r="E178" t="s">
        <v>1560</v>
      </c>
      <c r="F178" t="s">
        <v>15</v>
      </c>
      <c r="G178" s="11">
        <v>-7772.76</v>
      </c>
      <c r="H178" s="12">
        <v>-7772.76</v>
      </c>
      <c r="I178" s="12">
        <v>888.68</v>
      </c>
      <c r="J178" s="12">
        <v>-888.68</v>
      </c>
      <c r="K178" t="s">
        <v>433</v>
      </c>
      <c r="L178" t="s">
        <v>389</v>
      </c>
      <c r="M178" t="s">
        <v>14</v>
      </c>
    </row>
    <row r="179" spans="1:13">
      <c r="A179" t="s">
        <v>386</v>
      </c>
      <c r="B179" s="10">
        <v>43529</v>
      </c>
      <c r="C179" t="s">
        <v>13</v>
      </c>
      <c r="D179" t="s">
        <v>432</v>
      </c>
      <c r="E179" t="s">
        <v>1558</v>
      </c>
      <c r="F179" t="s">
        <v>15</v>
      </c>
      <c r="G179" s="11">
        <v>-7772.76</v>
      </c>
      <c r="H179" s="12">
        <v>-7772.76</v>
      </c>
      <c r="I179" s="12">
        <v>888.68</v>
      </c>
      <c r="J179" s="12">
        <v>-888.68</v>
      </c>
      <c r="K179" t="s">
        <v>433</v>
      </c>
      <c r="L179" t="s">
        <v>389</v>
      </c>
      <c r="M179" t="s">
        <v>14</v>
      </c>
    </row>
    <row r="180" spans="1:13">
      <c r="A180" t="s">
        <v>386</v>
      </c>
      <c r="B180" s="10">
        <v>43529</v>
      </c>
      <c r="C180" t="s">
        <v>13</v>
      </c>
      <c r="D180" t="s">
        <v>432</v>
      </c>
      <c r="E180" t="s">
        <v>1562</v>
      </c>
      <c r="F180" t="s">
        <v>15</v>
      </c>
      <c r="G180" s="11">
        <v>-7772.76</v>
      </c>
      <c r="H180" s="12">
        <v>-7772.76</v>
      </c>
      <c r="I180" s="12">
        <v>888.68</v>
      </c>
      <c r="J180" s="12">
        <v>-888.68</v>
      </c>
      <c r="K180" t="s">
        <v>433</v>
      </c>
      <c r="L180" t="s">
        <v>389</v>
      </c>
      <c r="M180" t="s">
        <v>14</v>
      </c>
    </row>
    <row r="181" spans="1:13">
      <c r="A181" t="s">
        <v>386</v>
      </c>
      <c r="B181" s="10">
        <v>43529</v>
      </c>
      <c r="C181" t="s">
        <v>13</v>
      </c>
      <c r="D181" t="s">
        <v>432</v>
      </c>
      <c r="E181" t="s">
        <v>1559</v>
      </c>
      <c r="F181" t="s">
        <v>15</v>
      </c>
      <c r="G181" s="11">
        <v>-7772.76</v>
      </c>
      <c r="H181" s="12">
        <v>-7772.76</v>
      </c>
      <c r="I181" s="12">
        <v>888.68</v>
      </c>
      <c r="J181" s="12">
        <v>-888.68</v>
      </c>
      <c r="K181" t="s">
        <v>433</v>
      </c>
      <c r="L181" t="s">
        <v>389</v>
      </c>
      <c r="M181" t="s">
        <v>14</v>
      </c>
    </row>
    <row r="182" spans="1:13">
      <c r="A182" t="s">
        <v>386</v>
      </c>
      <c r="B182" s="10">
        <v>43529</v>
      </c>
      <c r="C182" t="s">
        <v>13</v>
      </c>
      <c r="D182" t="s">
        <v>432</v>
      </c>
      <c r="E182" t="s">
        <v>1561</v>
      </c>
      <c r="F182" t="s">
        <v>15</v>
      </c>
      <c r="G182" s="11">
        <v>-7772.76</v>
      </c>
      <c r="H182" s="12">
        <v>-7772.76</v>
      </c>
      <c r="I182" s="12">
        <v>888.68</v>
      </c>
      <c r="J182" s="12">
        <v>-888.68</v>
      </c>
      <c r="K182" t="s">
        <v>433</v>
      </c>
      <c r="L182" t="s">
        <v>389</v>
      </c>
      <c r="M182" t="s">
        <v>14</v>
      </c>
    </row>
    <row r="183" spans="1:13">
      <c r="A183" t="s">
        <v>386</v>
      </c>
      <c r="B183" s="10">
        <v>43616</v>
      </c>
      <c r="C183" t="s">
        <v>13</v>
      </c>
      <c r="D183" t="s">
        <v>434</v>
      </c>
      <c r="E183" t="s">
        <v>14</v>
      </c>
      <c r="F183" t="s">
        <v>15</v>
      </c>
      <c r="G183" s="11">
        <v>-466.34</v>
      </c>
      <c r="H183" s="12">
        <v>-466.34</v>
      </c>
      <c r="I183" s="12">
        <v>466.34</v>
      </c>
      <c r="J183" s="12">
        <v>-13919.5</v>
      </c>
      <c r="K183" t="s">
        <v>397</v>
      </c>
      <c r="L183" t="s">
        <v>14</v>
      </c>
      <c r="M183" t="s">
        <v>435</v>
      </c>
    </row>
    <row r="184" spans="1:13">
      <c r="A184" t="s">
        <v>386</v>
      </c>
      <c r="B184" s="10">
        <v>43829</v>
      </c>
      <c r="C184" t="s">
        <v>13</v>
      </c>
      <c r="D184" t="s">
        <v>436</v>
      </c>
      <c r="E184" t="s">
        <v>1564</v>
      </c>
      <c r="F184" t="s">
        <v>15</v>
      </c>
      <c r="G184" s="11">
        <v>-26841.42</v>
      </c>
      <c r="H184" s="12">
        <v>-26841.42</v>
      </c>
      <c r="I184" s="12">
        <v>433.06</v>
      </c>
      <c r="J184" s="12">
        <v>-433.06</v>
      </c>
      <c r="K184" t="s">
        <v>437</v>
      </c>
      <c r="L184" t="s">
        <v>389</v>
      </c>
      <c r="M184" t="s">
        <v>438</v>
      </c>
    </row>
    <row r="185" spans="1:13">
      <c r="A185" t="s">
        <v>386</v>
      </c>
      <c r="B185" s="10">
        <v>43829</v>
      </c>
      <c r="C185" t="s">
        <v>13</v>
      </c>
      <c r="D185" t="s">
        <v>436</v>
      </c>
      <c r="E185" t="s">
        <v>1563</v>
      </c>
      <c r="F185" t="s">
        <v>15</v>
      </c>
      <c r="G185" s="11">
        <v>-26841.42</v>
      </c>
      <c r="H185" s="12">
        <v>-26841.42</v>
      </c>
      <c r="I185" s="12">
        <v>433.06</v>
      </c>
      <c r="J185" s="12">
        <v>-433.06</v>
      </c>
      <c r="K185" t="s">
        <v>437</v>
      </c>
      <c r="L185" t="s">
        <v>389</v>
      </c>
      <c r="M185" t="s">
        <v>438</v>
      </c>
    </row>
    <row r="186" spans="1:13">
      <c r="A186" t="s">
        <v>386</v>
      </c>
      <c r="B186" s="10">
        <v>43488</v>
      </c>
      <c r="C186" t="s">
        <v>13</v>
      </c>
      <c r="D186" t="s">
        <v>439</v>
      </c>
      <c r="E186" t="s">
        <v>1565</v>
      </c>
      <c r="F186" t="s">
        <v>15</v>
      </c>
      <c r="G186" s="11">
        <v>-3120.52</v>
      </c>
      <c r="H186" s="12">
        <v>-3120.52</v>
      </c>
      <c r="I186" s="12">
        <v>237.4</v>
      </c>
      <c r="J186" s="12">
        <v>-237.4</v>
      </c>
      <c r="K186" t="s">
        <v>440</v>
      </c>
      <c r="L186" t="s">
        <v>389</v>
      </c>
      <c r="M186" t="s">
        <v>441</v>
      </c>
    </row>
    <row r="187" spans="1:13">
      <c r="A187" t="s">
        <v>386</v>
      </c>
      <c r="B187" s="10">
        <v>43739</v>
      </c>
      <c r="C187" t="s">
        <v>13</v>
      </c>
      <c r="D187" t="s">
        <v>442</v>
      </c>
      <c r="E187" t="s">
        <v>1568</v>
      </c>
      <c r="F187" t="s">
        <v>15</v>
      </c>
      <c r="G187" s="11">
        <v>-7931.25</v>
      </c>
      <c r="H187" s="12">
        <v>-7931.25</v>
      </c>
      <c r="I187" s="12">
        <v>88.14</v>
      </c>
      <c r="J187" s="12">
        <v>-88.14</v>
      </c>
      <c r="K187" t="s">
        <v>443</v>
      </c>
      <c r="L187" t="s">
        <v>88</v>
      </c>
      <c r="M187" t="s">
        <v>444</v>
      </c>
    </row>
    <row r="188" spans="1:13">
      <c r="A188" t="s">
        <v>386</v>
      </c>
      <c r="B188" s="10">
        <v>43739</v>
      </c>
      <c r="C188" t="s">
        <v>13</v>
      </c>
      <c r="D188" t="s">
        <v>442</v>
      </c>
      <c r="E188" t="s">
        <v>1566</v>
      </c>
      <c r="F188" t="s">
        <v>15</v>
      </c>
      <c r="G188" s="11">
        <v>-7931.25</v>
      </c>
      <c r="H188" s="12">
        <v>-7931.25</v>
      </c>
      <c r="I188" s="12">
        <v>88.14</v>
      </c>
      <c r="J188" s="12">
        <v>-88.14</v>
      </c>
      <c r="K188" t="s">
        <v>443</v>
      </c>
      <c r="L188" t="s">
        <v>88</v>
      </c>
      <c r="M188" t="s">
        <v>444</v>
      </c>
    </row>
    <row r="189" spans="1:13">
      <c r="A189" t="s">
        <v>386</v>
      </c>
      <c r="B189" s="10">
        <v>43739</v>
      </c>
      <c r="C189" t="s">
        <v>13</v>
      </c>
      <c r="D189" t="s">
        <v>442</v>
      </c>
      <c r="E189" t="s">
        <v>1567</v>
      </c>
      <c r="F189" t="s">
        <v>15</v>
      </c>
      <c r="G189" s="11">
        <v>-7931.25</v>
      </c>
      <c r="H189" s="12">
        <v>-7931.25</v>
      </c>
      <c r="I189" s="12">
        <v>88.14</v>
      </c>
      <c r="J189" s="12">
        <v>-88.14</v>
      </c>
      <c r="K189" t="s">
        <v>443</v>
      </c>
      <c r="L189" t="s">
        <v>88</v>
      </c>
      <c r="M189" t="s">
        <v>444</v>
      </c>
    </row>
    <row r="190" spans="1:13">
      <c r="A190" t="s">
        <v>386</v>
      </c>
      <c r="B190" s="10">
        <v>43887</v>
      </c>
      <c r="C190" t="s">
        <v>13</v>
      </c>
      <c r="D190" t="s">
        <v>445</v>
      </c>
      <c r="E190" t="s">
        <v>1569</v>
      </c>
      <c r="F190" t="s">
        <v>15</v>
      </c>
      <c r="G190" s="11">
        <v>-85560</v>
      </c>
      <c r="H190" s="12">
        <v>-85560</v>
      </c>
      <c r="I190" s="12">
        <v>20</v>
      </c>
      <c r="J190" s="12">
        <v>-20</v>
      </c>
      <c r="K190" t="s">
        <v>446</v>
      </c>
      <c r="L190" t="s">
        <v>389</v>
      </c>
      <c r="M190" t="s">
        <v>447</v>
      </c>
    </row>
    <row r="191" spans="1:13">
      <c r="A191" t="s">
        <v>386</v>
      </c>
      <c r="B191" s="10">
        <v>43887</v>
      </c>
      <c r="C191" t="s">
        <v>13</v>
      </c>
      <c r="D191" t="s">
        <v>445</v>
      </c>
      <c r="E191" t="s">
        <v>1570</v>
      </c>
      <c r="F191" t="s">
        <v>15</v>
      </c>
      <c r="G191" s="11">
        <v>-85560</v>
      </c>
      <c r="H191" s="12">
        <v>-85560</v>
      </c>
      <c r="I191" s="12">
        <v>20</v>
      </c>
      <c r="J191" s="12">
        <v>-20</v>
      </c>
      <c r="K191" t="s">
        <v>446</v>
      </c>
      <c r="L191" t="s">
        <v>389</v>
      </c>
      <c r="M191" t="s">
        <v>447</v>
      </c>
    </row>
    <row r="192" spans="1:13">
      <c r="A192" t="s">
        <v>386</v>
      </c>
      <c r="B192" s="10">
        <v>43851</v>
      </c>
      <c r="C192" t="s">
        <v>13</v>
      </c>
      <c r="D192" t="s">
        <v>448</v>
      </c>
      <c r="E192" t="s">
        <v>1571</v>
      </c>
      <c r="F192" t="s">
        <v>15</v>
      </c>
      <c r="G192" s="11">
        <v>-1168.5</v>
      </c>
      <c r="H192" s="12">
        <v>-1168.5</v>
      </c>
      <c r="I192" s="12">
        <v>0.16</v>
      </c>
      <c r="J192" s="12">
        <v>-0.16</v>
      </c>
      <c r="K192" t="s">
        <v>449</v>
      </c>
      <c r="L192" t="s">
        <v>389</v>
      </c>
      <c r="M192" t="s">
        <v>450</v>
      </c>
    </row>
    <row r="193" spans="1:13">
      <c r="A193" t="s">
        <v>386</v>
      </c>
      <c r="B193" s="10">
        <v>43731</v>
      </c>
      <c r="C193" t="s">
        <v>13</v>
      </c>
      <c r="D193" t="s">
        <v>451</v>
      </c>
      <c r="E193" t="s">
        <v>1572</v>
      </c>
      <c r="F193" t="s">
        <v>15</v>
      </c>
      <c r="G193" s="11">
        <v>-1144.3499999999999</v>
      </c>
      <c r="H193" s="12">
        <v>-1144.3499999999999</v>
      </c>
      <c r="I193" s="12">
        <v>0.03</v>
      </c>
      <c r="J193" s="12">
        <v>-0.03</v>
      </c>
      <c r="K193" t="s">
        <v>452</v>
      </c>
      <c r="L193" t="s">
        <v>88</v>
      </c>
      <c r="M193" t="s">
        <v>453</v>
      </c>
    </row>
    <row r="194" spans="1:13">
      <c r="A194" t="s">
        <v>454</v>
      </c>
      <c r="B194" s="10">
        <v>46140</v>
      </c>
      <c r="C194" t="s">
        <v>13</v>
      </c>
      <c r="D194" t="s">
        <v>455</v>
      </c>
      <c r="E194" t="s">
        <v>14</v>
      </c>
      <c r="F194" t="s">
        <v>456</v>
      </c>
      <c r="G194" s="13">
        <v>-67808.679999999993</v>
      </c>
      <c r="H194" s="12">
        <v>-49625.781999999999</v>
      </c>
      <c r="I194" s="12">
        <v>49625.781999999999</v>
      </c>
      <c r="J194" s="12">
        <v>-91511.6</v>
      </c>
      <c r="K194" t="s">
        <v>457</v>
      </c>
      <c r="L194" t="s">
        <v>14</v>
      </c>
      <c r="M194" t="s">
        <v>458</v>
      </c>
    </row>
    <row r="195" spans="1:13">
      <c r="A195" t="s">
        <v>454</v>
      </c>
      <c r="B195" s="10">
        <v>44914</v>
      </c>
      <c r="C195" t="s">
        <v>13</v>
      </c>
      <c r="D195" t="s">
        <v>459</v>
      </c>
      <c r="E195" t="s">
        <v>14</v>
      </c>
      <c r="F195" t="s">
        <v>456</v>
      </c>
      <c r="G195" s="13">
        <v>-29267</v>
      </c>
      <c r="H195" s="12">
        <v>-21419.054</v>
      </c>
      <c r="I195" s="12">
        <v>21419.054</v>
      </c>
      <c r="J195" s="12">
        <v>-91511.6</v>
      </c>
      <c r="K195" t="s">
        <v>457</v>
      </c>
      <c r="L195" t="s">
        <v>14</v>
      </c>
      <c r="M195" t="s">
        <v>460</v>
      </c>
    </row>
    <row r="196" spans="1:13">
      <c r="A196" t="s">
        <v>454</v>
      </c>
      <c r="B196" s="10">
        <v>45566</v>
      </c>
      <c r="C196" t="s">
        <v>13</v>
      </c>
      <c r="D196" t="s">
        <v>461</v>
      </c>
      <c r="E196" t="s">
        <v>14</v>
      </c>
      <c r="F196" t="s">
        <v>456</v>
      </c>
      <c r="G196" s="13">
        <v>-13625.94</v>
      </c>
      <c r="H196" s="12">
        <v>-9972.1440000000002</v>
      </c>
      <c r="I196" s="12">
        <v>9972.1440000000002</v>
      </c>
      <c r="J196" s="12">
        <v>-91511.6</v>
      </c>
      <c r="K196" t="s">
        <v>457</v>
      </c>
      <c r="L196" t="s">
        <v>14</v>
      </c>
      <c r="M196" t="s">
        <v>462</v>
      </c>
    </row>
    <row r="197" spans="1:13">
      <c r="A197" t="s">
        <v>454</v>
      </c>
      <c r="B197" s="10">
        <v>45184</v>
      </c>
      <c r="C197" t="s">
        <v>13</v>
      </c>
      <c r="D197" t="s">
        <v>463</v>
      </c>
      <c r="E197" t="s">
        <v>14</v>
      </c>
      <c r="F197" t="s">
        <v>456</v>
      </c>
      <c r="G197" s="13">
        <v>-13581.43</v>
      </c>
      <c r="H197" s="12">
        <v>-9939.57</v>
      </c>
      <c r="I197" s="12">
        <v>9939.57</v>
      </c>
      <c r="J197" s="12">
        <v>-9939.57</v>
      </c>
      <c r="K197" t="s">
        <v>464</v>
      </c>
      <c r="L197" t="s">
        <v>14</v>
      </c>
      <c r="M197" t="s">
        <v>465</v>
      </c>
    </row>
    <row r="198" spans="1:13">
      <c r="A198" t="s">
        <v>454</v>
      </c>
      <c r="B198" s="10">
        <v>44854</v>
      </c>
      <c r="C198" t="s">
        <v>13</v>
      </c>
      <c r="D198" t="s">
        <v>466</v>
      </c>
      <c r="E198" t="s">
        <v>14</v>
      </c>
      <c r="F198" t="s">
        <v>456</v>
      </c>
      <c r="G198" s="13">
        <v>-10774.31</v>
      </c>
      <c r="H198" s="12">
        <v>-7885.1790000000001</v>
      </c>
      <c r="I198" s="12">
        <v>7885.1790000000001</v>
      </c>
      <c r="J198" s="12">
        <v>-7885.1790000000001</v>
      </c>
      <c r="K198" t="s">
        <v>467</v>
      </c>
      <c r="L198" t="s">
        <v>14</v>
      </c>
      <c r="M198" t="s">
        <v>468</v>
      </c>
    </row>
    <row r="199" spans="1:13">
      <c r="A199" t="s">
        <v>454</v>
      </c>
      <c r="B199" s="10">
        <v>44683</v>
      </c>
      <c r="C199" t="s">
        <v>13</v>
      </c>
      <c r="D199" t="s">
        <v>469</v>
      </c>
      <c r="E199" t="s">
        <v>14</v>
      </c>
      <c r="F199" t="s">
        <v>456</v>
      </c>
      <c r="G199" s="13">
        <v>-10735</v>
      </c>
      <c r="H199" s="12">
        <v>-7856.41</v>
      </c>
      <c r="I199" s="12">
        <v>7856.41</v>
      </c>
      <c r="J199" s="12">
        <v>-7856.41</v>
      </c>
      <c r="K199" t="s">
        <v>470</v>
      </c>
      <c r="L199" t="s">
        <v>14</v>
      </c>
      <c r="M199" t="s">
        <v>471</v>
      </c>
    </row>
    <row r="200" spans="1:13">
      <c r="A200" t="s">
        <v>454</v>
      </c>
      <c r="B200" s="10">
        <v>45446</v>
      </c>
      <c r="C200" t="s">
        <v>13</v>
      </c>
      <c r="D200" t="s">
        <v>472</v>
      </c>
      <c r="E200" t="s">
        <v>14</v>
      </c>
      <c r="F200" t="s">
        <v>456</v>
      </c>
      <c r="G200" s="13">
        <v>-10636.09</v>
      </c>
      <c r="H200" s="12">
        <v>-7784.0219999999999</v>
      </c>
      <c r="I200" s="12">
        <v>7784.0219999999999</v>
      </c>
      <c r="J200" s="12">
        <v>-91511.6</v>
      </c>
      <c r="K200" t="s">
        <v>457</v>
      </c>
      <c r="L200" t="s">
        <v>14</v>
      </c>
      <c r="M200" t="s">
        <v>473</v>
      </c>
    </row>
    <row r="201" spans="1:13">
      <c r="A201" t="s">
        <v>454</v>
      </c>
      <c r="B201" s="10">
        <v>46086</v>
      </c>
      <c r="C201" t="s">
        <v>13</v>
      </c>
      <c r="D201" t="s">
        <v>474</v>
      </c>
      <c r="E201" t="s">
        <v>1573</v>
      </c>
      <c r="F201" t="s">
        <v>456</v>
      </c>
      <c r="G201" s="13">
        <v>-100341.4</v>
      </c>
      <c r="H201" s="12">
        <v>-73434.854000000007</v>
      </c>
      <c r="I201" s="12">
        <v>7456.0659999999998</v>
      </c>
      <c r="J201" s="12">
        <v>-7456.0659999999998</v>
      </c>
      <c r="K201" t="s">
        <v>475</v>
      </c>
      <c r="L201" t="s">
        <v>76</v>
      </c>
      <c r="M201" t="s">
        <v>476</v>
      </c>
    </row>
    <row r="202" spans="1:13">
      <c r="A202" t="s">
        <v>454</v>
      </c>
      <c r="B202" s="10">
        <v>44895</v>
      </c>
      <c r="C202" t="s">
        <v>13</v>
      </c>
      <c r="D202" t="s">
        <v>477</v>
      </c>
      <c r="E202" t="s">
        <v>1574</v>
      </c>
      <c r="F202" t="s">
        <v>456</v>
      </c>
      <c r="G202" s="13">
        <v>-9802.75</v>
      </c>
      <c r="H202" s="12">
        <v>-7174.143</v>
      </c>
      <c r="I202" s="12">
        <v>6698.6229999999996</v>
      </c>
      <c r="J202" s="12">
        <v>-6698.6229999999996</v>
      </c>
      <c r="K202" t="s">
        <v>478</v>
      </c>
      <c r="L202" t="s">
        <v>479</v>
      </c>
      <c r="M202" t="s">
        <v>480</v>
      </c>
    </row>
    <row r="203" spans="1:13">
      <c r="A203" t="s">
        <v>454</v>
      </c>
      <c r="B203" s="10">
        <v>45134</v>
      </c>
      <c r="C203" t="s">
        <v>13</v>
      </c>
      <c r="D203" t="s">
        <v>481</v>
      </c>
      <c r="E203" t="s">
        <v>14</v>
      </c>
      <c r="F203" t="s">
        <v>456</v>
      </c>
      <c r="G203" s="13">
        <v>-8638.56</v>
      </c>
      <c r="H203" s="12">
        <v>-6322.13</v>
      </c>
      <c r="I203" s="12">
        <v>6322.13</v>
      </c>
      <c r="J203" s="12">
        <v>-6322.13</v>
      </c>
      <c r="K203" t="s">
        <v>482</v>
      </c>
      <c r="L203" t="s">
        <v>479</v>
      </c>
      <c r="M203" t="s">
        <v>483</v>
      </c>
    </row>
    <row r="204" spans="1:13">
      <c r="A204" t="s">
        <v>454</v>
      </c>
      <c r="B204" s="10">
        <v>45987</v>
      </c>
      <c r="C204" t="s">
        <v>484</v>
      </c>
      <c r="D204" t="s">
        <v>485</v>
      </c>
      <c r="E204" t="s">
        <v>14</v>
      </c>
      <c r="F204" t="s">
        <v>456</v>
      </c>
      <c r="G204" s="13">
        <v>-5750</v>
      </c>
      <c r="H204" s="12">
        <v>-4208.1379999999999</v>
      </c>
      <c r="I204" s="12">
        <v>4208.1379999999999</v>
      </c>
      <c r="J204" s="12">
        <v>-4208.1379999999999</v>
      </c>
      <c r="K204" t="s">
        <v>486</v>
      </c>
      <c r="L204" t="s">
        <v>76</v>
      </c>
      <c r="M204" t="s">
        <v>487</v>
      </c>
    </row>
    <row r="205" spans="1:13">
      <c r="A205" t="s">
        <v>454</v>
      </c>
      <c r="B205" s="10">
        <v>44900</v>
      </c>
      <c r="C205" t="s">
        <v>13</v>
      </c>
      <c r="D205" t="s">
        <v>488</v>
      </c>
      <c r="E205" t="s">
        <v>488</v>
      </c>
      <c r="F205" t="s">
        <v>456</v>
      </c>
      <c r="G205" s="13">
        <v>-3955</v>
      </c>
      <c r="H205" s="12">
        <v>-2894.4670000000001</v>
      </c>
      <c r="I205" s="12">
        <v>2894.4670000000001</v>
      </c>
      <c r="J205" s="12">
        <v>-2894.4670000000001</v>
      </c>
      <c r="K205" t="s">
        <v>489</v>
      </c>
      <c r="L205" t="s">
        <v>14</v>
      </c>
      <c r="M205" t="s">
        <v>490</v>
      </c>
    </row>
    <row r="206" spans="1:13">
      <c r="A206" t="s">
        <v>454</v>
      </c>
      <c r="B206" s="10">
        <v>46120</v>
      </c>
      <c r="C206" t="s">
        <v>13</v>
      </c>
      <c r="D206" t="s">
        <v>491</v>
      </c>
      <c r="E206" t="s">
        <v>1575</v>
      </c>
      <c r="F206" t="s">
        <v>456</v>
      </c>
      <c r="G206" s="13">
        <v>-13701.25</v>
      </c>
      <c r="H206" s="12">
        <v>-10027.26</v>
      </c>
      <c r="I206" s="12">
        <v>2104.6909999999998</v>
      </c>
      <c r="J206" s="12">
        <v>-2104.6909999999998</v>
      </c>
      <c r="K206" t="s">
        <v>492</v>
      </c>
      <c r="L206" t="s">
        <v>479</v>
      </c>
      <c r="M206" t="s">
        <v>493</v>
      </c>
    </row>
    <row r="207" spans="1:13">
      <c r="A207" t="s">
        <v>454</v>
      </c>
      <c r="B207" s="10">
        <v>44932</v>
      </c>
      <c r="C207" t="s">
        <v>13</v>
      </c>
      <c r="D207" t="s">
        <v>494</v>
      </c>
      <c r="E207" t="s">
        <v>14</v>
      </c>
      <c r="F207" t="s">
        <v>456</v>
      </c>
      <c r="G207" s="13">
        <v>-2475.21</v>
      </c>
      <c r="H207" s="12">
        <v>-1811.482</v>
      </c>
      <c r="I207" s="12">
        <v>1811.482</v>
      </c>
      <c r="J207" s="12">
        <v>26877.038</v>
      </c>
      <c r="K207" t="s">
        <v>495</v>
      </c>
      <c r="L207" t="s">
        <v>479</v>
      </c>
      <c r="M207" t="s">
        <v>496</v>
      </c>
    </row>
    <row r="208" spans="1:13">
      <c r="A208" t="s">
        <v>454</v>
      </c>
      <c r="B208" s="10">
        <v>45995</v>
      </c>
      <c r="C208" t="s">
        <v>13</v>
      </c>
      <c r="D208" t="s">
        <v>497</v>
      </c>
      <c r="E208" t="s">
        <v>1576</v>
      </c>
      <c r="F208" t="s">
        <v>456</v>
      </c>
      <c r="G208" s="13">
        <v>-8335.69</v>
      </c>
      <c r="H208" s="12">
        <v>-6100.4750000000004</v>
      </c>
      <c r="I208" s="12">
        <v>1682.8889999999999</v>
      </c>
      <c r="J208" s="12">
        <v>-1682.8889999999999</v>
      </c>
      <c r="K208" t="s">
        <v>498</v>
      </c>
      <c r="L208" t="s">
        <v>14</v>
      </c>
      <c r="M208" t="s">
        <v>499</v>
      </c>
    </row>
    <row r="209" spans="1:13">
      <c r="A209" t="s">
        <v>454</v>
      </c>
      <c r="B209" s="10">
        <v>44659</v>
      </c>
      <c r="C209" t="s">
        <v>13</v>
      </c>
      <c r="D209" t="s">
        <v>500</v>
      </c>
      <c r="E209" t="s">
        <v>1578</v>
      </c>
      <c r="F209" t="s">
        <v>456</v>
      </c>
      <c r="G209" s="13">
        <v>-29893.5</v>
      </c>
      <c r="H209" s="12">
        <v>-21877.558000000001</v>
      </c>
      <c r="I209" s="12">
        <v>1472.5260000000001</v>
      </c>
      <c r="J209" s="12">
        <v>-1472.5260000000001</v>
      </c>
      <c r="K209" t="s">
        <v>501</v>
      </c>
      <c r="L209" t="s">
        <v>14</v>
      </c>
      <c r="M209" t="s">
        <v>502</v>
      </c>
    </row>
    <row r="210" spans="1:13">
      <c r="A210" t="s">
        <v>454</v>
      </c>
      <c r="B210" s="10">
        <v>44659</v>
      </c>
      <c r="C210" t="s">
        <v>13</v>
      </c>
      <c r="D210" t="s">
        <v>500</v>
      </c>
      <c r="E210" t="s">
        <v>1577</v>
      </c>
      <c r="F210" t="s">
        <v>456</v>
      </c>
      <c r="G210" s="13">
        <v>-29893.5</v>
      </c>
      <c r="H210" s="12">
        <v>-21877.558000000001</v>
      </c>
      <c r="I210" s="12">
        <v>1472.5260000000001</v>
      </c>
      <c r="J210" s="12">
        <v>-1472.5260000000001</v>
      </c>
      <c r="K210" t="s">
        <v>501</v>
      </c>
      <c r="L210" t="s">
        <v>14</v>
      </c>
      <c r="M210" t="s">
        <v>502</v>
      </c>
    </row>
    <row r="211" spans="1:13">
      <c r="A211" t="s">
        <v>454</v>
      </c>
      <c r="B211" s="10">
        <v>46100</v>
      </c>
      <c r="C211" t="s">
        <v>13</v>
      </c>
      <c r="D211" t="s">
        <v>503</v>
      </c>
      <c r="E211" t="s">
        <v>14</v>
      </c>
      <c r="F211" t="s">
        <v>456</v>
      </c>
      <c r="G211" s="13">
        <v>-1582</v>
      </c>
      <c r="H211" s="12">
        <v>-1157.787</v>
      </c>
      <c r="I211" s="12">
        <v>1157.787</v>
      </c>
      <c r="J211" s="12">
        <v>-1157.787</v>
      </c>
      <c r="K211" t="s">
        <v>504</v>
      </c>
      <c r="L211" t="s">
        <v>14</v>
      </c>
      <c r="M211" t="s">
        <v>505</v>
      </c>
    </row>
    <row r="212" spans="1:13">
      <c r="A212" t="s">
        <v>454</v>
      </c>
      <c r="B212" s="10">
        <v>44915</v>
      </c>
      <c r="C212" t="s">
        <v>13</v>
      </c>
      <c r="D212" t="s">
        <v>506</v>
      </c>
      <c r="E212" t="s">
        <v>14</v>
      </c>
      <c r="F212" t="s">
        <v>456</v>
      </c>
      <c r="G212" s="13">
        <v>-1271.25</v>
      </c>
      <c r="H212" s="12">
        <v>-930.36400000000003</v>
      </c>
      <c r="I212" s="12">
        <v>930.36400000000003</v>
      </c>
      <c r="J212" s="12">
        <v>-930.36400000000003</v>
      </c>
      <c r="K212" t="s">
        <v>507</v>
      </c>
      <c r="L212" t="s">
        <v>76</v>
      </c>
      <c r="M212" t="s">
        <v>508</v>
      </c>
    </row>
    <row r="213" spans="1:13">
      <c r="A213" t="s">
        <v>454</v>
      </c>
      <c r="B213" s="10">
        <v>45446</v>
      </c>
      <c r="C213" t="s">
        <v>13</v>
      </c>
      <c r="D213" t="s">
        <v>509</v>
      </c>
      <c r="E213" t="s">
        <v>14</v>
      </c>
      <c r="F213" t="s">
        <v>456</v>
      </c>
      <c r="G213" s="13">
        <v>-1112.08</v>
      </c>
      <c r="H213" s="12">
        <v>-813.87599999999998</v>
      </c>
      <c r="I213" s="12">
        <v>813.87599999999998</v>
      </c>
      <c r="J213" s="12">
        <v>-91511.6</v>
      </c>
      <c r="K213" t="s">
        <v>457</v>
      </c>
      <c r="L213" t="s">
        <v>14</v>
      </c>
      <c r="M213" t="s">
        <v>510</v>
      </c>
    </row>
    <row r="214" spans="1:13">
      <c r="A214" t="s">
        <v>454</v>
      </c>
      <c r="B214" s="10">
        <v>45805</v>
      </c>
      <c r="C214" t="s">
        <v>13</v>
      </c>
      <c r="D214" t="s">
        <v>511</v>
      </c>
      <c r="E214" t="s">
        <v>14</v>
      </c>
      <c r="F214" t="s">
        <v>456</v>
      </c>
      <c r="G214" s="13">
        <v>-923</v>
      </c>
      <c r="H214" s="12">
        <v>-675.49800000000005</v>
      </c>
      <c r="I214" s="12">
        <v>675.49800000000005</v>
      </c>
      <c r="J214" s="12">
        <v>-91511.6</v>
      </c>
      <c r="K214" t="s">
        <v>457</v>
      </c>
      <c r="L214" t="s">
        <v>14</v>
      </c>
      <c r="M214" t="s">
        <v>512</v>
      </c>
    </row>
    <row r="215" spans="1:13">
      <c r="A215" t="s">
        <v>454</v>
      </c>
      <c r="B215" s="10">
        <v>45981</v>
      </c>
      <c r="C215" t="s">
        <v>13</v>
      </c>
      <c r="D215" t="s">
        <v>513</v>
      </c>
      <c r="E215" t="s">
        <v>14</v>
      </c>
      <c r="F215" t="s">
        <v>456</v>
      </c>
      <c r="G215" s="13">
        <v>-768.4</v>
      </c>
      <c r="H215" s="12">
        <v>-562.35400000000004</v>
      </c>
      <c r="I215" s="12">
        <v>562.35400000000004</v>
      </c>
      <c r="J215" s="12">
        <v>-562.35400000000004</v>
      </c>
      <c r="K215" t="s">
        <v>514</v>
      </c>
      <c r="L215" t="s">
        <v>14</v>
      </c>
      <c r="M215" t="s">
        <v>515</v>
      </c>
    </row>
    <row r="216" spans="1:13">
      <c r="A216" t="s">
        <v>454</v>
      </c>
      <c r="B216" s="10">
        <v>45218</v>
      </c>
      <c r="C216" t="s">
        <v>13</v>
      </c>
      <c r="D216" t="s">
        <v>516</v>
      </c>
      <c r="E216" t="s">
        <v>14</v>
      </c>
      <c r="F216" t="s">
        <v>456</v>
      </c>
      <c r="G216" s="13">
        <v>-600</v>
      </c>
      <c r="H216" s="12">
        <v>-439.11</v>
      </c>
      <c r="I216" s="12">
        <v>439.11</v>
      </c>
      <c r="J216" s="12">
        <v>-439.11</v>
      </c>
      <c r="K216" t="s">
        <v>517</v>
      </c>
      <c r="L216" t="s">
        <v>14</v>
      </c>
      <c r="M216" t="s">
        <v>518</v>
      </c>
    </row>
    <row r="217" spans="1:13">
      <c r="A217" t="s">
        <v>454</v>
      </c>
      <c r="B217" s="10">
        <v>45630</v>
      </c>
      <c r="C217" t="s">
        <v>13</v>
      </c>
      <c r="D217" t="s">
        <v>519</v>
      </c>
      <c r="E217" t="s">
        <v>1579</v>
      </c>
      <c r="F217" t="s">
        <v>456</v>
      </c>
      <c r="G217" s="13">
        <v>-1895.04</v>
      </c>
      <c r="H217" s="12">
        <v>-1386.885</v>
      </c>
      <c r="I217" s="12">
        <v>403.279</v>
      </c>
      <c r="J217" s="12">
        <v>-403.279</v>
      </c>
      <c r="K217" t="s">
        <v>520</v>
      </c>
      <c r="L217" t="s">
        <v>14</v>
      </c>
      <c r="M217" t="s">
        <v>521</v>
      </c>
    </row>
    <row r="218" spans="1:13">
      <c r="A218" t="s">
        <v>454</v>
      </c>
      <c r="B218" s="10">
        <v>45016</v>
      </c>
      <c r="C218" t="s">
        <v>13</v>
      </c>
      <c r="D218" t="s">
        <v>522</v>
      </c>
      <c r="E218" t="s">
        <v>1580</v>
      </c>
      <c r="F218" t="s">
        <v>456</v>
      </c>
      <c r="G218" s="13">
        <v>-1035.82</v>
      </c>
      <c r="H218" s="12">
        <v>-758.06500000000005</v>
      </c>
      <c r="I218" s="12">
        <v>379.03199999999998</v>
      </c>
      <c r="J218" s="12">
        <v>-379.03199999999998</v>
      </c>
      <c r="K218" t="s">
        <v>523</v>
      </c>
      <c r="L218" t="s">
        <v>479</v>
      </c>
      <c r="M218" t="s">
        <v>524</v>
      </c>
    </row>
    <row r="219" spans="1:13">
      <c r="A219" t="s">
        <v>454</v>
      </c>
      <c r="B219" s="10">
        <v>46113</v>
      </c>
      <c r="C219" t="s">
        <v>13</v>
      </c>
      <c r="D219" t="s">
        <v>525</v>
      </c>
      <c r="E219" t="s">
        <v>1581</v>
      </c>
      <c r="F219" t="s">
        <v>456</v>
      </c>
      <c r="G219" s="13">
        <v>-6934.09</v>
      </c>
      <c r="H219" s="12">
        <v>-5074.7139999999999</v>
      </c>
      <c r="I219" s="12">
        <v>220.631</v>
      </c>
      <c r="J219" s="12">
        <v>-220.631</v>
      </c>
      <c r="K219" t="s">
        <v>526</v>
      </c>
      <c r="L219" t="s">
        <v>14</v>
      </c>
      <c r="M219" t="s">
        <v>527</v>
      </c>
    </row>
    <row r="220" spans="1:13">
      <c r="A220" t="s">
        <v>454</v>
      </c>
      <c r="B220" s="10">
        <v>45065</v>
      </c>
      <c r="C220" t="s">
        <v>13</v>
      </c>
      <c r="D220" t="s">
        <v>528</v>
      </c>
      <c r="E220" t="s">
        <v>14</v>
      </c>
      <c r="F220" t="s">
        <v>456</v>
      </c>
      <c r="G220" s="13">
        <v>-297.10000000000002</v>
      </c>
      <c r="H220" s="12">
        <v>-217.43299999999999</v>
      </c>
      <c r="I220" s="12">
        <v>217.43299999999999</v>
      </c>
      <c r="J220" s="12">
        <v>-91511.6</v>
      </c>
      <c r="K220" t="s">
        <v>457</v>
      </c>
      <c r="L220" t="s">
        <v>14</v>
      </c>
      <c r="M220" t="s">
        <v>529</v>
      </c>
    </row>
    <row r="221" spans="1:13">
      <c r="A221" t="s">
        <v>454</v>
      </c>
      <c r="B221" s="10">
        <v>44965</v>
      </c>
      <c r="C221" t="s">
        <v>13</v>
      </c>
      <c r="D221" t="s">
        <v>530</v>
      </c>
      <c r="E221" t="s">
        <v>14</v>
      </c>
      <c r="F221" t="s">
        <v>456</v>
      </c>
      <c r="G221" s="13">
        <v>-259.38</v>
      </c>
      <c r="H221" s="12">
        <v>-189.827</v>
      </c>
      <c r="I221" s="12">
        <v>189.827</v>
      </c>
      <c r="J221" s="12">
        <v>-91511.6</v>
      </c>
      <c r="K221" t="s">
        <v>457</v>
      </c>
      <c r="L221" t="s">
        <v>14</v>
      </c>
      <c r="M221" t="s">
        <v>531</v>
      </c>
    </row>
    <row r="222" spans="1:13">
      <c r="A222" t="s">
        <v>454</v>
      </c>
      <c r="B222" s="10">
        <v>44680</v>
      </c>
      <c r="C222" t="s">
        <v>13</v>
      </c>
      <c r="D222" t="s">
        <v>532</v>
      </c>
      <c r="E222" t="s">
        <v>14</v>
      </c>
      <c r="F222" t="s">
        <v>456</v>
      </c>
      <c r="G222" s="13">
        <v>-196.43</v>
      </c>
      <c r="H222" s="12">
        <v>-143.75700000000001</v>
      </c>
      <c r="I222" s="12">
        <v>143.75700000000001</v>
      </c>
      <c r="J222" s="12">
        <v>-91511.6</v>
      </c>
      <c r="K222" t="s">
        <v>457</v>
      </c>
      <c r="L222" t="s">
        <v>14</v>
      </c>
      <c r="M222" t="s">
        <v>533</v>
      </c>
    </row>
    <row r="223" spans="1:13">
      <c r="A223" t="s">
        <v>454</v>
      </c>
      <c r="B223" s="10">
        <v>45498</v>
      </c>
      <c r="C223" t="s">
        <v>13</v>
      </c>
      <c r="D223" t="s">
        <v>534</v>
      </c>
      <c r="E223" t="s">
        <v>14</v>
      </c>
      <c r="F223" t="s">
        <v>456</v>
      </c>
      <c r="G223" s="13">
        <v>-179.21</v>
      </c>
      <c r="H223" s="12">
        <v>-131.155</v>
      </c>
      <c r="I223" s="12">
        <v>131.155</v>
      </c>
      <c r="J223" s="12">
        <v>-91511.6</v>
      </c>
      <c r="K223" t="s">
        <v>457</v>
      </c>
      <c r="L223" t="s">
        <v>14</v>
      </c>
      <c r="M223" t="s">
        <v>535</v>
      </c>
    </row>
    <row r="224" spans="1:13">
      <c r="A224" t="s">
        <v>454</v>
      </c>
      <c r="B224" s="10">
        <v>44957</v>
      </c>
      <c r="C224" t="s">
        <v>13</v>
      </c>
      <c r="D224" t="s">
        <v>536</v>
      </c>
      <c r="E224" t="s">
        <v>1582</v>
      </c>
      <c r="F224" t="s">
        <v>456</v>
      </c>
      <c r="G224" s="13">
        <v>-1300.01</v>
      </c>
      <c r="H224" s="12">
        <v>-951.41200000000003</v>
      </c>
      <c r="I224" s="12">
        <v>124.41500000000001</v>
      </c>
      <c r="J224" s="12">
        <v>-124.41500000000001</v>
      </c>
      <c r="K224" t="s">
        <v>537</v>
      </c>
      <c r="L224" t="s">
        <v>479</v>
      </c>
      <c r="M224" t="s">
        <v>471</v>
      </c>
    </row>
    <row r="225" spans="1:13">
      <c r="A225" t="s">
        <v>454</v>
      </c>
      <c r="B225" s="10">
        <v>45433</v>
      </c>
      <c r="C225" t="s">
        <v>13</v>
      </c>
      <c r="D225" t="s">
        <v>538</v>
      </c>
      <c r="E225" t="s">
        <v>14</v>
      </c>
      <c r="F225" t="s">
        <v>456</v>
      </c>
      <c r="G225" s="13">
        <v>-157.33000000000001</v>
      </c>
      <c r="H225" s="12">
        <v>-115.142</v>
      </c>
      <c r="I225" s="12">
        <v>115.142</v>
      </c>
      <c r="J225" s="12">
        <v>-91511.6</v>
      </c>
      <c r="K225" t="s">
        <v>457</v>
      </c>
      <c r="L225" t="s">
        <v>14</v>
      </c>
      <c r="M225" t="s">
        <v>539</v>
      </c>
    </row>
    <row r="226" spans="1:13">
      <c r="A226" t="s">
        <v>454</v>
      </c>
      <c r="B226" s="10">
        <v>46000</v>
      </c>
      <c r="C226" t="s">
        <v>13</v>
      </c>
      <c r="D226" t="s">
        <v>540</v>
      </c>
      <c r="E226" t="s">
        <v>14</v>
      </c>
      <c r="F226" t="s">
        <v>456</v>
      </c>
      <c r="G226" s="13">
        <v>-145.09</v>
      </c>
      <c r="H226" s="12">
        <v>-106.184</v>
      </c>
      <c r="I226" s="12">
        <v>106.184</v>
      </c>
      <c r="J226" s="12">
        <v>-91511.6</v>
      </c>
      <c r="K226" t="s">
        <v>457</v>
      </c>
      <c r="L226" t="s">
        <v>14</v>
      </c>
      <c r="M226" t="s">
        <v>541</v>
      </c>
    </row>
    <row r="227" spans="1:13">
      <c r="A227" t="s">
        <v>454</v>
      </c>
      <c r="B227" s="10">
        <v>45828</v>
      </c>
      <c r="C227" t="s">
        <v>13</v>
      </c>
      <c r="D227" t="s">
        <v>542</v>
      </c>
      <c r="E227" t="s">
        <v>14</v>
      </c>
      <c r="F227" t="s">
        <v>456</v>
      </c>
      <c r="G227" s="13">
        <v>-133.22999999999999</v>
      </c>
      <c r="H227" s="12">
        <v>-97.504000000000005</v>
      </c>
      <c r="I227" s="12">
        <v>97.504000000000005</v>
      </c>
      <c r="J227" s="12">
        <v>-91511.6</v>
      </c>
      <c r="K227" t="s">
        <v>457</v>
      </c>
      <c r="L227" t="s">
        <v>14</v>
      </c>
      <c r="M227" t="s">
        <v>541</v>
      </c>
    </row>
    <row r="228" spans="1:13">
      <c r="A228" t="s">
        <v>454</v>
      </c>
      <c r="B228" s="10">
        <v>45793</v>
      </c>
      <c r="C228" t="s">
        <v>13</v>
      </c>
      <c r="D228" t="s">
        <v>543</v>
      </c>
      <c r="E228" t="s">
        <v>14</v>
      </c>
      <c r="F228" t="s">
        <v>456</v>
      </c>
      <c r="G228" s="13">
        <v>-109.91</v>
      </c>
      <c r="H228" s="12">
        <v>-80.438000000000002</v>
      </c>
      <c r="I228" s="12">
        <v>80.438000000000002</v>
      </c>
      <c r="J228" s="12">
        <v>-91511.6</v>
      </c>
      <c r="K228" t="s">
        <v>457</v>
      </c>
      <c r="L228" t="s">
        <v>14</v>
      </c>
      <c r="M228" t="s">
        <v>544</v>
      </c>
    </row>
    <row r="229" spans="1:13">
      <c r="A229" t="s">
        <v>454</v>
      </c>
      <c r="B229" s="10">
        <v>45229</v>
      </c>
      <c r="C229" t="s">
        <v>13</v>
      </c>
      <c r="D229" t="s">
        <v>545</v>
      </c>
      <c r="E229" t="s">
        <v>14</v>
      </c>
      <c r="F229" t="s">
        <v>456</v>
      </c>
      <c r="G229" s="13">
        <v>-104.5</v>
      </c>
      <c r="H229" s="12">
        <v>-76.477999999999994</v>
      </c>
      <c r="I229" s="12">
        <v>76.477999999999994</v>
      </c>
      <c r="J229" s="12">
        <v>-91511.6</v>
      </c>
      <c r="K229" t="s">
        <v>457</v>
      </c>
      <c r="L229" t="s">
        <v>14</v>
      </c>
      <c r="M229" t="s">
        <v>546</v>
      </c>
    </row>
    <row r="230" spans="1:13">
      <c r="A230" t="s">
        <v>454</v>
      </c>
      <c r="B230" s="10">
        <v>45841</v>
      </c>
      <c r="C230" t="s">
        <v>13</v>
      </c>
      <c r="D230" t="s">
        <v>547</v>
      </c>
      <c r="E230" t="s">
        <v>14</v>
      </c>
      <c r="F230" t="s">
        <v>456</v>
      </c>
      <c r="G230" s="13">
        <v>-71.8</v>
      </c>
      <c r="H230" s="12">
        <v>-52.546999999999997</v>
      </c>
      <c r="I230" s="12">
        <v>52.546999999999997</v>
      </c>
      <c r="J230" s="12">
        <v>-91511.6</v>
      </c>
      <c r="K230" t="s">
        <v>457</v>
      </c>
      <c r="L230" t="s">
        <v>14</v>
      </c>
      <c r="M230" t="s">
        <v>541</v>
      </c>
    </row>
    <row r="231" spans="1:13">
      <c r="A231" t="s">
        <v>454</v>
      </c>
      <c r="B231" s="10">
        <v>46008</v>
      </c>
      <c r="C231" t="s">
        <v>13</v>
      </c>
      <c r="D231" t="s">
        <v>548</v>
      </c>
      <c r="E231" t="s">
        <v>14</v>
      </c>
      <c r="F231" t="s">
        <v>456</v>
      </c>
      <c r="G231" s="13">
        <v>-14.7</v>
      </c>
      <c r="H231" s="12">
        <v>-10.757999999999999</v>
      </c>
      <c r="I231" s="12">
        <v>10.757999999999999</v>
      </c>
      <c r="J231" s="12">
        <v>-91511.6</v>
      </c>
      <c r="K231" t="s">
        <v>457</v>
      </c>
      <c r="L231" t="s">
        <v>14</v>
      </c>
      <c r="M231" t="s">
        <v>549</v>
      </c>
    </row>
    <row r="232" spans="1:13">
      <c r="A232" t="s">
        <v>550</v>
      </c>
      <c r="B232" s="10">
        <v>43556</v>
      </c>
      <c r="C232" t="s">
        <v>13</v>
      </c>
      <c r="D232" t="s">
        <v>551</v>
      </c>
      <c r="E232" t="s">
        <v>1584</v>
      </c>
      <c r="F232" t="s">
        <v>456</v>
      </c>
      <c r="G232" s="13">
        <v>-6900</v>
      </c>
      <c r="H232" s="12">
        <v>-5256.9440000000004</v>
      </c>
      <c r="I232" s="12">
        <v>5256.9440000000004</v>
      </c>
      <c r="J232" s="12">
        <v>-5256.9440000000004</v>
      </c>
      <c r="K232" t="s">
        <v>552</v>
      </c>
      <c r="L232" t="s">
        <v>14</v>
      </c>
      <c r="M232" t="s">
        <v>553</v>
      </c>
    </row>
    <row r="233" spans="1:13">
      <c r="A233" t="s">
        <v>550</v>
      </c>
      <c r="B233" s="10">
        <v>43556</v>
      </c>
      <c r="C233" t="s">
        <v>13</v>
      </c>
      <c r="D233" t="s">
        <v>551</v>
      </c>
      <c r="E233" t="s">
        <v>1583</v>
      </c>
      <c r="F233" t="s">
        <v>456</v>
      </c>
      <c r="G233" s="13">
        <v>-6900</v>
      </c>
      <c r="H233" s="12">
        <v>-5256.9440000000004</v>
      </c>
      <c r="I233" s="12">
        <v>5256.9440000000004</v>
      </c>
      <c r="J233" s="12">
        <v>-5256.9440000000004</v>
      </c>
      <c r="K233" t="s">
        <v>552</v>
      </c>
      <c r="L233" t="s">
        <v>14</v>
      </c>
      <c r="M233" t="s">
        <v>553</v>
      </c>
    </row>
    <row r="234" spans="1:13">
      <c r="A234" t="s">
        <v>550</v>
      </c>
      <c r="B234" s="10">
        <v>43728</v>
      </c>
      <c r="C234" t="s">
        <v>13</v>
      </c>
      <c r="D234" t="s">
        <v>554</v>
      </c>
      <c r="E234" t="s">
        <v>1585</v>
      </c>
      <c r="F234" t="s">
        <v>456</v>
      </c>
      <c r="G234" s="13">
        <v>-40383.4</v>
      </c>
      <c r="H234" s="12">
        <v>-30767.143</v>
      </c>
      <c r="I234" s="12">
        <v>5127.8450000000003</v>
      </c>
      <c r="J234" s="12">
        <v>-5127.8450000000003</v>
      </c>
      <c r="K234" t="s">
        <v>555</v>
      </c>
      <c r="L234" t="s">
        <v>389</v>
      </c>
      <c r="M234" t="s">
        <v>556</v>
      </c>
    </row>
    <row r="235" spans="1:13">
      <c r="A235" t="s">
        <v>550</v>
      </c>
      <c r="B235" s="10">
        <v>43728</v>
      </c>
      <c r="C235" t="s">
        <v>13</v>
      </c>
      <c r="D235" t="s">
        <v>554</v>
      </c>
      <c r="E235" t="s">
        <v>1586</v>
      </c>
      <c r="F235" t="s">
        <v>456</v>
      </c>
      <c r="G235" s="13">
        <v>-40383.4</v>
      </c>
      <c r="H235" s="12">
        <v>-30767.143</v>
      </c>
      <c r="I235" s="12">
        <v>5127.8450000000003</v>
      </c>
      <c r="J235" s="12">
        <v>-5127.8450000000003</v>
      </c>
      <c r="K235" t="s">
        <v>555</v>
      </c>
      <c r="L235" t="s">
        <v>389</v>
      </c>
      <c r="M235" t="s">
        <v>556</v>
      </c>
    </row>
    <row r="236" spans="1:13">
      <c r="A236" t="s">
        <v>550</v>
      </c>
      <c r="B236" s="10">
        <v>43493</v>
      </c>
      <c r="C236" t="s">
        <v>13</v>
      </c>
      <c r="D236" t="s">
        <v>557</v>
      </c>
      <c r="E236" t="s">
        <v>1587</v>
      </c>
      <c r="F236" t="s">
        <v>456</v>
      </c>
      <c r="G236" s="13">
        <v>-4348.75</v>
      </c>
      <c r="H236" s="12">
        <v>-3313.2080000000001</v>
      </c>
      <c r="I236" s="12">
        <v>2981.8910000000001</v>
      </c>
      <c r="J236" s="12">
        <v>-2981.8910000000001</v>
      </c>
      <c r="K236" t="s">
        <v>558</v>
      </c>
      <c r="L236" t="s">
        <v>389</v>
      </c>
      <c r="M236" t="s">
        <v>14</v>
      </c>
    </row>
    <row r="237" spans="1:13">
      <c r="A237" t="s">
        <v>550</v>
      </c>
      <c r="B237" s="10">
        <v>43560</v>
      </c>
      <c r="C237" t="s">
        <v>13</v>
      </c>
      <c r="D237" t="s">
        <v>559</v>
      </c>
      <c r="E237" t="s">
        <v>14</v>
      </c>
      <c r="F237" t="s">
        <v>15</v>
      </c>
      <c r="G237" s="11">
        <v>-2450.0100000000002</v>
      </c>
      <c r="H237" s="12">
        <v>-2493.3150000000001</v>
      </c>
      <c r="I237" s="12">
        <v>2493.3150000000001</v>
      </c>
      <c r="J237" s="12">
        <v>-2493.3150000000001</v>
      </c>
      <c r="K237" t="s">
        <v>560</v>
      </c>
      <c r="L237" t="s">
        <v>389</v>
      </c>
      <c r="M237" t="s">
        <v>561</v>
      </c>
    </row>
    <row r="238" spans="1:13">
      <c r="A238" t="s">
        <v>550</v>
      </c>
      <c r="B238" s="10">
        <v>43571</v>
      </c>
      <c r="C238" t="s">
        <v>13</v>
      </c>
      <c r="D238" t="s">
        <v>562</v>
      </c>
      <c r="E238" t="s">
        <v>14</v>
      </c>
      <c r="F238" t="s">
        <v>563</v>
      </c>
      <c r="G238" s="14">
        <v>-1770.83</v>
      </c>
      <c r="H238" s="12">
        <v>-2363.9870000000001</v>
      </c>
      <c r="I238" s="12">
        <v>2363.9870000000001</v>
      </c>
      <c r="J238" s="12">
        <v>-2363.9870000000001</v>
      </c>
      <c r="K238" t="s">
        <v>564</v>
      </c>
      <c r="L238" t="s">
        <v>88</v>
      </c>
      <c r="M238" t="s">
        <v>565</v>
      </c>
    </row>
    <row r="239" spans="1:13">
      <c r="A239" t="s">
        <v>550</v>
      </c>
      <c r="B239" s="10">
        <v>43585</v>
      </c>
      <c r="C239" t="s">
        <v>13</v>
      </c>
      <c r="D239" t="s">
        <v>566</v>
      </c>
      <c r="E239" t="s">
        <v>14</v>
      </c>
      <c r="F239" t="s">
        <v>15</v>
      </c>
      <c r="G239" s="11">
        <v>-1870.84</v>
      </c>
      <c r="H239" s="12">
        <v>-1917.5809999999999</v>
      </c>
      <c r="I239" s="12">
        <v>1917.5809999999999</v>
      </c>
      <c r="J239" s="12">
        <v>-1917.5809999999999</v>
      </c>
      <c r="K239" t="s">
        <v>567</v>
      </c>
      <c r="L239" t="s">
        <v>88</v>
      </c>
      <c r="M239" t="s">
        <v>568</v>
      </c>
    </row>
    <row r="240" spans="1:13">
      <c r="A240" t="s">
        <v>550</v>
      </c>
      <c r="B240" s="10">
        <v>43493</v>
      </c>
      <c r="C240" t="s">
        <v>13</v>
      </c>
      <c r="D240" t="s">
        <v>569</v>
      </c>
      <c r="E240" t="s">
        <v>1588</v>
      </c>
      <c r="F240" t="s">
        <v>15</v>
      </c>
      <c r="G240" s="11">
        <v>-2500</v>
      </c>
      <c r="H240" s="12">
        <v>-2518.8380000000002</v>
      </c>
      <c r="I240" s="12">
        <v>1259.4190000000001</v>
      </c>
      <c r="J240" s="12">
        <v>-1259.4190000000001</v>
      </c>
      <c r="K240" t="s">
        <v>570</v>
      </c>
      <c r="L240" t="s">
        <v>88</v>
      </c>
      <c r="M240" t="s">
        <v>14</v>
      </c>
    </row>
    <row r="241" spans="1:13">
      <c r="A241" t="s">
        <v>550</v>
      </c>
      <c r="B241" s="10">
        <v>43517</v>
      </c>
      <c r="C241" t="s">
        <v>13</v>
      </c>
      <c r="D241" t="s">
        <v>571</v>
      </c>
      <c r="E241" t="s">
        <v>1590</v>
      </c>
      <c r="F241" t="s">
        <v>456</v>
      </c>
      <c r="G241" s="13">
        <v>-8236.7800000000007</v>
      </c>
      <c r="H241" s="12">
        <v>-6275.4049999999997</v>
      </c>
      <c r="I241" s="12">
        <v>1215.4970000000001</v>
      </c>
      <c r="J241" s="12">
        <v>-1215.4970000000001</v>
      </c>
      <c r="K241" t="s">
        <v>572</v>
      </c>
      <c r="L241" t="s">
        <v>88</v>
      </c>
      <c r="M241" t="s">
        <v>14</v>
      </c>
    </row>
    <row r="242" spans="1:13">
      <c r="A242" t="s">
        <v>550</v>
      </c>
      <c r="B242" s="10">
        <v>43517</v>
      </c>
      <c r="C242" t="s">
        <v>13</v>
      </c>
      <c r="D242" t="s">
        <v>571</v>
      </c>
      <c r="E242" t="s">
        <v>1589</v>
      </c>
      <c r="F242" t="s">
        <v>456</v>
      </c>
      <c r="G242" s="13">
        <v>-8236.7800000000007</v>
      </c>
      <c r="H242" s="12">
        <v>-6275.4049999999997</v>
      </c>
      <c r="I242" s="12">
        <v>1215.4970000000001</v>
      </c>
      <c r="J242" s="12">
        <v>-1215.4970000000001</v>
      </c>
      <c r="K242" t="s">
        <v>572</v>
      </c>
      <c r="L242" t="s">
        <v>88</v>
      </c>
      <c r="M242" t="s">
        <v>14</v>
      </c>
    </row>
    <row r="243" spans="1:13">
      <c r="A243" t="s">
        <v>550</v>
      </c>
      <c r="B243" s="10">
        <v>43517</v>
      </c>
      <c r="C243" t="s">
        <v>13</v>
      </c>
      <c r="D243" t="s">
        <v>571</v>
      </c>
      <c r="E243" t="s">
        <v>1591</v>
      </c>
      <c r="F243" t="s">
        <v>456</v>
      </c>
      <c r="G243" s="13">
        <v>-8236.7800000000007</v>
      </c>
      <c r="H243" s="12">
        <v>-6275.4049999999997</v>
      </c>
      <c r="I243" s="12">
        <v>1215.4970000000001</v>
      </c>
      <c r="J243" s="12">
        <v>-1215.4970000000001</v>
      </c>
      <c r="K243" t="s">
        <v>572</v>
      </c>
      <c r="L243" t="s">
        <v>88</v>
      </c>
      <c r="M243" t="s">
        <v>14</v>
      </c>
    </row>
    <row r="244" spans="1:13">
      <c r="A244" t="s">
        <v>550</v>
      </c>
      <c r="B244" s="10">
        <v>43504</v>
      </c>
      <c r="C244" t="s">
        <v>13</v>
      </c>
      <c r="D244" t="s">
        <v>573</v>
      </c>
      <c r="E244" t="s">
        <v>1592</v>
      </c>
      <c r="F244" t="s">
        <v>15</v>
      </c>
      <c r="G244" s="11">
        <v>-3541.25</v>
      </c>
      <c r="H244" s="12">
        <v>-3593.0529999999999</v>
      </c>
      <c r="I244" s="12">
        <v>1138.441</v>
      </c>
      <c r="J244" s="12">
        <v>-1138.441</v>
      </c>
      <c r="K244" t="s">
        <v>574</v>
      </c>
      <c r="L244" t="s">
        <v>575</v>
      </c>
      <c r="M244" t="s">
        <v>576</v>
      </c>
    </row>
    <row r="245" spans="1:13">
      <c r="A245" t="s">
        <v>550</v>
      </c>
      <c r="B245" s="10">
        <v>43537</v>
      </c>
      <c r="C245" t="s">
        <v>13</v>
      </c>
      <c r="D245" t="s">
        <v>577</v>
      </c>
      <c r="E245" t="s">
        <v>14</v>
      </c>
      <c r="F245" t="s">
        <v>456</v>
      </c>
      <c r="G245" s="13">
        <v>-1376.12</v>
      </c>
      <c r="H245" s="12">
        <v>-1048.433</v>
      </c>
      <c r="I245" s="12">
        <v>1048.433</v>
      </c>
      <c r="J245" s="12">
        <v>-1048.433</v>
      </c>
      <c r="K245" t="s">
        <v>578</v>
      </c>
      <c r="L245" t="s">
        <v>155</v>
      </c>
      <c r="M245" t="s">
        <v>579</v>
      </c>
    </row>
    <row r="246" spans="1:13">
      <c r="A246" t="s">
        <v>550</v>
      </c>
      <c r="B246" s="10">
        <v>43538</v>
      </c>
      <c r="C246" t="s">
        <v>13</v>
      </c>
      <c r="D246" t="s">
        <v>580</v>
      </c>
      <c r="E246" t="s">
        <v>1595</v>
      </c>
      <c r="F246" t="s">
        <v>15</v>
      </c>
      <c r="G246" s="11">
        <v>-4767.25</v>
      </c>
      <c r="H246" s="12">
        <v>-4832.625</v>
      </c>
      <c r="I246" s="12">
        <v>520.125</v>
      </c>
      <c r="J246" s="12">
        <v>-520.125</v>
      </c>
      <c r="K246" t="s">
        <v>581</v>
      </c>
      <c r="L246" t="s">
        <v>575</v>
      </c>
      <c r="M246" t="s">
        <v>582</v>
      </c>
    </row>
    <row r="247" spans="1:13">
      <c r="A247" t="s">
        <v>550</v>
      </c>
      <c r="B247" s="10">
        <v>43538</v>
      </c>
      <c r="C247" t="s">
        <v>13</v>
      </c>
      <c r="D247" t="s">
        <v>580</v>
      </c>
      <c r="E247" t="s">
        <v>1596</v>
      </c>
      <c r="F247" t="s">
        <v>15</v>
      </c>
      <c r="G247" s="11">
        <v>-4767.25</v>
      </c>
      <c r="H247" s="12">
        <v>-4832.625</v>
      </c>
      <c r="I247" s="12">
        <v>520.125</v>
      </c>
      <c r="J247" s="12">
        <v>-520.125</v>
      </c>
      <c r="K247" t="s">
        <v>581</v>
      </c>
      <c r="L247" t="s">
        <v>575</v>
      </c>
      <c r="M247" t="s">
        <v>582</v>
      </c>
    </row>
    <row r="248" spans="1:13">
      <c r="A248" t="s">
        <v>550</v>
      </c>
      <c r="B248" s="10">
        <v>43538</v>
      </c>
      <c r="C248" t="s">
        <v>13</v>
      </c>
      <c r="D248" t="s">
        <v>580</v>
      </c>
      <c r="E248" t="s">
        <v>1593</v>
      </c>
      <c r="F248" t="s">
        <v>15</v>
      </c>
      <c r="G248" s="11">
        <v>-4767.25</v>
      </c>
      <c r="H248" s="12">
        <v>-4832.625</v>
      </c>
      <c r="I248" s="12">
        <v>520.125</v>
      </c>
      <c r="J248" s="12">
        <v>-520.125</v>
      </c>
      <c r="K248" t="s">
        <v>581</v>
      </c>
      <c r="L248" t="s">
        <v>575</v>
      </c>
      <c r="M248" t="s">
        <v>582</v>
      </c>
    </row>
    <row r="249" spans="1:13">
      <c r="A249" t="s">
        <v>550</v>
      </c>
      <c r="B249" s="10">
        <v>43538</v>
      </c>
      <c r="C249" t="s">
        <v>13</v>
      </c>
      <c r="D249" t="s">
        <v>580</v>
      </c>
      <c r="E249" t="s">
        <v>1594</v>
      </c>
      <c r="F249" t="s">
        <v>15</v>
      </c>
      <c r="G249" s="11">
        <v>-4767.25</v>
      </c>
      <c r="H249" s="12">
        <v>-4832.625</v>
      </c>
      <c r="I249" s="12">
        <v>520.125</v>
      </c>
      <c r="J249" s="12">
        <v>-520.125</v>
      </c>
      <c r="K249" t="s">
        <v>581</v>
      </c>
      <c r="L249" t="s">
        <v>575</v>
      </c>
      <c r="M249" t="s">
        <v>582</v>
      </c>
    </row>
    <row r="250" spans="1:13">
      <c r="A250" t="s">
        <v>550</v>
      </c>
      <c r="B250" s="10">
        <v>43558</v>
      </c>
      <c r="C250" t="s">
        <v>13</v>
      </c>
      <c r="D250" t="s">
        <v>583</v>
      </c>
      <c r="E250" t="s">
        <v>14</v>
      </c>
      <c r="F250" t="s">
        <v>15</v>
      </c>
      <c r="G250" s="11">
        <v>-385.45</v>
      </c>
      <c r="H250" s="12">
        <v>-390.75900000000001</v>
      </c>
      <c r="I250" s="12">
        <v>390.75900000000001</v>
      </c>
      <c r="J250" s="12">
        <v>-390.75900000000001</v>
      </c>
      <c r="K250" t="s">
        <v>584</v>
      </c>
      <c r="L250" t="s">
        <v>88</v>
      </c>
      <c r="M250" t="s">
        <v>585</v>
      </c>
    </row>
    <row r="251" spans="1:13">
      <c r="A251" t="s">
        <v>550</v>
      </c>
      <c r="B251" s="10">
        <v>43868</v>
      </c>
      <c r="C251" t="s">
        <v>13</v>
      </c>
      <c r="D251" t="s">
        <v>586</v>
      </c>
      <c r="E251" t="s">
        <v>1597</v>
      </c>
      <c r="F251" t="s">
        <v>15</v>
      </c>
      <c r="G251" s="11">
        <v>-1350</v>
      </c>
      <c r="H251" s="12">
        <v>-1369</v>
      </c>
      <c r="I251" s="12">
        <v>228.167</v>
      </c>
      <c r="J251" s="12">
        <v>-228.167</v>
      </c>
      <c r="K251" t="s">
        <v>587</v>
      </c>
      <c r="L251" t="s">
        <v>575</v>
      </c>
      <c r="M251" t="s">
        <v>588</v>
      </c>
    </row>
    <row r="252" spans="1:13">
      <c r="A252" t="s">
        <v>550</v>
      </c>
      <c r="B252" s="10">
        <v>43868</v>
      </c>
      <c r="C252" t="s">
        <v>13</v>
      </c>
      <c r="D252" t="s">
        <v>586</v>
      </c>
      <c r="E252" t="s">
        <v>1598</v>
      </c>
      <c r="F252" t="s">
        <v>15</v>
      </c>
      <c r="G252" s="11">
        <v>-1350</v>
      </c>
      <c r="H252" s="12">
        <v>-1369</v>
      </c>
      <c r="I252" s="12">
        <v>228.167</v>
      </c>
      <c r="J252" s="12">
        <v>-228.167</v>
      </c>
      <c r="K252" t="s">
        <v>587</v>
      </c>
      <c r="L252" t="s">
        <v>575</v>
      </c>
      <c r="M252" t="s">
        <v>588</v>
      </c>
    </row>
    <row r="253" spans="1:13">
      <c r="A253" t="s">
        <v>550</v>
      </c>
      <c r="B253" s="10">
        <v>43868</v>
      </c>
      <c r="C253" t="s">
        <v>13</v>
      </c>
      <c r="D253" t="s">
        <v>586</v>
      </c>
      <c r="E253" t="s">
        <v>1599</v>
      </c>
      <c r="F253" t="s">
        <v>15</v>
      </c>
      <c r="G253" s="11">
        <v>-1350</v>
      </c>
      <c r="H253" s="12">
        <v>-1369</v>
      </c>
      <c r="I253" s="12">
        <v>228.167</v>
      </c>
      <c r="J253" s="12">
        <v>-228.167</v>
      </c>
      <c r="K253" t="s">
        <v>587</v>
      </c>
      <c r="L253" t="s">
        <v>575</v>
      </c>
      <c r="M253" t="s">
        <v>588</v>
      </c>
    </row>
    <row r="254" spans="1:13">
      <c r="A254" t="s">
        <v>550</v>
      </c>
      <c r="B254" s="10">
        <v>43707</v>
      </c>
      <c r="C254" t="s">
        <v>13</v>
      </c>
      <c r="D254" t="s">
        <v>589</v>
      </c>
      <c r="E254" t="s">
        <v>1600</v>
      </c>
      <c r="F254" t="s">
        <v>15</v>
      </c>
      <c r="G254" s="11">
        <v>-175</v>
      </c>
      <c r="H254" s="12">
        <v>-177.37200000000001</v>
      </c>
      <c r="I254" s="12">
        <v>5.0659999999999998</v>
      </c>
      <c r="J254" s="12">
        <v>-5.0659999999999998</v>
      </c>
      <c r="K254" t="s">
        <v>590</v>
      </c>
      <c r="L254" t="s">
        <v>575</v>
      </c>
      <c r="M254" t="s">
        <v>591</v>
      </c>
    </row>
    <row r="255" spans="1:13">
      <c r="A255" t="s">
        <v>550</v>
      </c>
      <c r="B255" s="10">
        <v>43525</v>
      </c>
      <c r="C255" t="s">
        <v>13</v>
      </c>
      <c r="D255" t="s">
        <v>592</v>
      </c>
      <c r="E255" t="s">
        <v>14</v>
      </c>
      <c r="F255" t="s">
        <v>593</v>
      </c>
      <c r="G255" s="15">
        <v>-1</v>
      </c>
      <c r="H255" s="12">
        <v>-1.135</v>
      </c>
      <c r="I255" s="12">
        <v>1.135</v>
      </c>
      <c r="J255" s="12">
        <v>-335.62200000000001</v>
      </c>
      <c r="K255" t="s">
        <v>594</v>
      </c>
      <c r="L255" t="s">
        <v>88</v>
      </c>
      <c r="M255" t="s">
        <v>14</v>
      </c>
    </row>
    <row r="256" spans="1:13">
      <c r="A256" t="s">
        <v>550</v>
      </c>
      <c r="B256" s="10">
        <v>43571</v>
      </c>
      <c r="C256" t="s">
        <v>13</v>
      </c>
      <c r="D256" t="s">
        <v>595</v>
      </c>
      <c r="E256" t="s">
        <v>1602</v>
      </c>
      <c r="F256" t="s">
        <v>15</v>
      </c>
      <c r="G256" s="11">
        <v>-15178</v>
      </c>
      <c r="H256" s="12">
        <v>-15479.468999999999</v>
      </c>
      <c r="I256" s="12">
        <v>0.876</v>
      </c>
      <c r="J256" s="12">
        <v>-344.68799999999999</v>
      </c>
      <c r="K256" t="s">
        <v>596</v>
      </c>
      <c r="L256" t="s">
        <v>88</v>
      </c>
      <c r="M256" t="s">
        <v>597</v>
      </c>
    </row>
    <row r="257" spans="1:13">
      <c r="A257" t="s">
        <v>550</v>
      </c>
      <c r="B257" s="10">
        <v>43571</v>
      </c>
      <c r="C257" t="s">
        <v>13</v>
      </c>
      <c r="D257" t="s">
        <v>595</v>
      </c>
      <c r="E257" t="s">
        <v>1601</v>
      </c>
      <c r="F257" t="s">
        <v>15</v>
      </c>
      <c r="G257" s="11">
        <v>-15178</v>
      </c>
      <c r="H257" s="12">
        <v>-15479.468999999999</v>
      </c>
      <c r="I257" s="12">
        <v>0.876</v>
      </c>
      <c r="J257" s="12">
        <v>-344.68799999999999</v>
      </c>
      <c r="K257" t="s">
        <v>596</v>
      </c>
      <c r="L257" t="s">
        <v>88</v>
      </c>
      <c r="M257" t="s">
        <v>597</v>
      </c>
    </row>
    <row r="258" spans="1:13">
      <c r="A258" t="s">
        <v>550</v>
      </c>
      <c r="B258" s="10">
        <v>43749</v>
      </c>
      <c r="C258" t="s">
        <v>13</v>
      </c>
      <c r="D258" t="s">
        <v>598</v>
      </c>
      <c r="E258" t="s">
        <v>1604</v>
      </c>
      <c r="F258" t="s">
        <v>456</v>
      </c>
      <c r="G258" s="13">
        <v>-5486.26</v>
      </c>
      <c r="H258" s="12">
        <v>-4179.8500000000004</v>
      </c>
      <c r="I258" s="12">
        <v>1.4999999999999999E-2</v>
      </c>
      <c r="J258" s="12">
        <v>-1.4999999999999999E-2</v>
      </c>
      <c r="K258" t="s">
        <v>599</v>
      </c>
      <c r="L258" t="s">
        <v>389</v>
      </c>
      <c r="M258" t="s">
        <v>600</v>
      </c>
    </row>
    <row r="259" spans="1:13">
      <c r="A259" t="s">
        <v>550</v>
      </c>
      <c r="B259" s="10">
        <v>43749</v>
      </c>
      <c r="C259" t="s">
        <v>13</v>
      </c>
      <c r="D259" t="s">
        <v>598</v>
      </c>
      <c r="E259" t="s">
        <v>1603</v>
      </c>
      <c r="F259" t="s">
        <v>456</v>
      </c>
      <c r="G259" s="13">
        <v>-5486.26</v>
      </c>
      <c r="H259" s="12">
        <v>-4179.8500000000004</v>
      </c>
      <c r="I259" s="12">
        <v>1.4999999999999999E-2</v>
      </c>
      <c r="J259" s="12">
        <v>-1.4999999999999999E-2</v>
      </c>
      <c r="K259" t="s">
        <v>599</v>
      </c>
      <c r="L259" t="s">
        <v>389</v>
      </c>
      <c r="M259" t="s">
        <v>600</v>
      </c>
    </row>
    <row r="260" spans="1:13">
      <c r="A260" t="s">
        <v>601</v>
      </c>
      <c r="B260" s="10">
        <v>45581</v>
      </c>
      <c r="C260" t="s">
        <v>13</v>
      </c>
      <c r="D260" t="s">
        <v>604</v>
      </c>
      <c r="E260" t="s">
        <v>14</v>
      </c>
      <c r="F260" t="s">
        <v>605</v>
      </c>
      <c r="G260" s="17">
        <v>-31991</v>
      </c>
      <c r="H260" s="12">
        <v>-20152.823</v>
      </c>
      <c r="I260" s="12">
        <v>20152.823</v>
      </c>
      <c r="J260" s="12">
        <v>-20152.823</v>
      </c>
      <c r="K260" t="s">
        <v>606</v>
      </c>
      <c r="L260" t="s">
        <v>603</v>
      </c>
      <c r="M260" t="s">
        <v>607</v>
      </c>
    </row>
    <row r="261" spans="1:13">
      <c r="A261" t="s">
        <v>601</v>
      </c>
      <c r="B261" s="10">
        <v>46121</v>
      </c>
      <c r="C261" t="s">
        <v>13</v>
      </c>
      <c r="D261" t="s">
        <v>608</v>
      </c>
      <c r="E261" t="s">
        <v>14</v>
      </c>
      <c r="F261" t="s">
        <v>602</v>
      </c>
      <c r="G261" s="16">
        <v>-18480</v>
      </c>
      <c r="H261" s="12">
        <v>-13203.96</v>
      </c>
      <c r="I261" s="12">
        <v>13203.96</v>
      </c>
      <c r="J261" s="12">
        <v>-26251.494999999999</v>
      </c>
      <c r="K261" t="s">
        <v>609</v>
      </c>
      <c r="L261" t="s">
        <v>603</v>
      </c>
      <c r="M261" t="s">
        <v>610</v>
      </c>
    </row>
    <row r="262" spans="1:13">
      <c r="A262" t="s">
        <v>601</v>
      </c>
      <c r="B262" s="10">
        <v>46133</v>
      </c>
      <c r="C262" t="s">
        <v>13</v>
      </c>
      <c r="D262" t="s">
        <v>611</v>
      </c>
      <c r="E262" t="s">
        <v>14</v>
      </c>
      <c r="F262" t="s">
        <v>602</v>
      </c>
      <c r="G262" s="16">
        <v>-16500</v>
      </c>
      <c r="H262" s="12">
        <v>-11789.25</v>
      </c>
      <c r="I262" s="12">
        <v>11789.25</v>
      </c>
      <c r="J262" s="12">
        <v>-26251.494999999999</v>
      </c>
      <c r="K262" t="s">
        <v>609</v>
      </c>
      <c r="L262" t="s">
        <v>603</v>
      </c>
      <c r="M262" t="s">
        <v>612</v>
      </c>
    </row>
    <row r="263" spans="1:13">
      <c r="A263" t="s">
        <v>601</v>
      </c>
      <c r="B263" s="10">
        <v>44950</v>
      </c>
      <c r="C263" t="s">
        <v>13</v>
      </c>
      <c r="D263" t="s">
        <v>613</v>
      </c>
      <c r="E263" t="s">
        <v>14</v>
      </c>
      <c r="F263" t="s">
        <v>602</v>
      </c>
      <c r="G263" s="16">
        <v>-8008</v>
      </c>
      <c r="H263" s="12">
        <v>-5721.7160000000003</v>
      </c>
      <c r="I263" s="12">
        <v>5721.7160000000003</v>
      </c>
      <c r="J263" s="12">
        <v>-5721.7160000000003</v>
      </c>
      <c r="K263" t="s">
        <v>614</v>
      </c>
      <c r="L263" t="s">
        <v>14</v>
      </c>
      <c r="M263" t="s">
        <v>615</v>
      </c>
    </row>
    <row r="264" spans="1:13">
      <c r="A264" t="s">
        <v>601</v>
      </c>
      <c r="B264" s="10">
        <v>44916</v>
      </c>
      <c r="C264" t="s">
        <v>13</v>
      </c>
      <c r="D264" t="s">
        <v>616</v>
      </c>
      <c r="E264" t="s">
        <v>1605</v>
      </c>
      <c r="F264" t="s">
        <v>602</v>
      </c>
      <c r="G264" s="16">
        <v>-15400</v>
      </c>
      <c r="H264" s="12">
        <v>-11003.3</v>
      </c>
      <c r="I264" s="12">
        <v>5501.65</v>
      </c>
      <c r="J264" s="12">
        <v>-5501.65</v>
      </c>
      <c r="K264" t="s">
        <v>617</v>
      </c>
      <c r="L264" t="s">
        <v>603</v>
      </c>
      <c r="M264" t="s">
        <v>618</v>
      </c>
    </row>
    <row r="265" spans="1:13">
      <c r="A265" t="s">
        <v>601</v>
      </c>
      <c r="B265" s="10">
        <v>45831</v>
      </c>
      <c r="C265" t="s">
        <v>13</v>
      </c>
      <c r="D265" t="s">
        <v>619</v>
      </c>
      <c r="E265" t="s">
        <v>14</v>
      </c>
      <c r="F265" t="s">
        <v>602</v>
      </c>
      <c r="G265" s="16">
        <v>-6184.2</v>
      </c>
      <c r="H265" s="12">
        <v>-4418.6109999999999</v>
      </c>
      <c r="I265" s="12">
        <v>4418.6109999999999</v>
      </c>
      <c r="J265" s="12">
        <v>-4418.6109999999999</v>
      </c>
      <c r="K265" t="s">
        <v>620</v>
      </c>
      <c r="L265" t="s">
        <v>603</v>
      </c>
      <c r="M265" t="s">
        <v>621</v>
      </c>
    </row>
    <row r="266" spans="1:13">
      <c r="A266" t="s">
        <v>601</v>
      </c>
      <c r="B266" s="10">
        <v>46009</v>
      </c>
      <c r="C266" t="s">
        <v>13</v>
      </c>
      <c r="D266" t="s">
        <v>622</v>
      </c>
      <c r="E266" t="s">
        <v>1606</v>
      </c>
      <c r="F266" t="s">
        <v>602</v>
      </c>
      <c r="G266" s="16">
        <v>-4435.2</v>
      </c>
      <c r="H266" s="12">
        <v>-3168.95</v>
      </c>
      <c r="I266" s="12">
        <v>1584.4749999999999</v>
      </c>
      <c r="J266" s="12">
        <v>0</v>
      </c>
      <c r="K266" t="s">
        <v>623</v>
      </c>
      <c r="L266" t="s">
        <v>14</v>
      </c>
      <c r="M266" t="s">
        <v>624</v>
      </c>
    </row>
    <row r="267" spans="1:13">
      <c r="A267" t="s">
        <v>601</v>
      </c>
      <c r="B267" s="10">
        <v>45099</v>
      </c>
      <c r="C267" t="s">
        <v>13</v>
      </c>
      <c r="D267" t="s">
        <v>625</v>
      </c>
      <c r="E267" t="s">
        <v>1607</v>
      </c>
      <c r="F267" t="s">
        <v>602</v>
      </c>
      <c r="G267" s="16">
        <v>-16370.46</v>
      </c>
      <c r="H267" s="12">
        <v>-11696.694</v>
      </c>
      <c r="I267" s="12">
        <v>1038.4259999999999</v>
      </c>
      <c r="J267" s="12">
        <v>-1038.4259999999999</v>
      </c>
      <c r="K267" t="s">
        <v>626</v>
      </c>
      <c r="L267" t="s">
        <v>603</v>
      </c>
      <c r="M267" t="s">
        <v>627</v>
      </c>
    </row>
    <row r="268" spans="1:13">
      <c r="A268" t="s">
        <v>601</v>
      </c>
      <c r="B268" s="10">
        <v>45250</v>
      </c>
      <c r="C268" t="s">
        <v>13</v>
      </c>
      <c r="D268" t="s">
        <v>628</v>
      </c>
      <c r="E268" t="s">
        <v>1608</v>
      </c>
      <c r="F268" t="s">
        <v>602</v>
      </c>
      <c r="G268" s="16">
        <v>-12743.5</v>
      </c>
      <c r="H268" s="12">
        <v>-9105.2309999999998</v>
      </c>
      <c r="I268" s="12">
        <v>971.43399999999997</v>
      </c>
      <c r="J268" s="12">
        <v>-971.43399999999997</v>
      </c>
      <c r="K268" t="s">
        <v>629</v>
      </c>
      <c r="L268" t="s">
        <v>603</v>
      </c>
      <c r="M268" t="s">
        <v>630</v>
      </c>
    </row>
    <row r="269" spans="1:13">
      <c r="A269" t="s">
        <v>601</v>
      </c>
      <c r="B269" s="10">
        <v>45687</v>
      </c>
      <c r="C269" t="s">
        <v>13</v>
      </c>
      <c r="D269" t="s">
        <v>631</v>
      </c>
      <c r="E269" t="s">
        <v>14</v>
      </c>
      <c r="F269" t="s">
        <v>602</v>
      </c>
      <c r="G269" s="16">
        <v>-1050.5</v>
      </c>
      <c r="H269" s="12">
        <v>-750.58199999999999</v>
      </c>
      <c r="I269" s="12">
        <v>750.58199999999999</v>
      </c>
      <c r="J269" s="12">
        <v>-750.58199999999999</v>
      </c>
      <c r="K269" t="s">
        <v>632</v>
      </c>
      <c r="L269" t="s">
        <v>603</v>
      </c>
      <c r="M269" t="s">
        <v>633</v>
      </c>
    </row>
    <row r="270" spans="1:13">
      <c r="A270" t="s">
        <v>601</v>
      </c>
      <c r="B270" s="10">
        <v>44943</v>
      </c>
      <c r="C270" t="s">
        <v>13</v>
      </c>
      <c r="D270" t="s">
        <v>634</v>
      </c>
      <c r="E270" t="s">
        <v>14</v>
      </c>
      <c r="F270" t="s">
        <v>602</v>
      </c>
      <c r="G270" s="16">
        <v>-986.9</v>
      </c>
      <c r="H270" s="12">
        <v>-705.14</v>
      </c>
      <c r="I270" s="12">
        <v>705.14</v>
      </c>
      <c r="J270" s="12">
        <v>-705.14</v>
      </c>
      <c r="K270" t="s">
        <v>635</v>
      </c>
      <c r="L270" t="s">
        <v>14</v>
      </c>
      <c r="M270" t="s">
        <v>636</v>
      </c>
    </row>
    <row r="271" spans="1:13">
      <c r="A271" t="s">
        <v>601</v>
      </c>
      <c r="B271" s="10">
        <v>46136</v>
      </c>
      <c r="C271" t="s">
        <v>13</v>
      </c>
      <c r="D271" t="s">
        <v>637</v>
      </c>
      <c r="E271" t="s">
        <v>14</v>
      </c>
      <c r="F271" t="s">
        <v>602</v>
      </c>
      <c r="G271" s="16">
        <v>-741</v>
      </c>
      <c r="H271" s="12">
        <v>-529.44500000000005</v>
      </c>
      <c r="I271" s="12">
        <v>529.44500000000005</v>
      </c>
      <c r="J271" s="12">
        <v>-26251.494999999999</v>
      </c>
      <c r="K271" t="s">
        <v>609</v>
      </c>
      <c r="L271" t="s">
        <v>603</v>
      </c>
      <c r="M271" t="s">
        <v>638</v>
      </c>
    </row>
    <row r="272" spans="1:13">
      <c r="A272" t="s">
        <v>601</v>
      </c>
      <c r="B272" s="10">
        <v>44833</v>
      </c>
      <c r="C272" t="s">
        <v>13</v>
      </c>
      <c r="D272" t="s">
        <v>639</v>
      </c>
      <c r="E272" t="s">
        <v>14</v>
      </c>
      <c r="F272" t="s">
        <v>602</v>
      </c>
      <c r="G272" s="16">
        <v>-550</v>
      </c>
      <c r="H272" s="12">
        <v>-392.97500000000002</v>
      </c>
      <c r="I272" s="12">
        <v>392.97500000000002</v>
      </c>
      <c r="J272" s="12">
        <v>-26251.494999999999</v>
      </c>
      <c r="K272" t="s">
        <v>609</v>
      </c>
      <c r="L272" t="s">
        <v>603</v>
      </c>
      <c r="M272" t="s">
        <v>640</v>
      </c>
    </row>
    <row r="273" spans="1:13">
      <c r="A273" t="s">
        <v>601</v>
      </c>
      <c r="B273" s="10">
        <v>44699</v>
      </c>
      <c r="C273" t="s">
        <v>13</v>
      </c>
      <c r="D273" t="s">
        <v>641</v>
      </c>
      <c r="E273" t="s">
        <v>1609</v>
      </c>
      <c r="F273" t="s">
        <v>602</v>
      </c>
      <c r="G273" s="16">
        <v>-963.9</v>
      </c>
      <c r="H273" s="12">
        <v>-688.70699999999999</v>
      </c>
      <c r="I273" s="12">
        <v>327.95600000000002</v>
      </c>
      <c r="J273" s="12">
        <v>-327.95600000000002</v>
      </c>
      <c r="K273" t="s">
        <v>642</v>
      </c>
      <c r="L273" t="s">
        <v>14</v>
      </c>
      <c r="M273" t="s">
        <v>643</v>
      </c>
    </row>
    <row r="274" spans="1:13">
      <c r="A274" t="s">
        <v>601</v>
      </c>
      <c r="B274" s="10">
        <v>45075</v>
      </c>
      <c r="C274" t="s">
        <v>13</v>
      </c>
      <c r="D274" t="s">
        <v>644</v>
      </c>
      <c r="E274" t="s">
        <v>1610</v>
      </c>
      <c r="F274" t="s">
        <v>602</v>
      </c>
      <c r="G274" s="16">
        <v>-20630.21</v>
      </c>
      <c r="H274" s="12">
        <v>-14740.285</v>
      </c>
      <c r="I274" s="12">
        <v>289.02199999999999</v>
      </c>
      <c r="J274" s="12">
        <v>-289.02199999999999</v>
      </c>
      <c r="K274" t="s">
        <v>645</v>
      </c>
      <c r="L274" t="s">
        <v>14</v>
      </c>
      <c r="M274" t="s">
        <v>646</v>
      </c>
    </row>
    <row r="275" spans="1:13">
      <c r="A275" t="s">
        <v>601</v>
      </c>
      <c r="B275" s="10">
        <v>46132</v>
      </c>
      <c r="C275" t="s">
        <v>13</v>
      </c>
      <c r="D275" t="s">
        <v>647</v>
      </c>
      <c r="E275" t="s">
        <v>14</v>
      </c>
      <c r="F275" t="s">
        <v>602</v>
      </c>
      <c r="G275" s="16">
        <v>-281.35000000000002</v>
      </c>
      <c r="H275" s="12">
        <v>-201.02500000000001</v>
      </c>
      <c r="I275" s="12">
        <v>201.02500000000001</v>
      </c>
      <c r="J275" s="12">
        <v>-26251.494999999999</v>
      </c>
      <c r="K275" t="s">
        <v>609</v>
      </c>
      <c r="L275" t="s">
        <v>603</v>
      </c>
      <c r="M275" t="s">
        <v>648</v>
      </c>
    </row>
    <row r="276" spans="1:13">
      <c r="A276" t="s">
        <v>601</v>
      </c>
      <c r="B276" s="10">
        <v>46139</v>
      </c>
      <c r="C276" t="s">
        <v>13</v>
      </c>
      <c r="D276" t="s">
        <v>649</v>
      </c>
      <c r="E276" t="s">
        <v>14</v>
      </c>
      <c r="F276" t="s">
        <v>602</v>
      </c>
      <c r="G276" s="16">
        <v>-188.72</v>
      </c>
      <c r="H276" s="12">
        <v>-134.84</v>
      </c>
      <c r="I276" s="12">
        <v>134.84</v>
      </c>
      <c r="J276" s="12">
        <v>-26251.494999999999</v>
      </c>
      <c r="K276" t="s">
        <v>609</v>
      </c>
      <c r="L276" t="s">
        <v>603</v>
      </c>
      <c r="M276" t="s">
        <v>650</v>
      </c>
    </row>
    <row r="277" spans="1:13">
      <c r="A277" t="s">
        <v>601</v>
      </c>
      <c r="B277" s="10">
        <v>44698</v>
      </c>
      <c r="C277" t="s">
        <v>13</v>
      </c>
      <c r="D277" t="s">
        <v>651</v>
      </c>
      <c r="E277" t="s">
        <v>1611</v>
      </c>
      <c r="F277" t="s">
        <v>602</v>
      </c>
      <c r="G277" s="16">
        <v>-7412.4</v>
      </c>
      <c r="H277" s="12">
        <v>-5296.16</v>
      </c>
      <c r="I277" s="12">
        <v>108.89</v>
      </c>
      <c r="J277" s="12">
        <v>-108.89</v>
      </c>
      <c r="K277" t="s">
        <v>652</v>
      </c>
      <c r="L277" t="s">
        <v>14</v>
      </c>
      <c r="M277" t="s">
        <v>653</v>
      </c>
    </row>
    <row r="278" spans="1:13">
      <c r="A278" t="s">
        <v>654</v>
      </c>
      <c r="B278" s="10">
        <v>45848</v>
      </c>
      <c r="C278" t="s">
        <v>13</v>
      </c>
      <c r="D278" t="s">
        <v>655</v>
      </c>
      <c r="E278" t="s">
        <v>1612</v>
      </c>
      <c r="F278" t="s">
        <v>15</v>
      </c>
      <c r="G278" s="11">
        <v>-12937.5</v>
      </c>
      <c r="H278" s="12">
        <v>-12937.037</v>
      </c>
      <c r="I278" s="12">
        <v>2587.4070000000002</v>
      </c>
      <c r="J278" s="12">
        <v>-2587.4070000000002</v>
      </c>
      <c r="K278" t="s">
        <v>656</v>
      </c>
      <c r="L278" t="s">
        <v>14</v>
      </c>
      <c r="M278" t="s">
        <v>657</v>
      </c>
    </row>
    <row r="279" spans="1:13">
      <c r="A279" t="s">
        <v>654</v>
      </c>
      <c r="B279" s="10">
        <v>44995</v>
      </c>
      <c r="C279" t="s">
        <v>13</v>
      </c>
      <c r="D279" t="s">
        <v>658</v>
      </c>
      <c r="E279" t="s">
        <v>1614</v>
      </c>
      <c r="F279" t="s">
        <v>659</v>
      </c>
      <c r="G279" s="18">
        <v>-66584.600000000006</v>
      </c>
      <c r="H279" s="12">
        <v>-8498.7250000000004</v>
      </c>
      <c r="I279" s="12">
        <v>272.96699999999998</v>
      </c>
      <c r="J279" s="12">
        <v>-272.96699999999998</v>
      </c>
      <c r="K279" t="s">
        <v>660</v>
      </c>
      <c r="L279" t="s">
        <v>14</v>
      </c>
      <c r="M279" t="s">
        <v>661</v>
      </c>
    </row>
    <row r="280" spans="1:13">
      <c r="A280" t="s">
        <v>654</v>
      </c>
      <c r="B280" s="10">
        <v>44995</v>
      </c>
      <c r="C280" t="s">
        <v>13</v>
      </c>
      <c r="D280" t="s">
        <v>658</v>
      </c>
      <c r="E280" t="s">
        <v>1613</v>
      </c>
      <c r="F280" t="s">
        <v>659</v>
      </c>
      <c r="G280" s="18">
        <v>-66584.600000000006</v>
      </c>
      <c r="H280" s="12">
        <v>-8498.7250000000004</v>
      </c>
      <c r="I280" s="12">
        <v>272.96699999999998</v>
      </c>
      <c r="J280" s="12">
        <v>-272.96699999999998</v>
      </c>
      <c r="K280" t="s">
        <v>660</v>
      </c>
      <c r="L280" t="s">
        <v>14</v>
      </c>
      <c r="M280" t="s">
        <v>661</v>
      </c>
    </row>
    <row r="281" spans="1:13">
      <c r="A281" t="s">
        <v>662</v>
      </c>
      <c r="B281" s="10">
        <v>45093</v>
      </c>
      <c r="C281" t="s">
        <v>13</v>
      </c>
      <c r="D281" t="s">
        <v>663</v>
      </c>
      <c r="E281" t="s">
        <v>14</v>
      </c>
      <c r="F281" t="s">
        <v>664</v>
      </c>
      <c r="G281" s="19">
        <v>-34003.79</v>
      </c>
      <c r="H281" s="12">
        <v>-26612.216</v>
      </c>
      <c r="I281" s="12">
        <v>26612.216</v>
      </c>
      <c r="J281" s="12">
        <v>-26612.216</v>
      </c>
      <c r="K281" t="s">
        <v>665</v>
      </c>
      <c r="L281" t="s">
        <v>14</v>
      </c>
      <c r="M281" t="s">
        <v>666</v>
      </c>
    </row>
    <row r="282" spans="1:13">
      <c r="A282" t="s">
        <v>662</v>
      </c>
      <c r="B282" s="10">
        <v>45093</v>
      </c>
      <c r="C282" t="s">
        <v>13</v>
      </c>
      <c r="D282" t="s">
        <v>667</v>
      </c>
      <c r="E282" t="s">
        <v>14</v>
      </c>
      <c r="F282" t="s">
        <v>593</v>
      </c>
      <c r="G282" s="15">
        <v>-22932</v>
      </c>
      <c r="H282" s="12">
        <v>-25232.159</v>
      </c>
      <c r="I282" s="12">
        <v>25232.159</v>
      </c>
      <c r="J282" s="12">
        <v>-48223.02</v>
      </c>
      <c r="K282" t="s">
        <v>668</v>
      </c>
      <c r="L282" t="s">
        <v>14</v>
      </c>
      <c r="M282" t="s">
        <v>669</v>
      </c>
    </row>
    <row r="283" spans="1:13">
      <c r="A283" t="s">
        <v>662</v>
      </c>
      <c r="B283" s="10">
        <v>45093</v>
      </c>
      <c r="C283" t="s">
        <v>13</v>
      </c>
      <c r="D283" t="s">
        <v>670</v>
      </c>
      <c r="E283" t="s">
        <v>14</v>
      </c>
      <c r="F283" t="s">
        <v>664</v>
      </c>
      <c r="G283" s="19">
        <v>-29376.6</v>
      </c>
      <c r="H283" s="12">
        <v>-22990.862000000001</v>
      </c>
      <c r="I283" s="12">
        <v>22990.862000000001</v>
      </c>
      <c r="J283" s="12">
        <v>-48223.02</v>
      </c>
      <c r="K283" t="s">
        <v>668</v>
      </c>
      <c r="L283" t="s">
        <v>14</v>
      </c>
      <c r="M283" t="s">
        <v>671</v>
      </c>
    </row>
    <row r="284" spans="1:13">
      <c r="A284" t="s">
        <v>662</v>
      </c>
      <c r="B284" s="10">
        <v>45093</v>
      </c>
      <c r="C284" t="s">
        <v>13</v>
      </c>
      <c r="D284" t="s">
        <v>672</v>
      </c>
      <c r="E284" t="s">
        <v>14</v>
      </c>
      <c r="F284" t="s">
        <v>664</v>
      </c>
      <c r="G284" s="19">
        <v>-15334</v>
      </c>
      <c r="H284" s="12">
        <v>-12000.772000000001</v>
      </c>
      <c r="I284" s="12">
        <v>12000.772000000001</v>
      </c>
      <c r="J284" s="12">
        <v>-16462</v>
      </c>
      <c r="K284" t="s">
        <v>673</v>
      </c>
      <c r="L284" t="s">
        <v>14</v>
      </c>
      <c r="M284" t="s">
        <v>674</v>
      </c>
    </row>
    <row r="285" spans="1:13">
      <c r="A285" t="s">
        <v>662</v>
      </c>
      <c r="B285" s="10">
        <v>45712</v>
      </c>
      <c r="C285" t="s">
        <v>13</v>
      </c>
      <c r="D285" t="s">
        <v>675</v>
      </c>
      <c r="E285" t="s">
        <v>1615</v>
      </c>
      <c r="F285" t="s">
        <v>15</v>
      </c>
      <c r="G285" s="11">
        <v>-46200</v>
      </c>
      <c r="H285" s="12">
        <v>-47256.743999999999</v>
      </c>
      <c r="I285" s="12">
        <v>11814.186</v>
      </c>
      <c r="J285" s="12">
        <v>1148.6669999999999</v>
      </c>
      <c r="K285" t="s">
        <v>676</v>
      </c>
      <c r="L285" t="s">
        <v>14</v>
      </c>
      <c r="M285" t="s">
        <v>677</v>
      </c>
    </row>
    <row r="286" spans="1:13">
      <c r="A286" t="s">
        <v>662</v>
      </c>
      <c r="B286" s="10">
        <v>45093</v>
      </c>
      <c r="C286" t="s">
        <v>13</v>
      </c>
      <c r="D286" t="s">
        <v>678</v>
      </c>
      <c r="E286" t="s">
        <v>14</v>
      </c>
      <c r="F286" t="s">
        <v>593</v>
      </c>
      <c r="G286" s="15">
        <v>-10479.58</v>
      </c>
      <c r="H286" s="12">
        <v>-11467.601000000001</v>
      </c>
      <c r="I286" s="12">
        <v>11467.601000000001</v>
      </c>
      <c r="J286" s="12">
        <v>-11467.601000000001</v>
      </c>
      <c r="K286" t="s">
        <v>679</v>
      </c>
      <c r="L286" t="s">
        <v>14</v>
      </c>
      <c r="M286" t="s">
        <v>680</v>
      </c>
    </row>
    <row r="287" spans="1:13">
      <c r="A287" t="s">
        <v>662</v>
      </c>
      <c r="B287" s="10">
        <v>46024</v>
      </c>
      <c r="C287" t="s">
        <v>13</v>
      </c>
      <c r="D287" t="s">
        <v>681</v>
      </c>
      <c r="E287" t="s">
        <v>1616</v>
      </c>
      <c r="F287" t="s">
        <v>15</v>
      </c>
      <c r="G287" s="11">
        <v>-70186.67</v>
      </c>
      <c r="H287" s="12">
        <v>-70600.781000000003</v>
      </c>
      <c r="I287" s="12">
        <v>7564.3680000000004</v>
      </c>
      <c r="J287" s="12">
        <v>-7564.3680000000004</v>
      </c>
      <c r="K287" t="s">
        <v>682</v>
      </c>
      <c r="L287" t="s">
        <v>14</v>
      </c>
      <c r="M287" t="s">
        <v>14</v>
      </c>
    </row>
    <row r="288" spans="1:13">
      <c r="A288" t="s">
        <v>662</v>
      </c>
      <c r="B288" s="10">
        <v>45093</v>
      </c>
      <c r="C288" t="s">
        <v>13</v>
      </c>
      <c r="D288" t="s">
        <v>683</v>
      </c>
      <c r="E288" t="s">
        <v>14</v>
      </c>
      <c r="F288" t="s">
        <v>664</v>
      </c>
      <c r="G288" s="19">
        <v>-7074.6</v>
      </c>
      <c r="H288" s="12">
        <v>-5536.759</v>
      </c>
      <c r="I288" s="12">
        <v>5536.759</v>
      </c>
      <c r="J288" s="12">
        <v>-5536.759</v>
      </c>
      <c r="K288" t="s">
        <v>684</v>
      </c>
      <c r="L288" t="s">
        <v>14</v>
      </c>
      <c r="M288" t="s">
        <v>685</v>
      </c>
    </row>
    <row r="289" spans="1:13">
      <c r="A289" t="s">
        <v>662</v>
      </c>
      <c r="B289" s="10">
        <v>46038</v>
      </c>
      <c r="C289" t="s">
        <v>13</v>
      </c>
      <c r="D289" t="s">
        <v>686</v>
      </c>
      <c r="E289" t="s">
        <v>1617</v>
      </c>
      <c r="F289" t="s">
        <v>15</v>
      </c>
      <c r="G289" s="11">
        <v>-10080</v>
      </c>
      <c r="H289" s="12">
        <v>-9954.8490000000002</v>
      </c>
      <c r="I289" s="12">
        <v>4977.4250000000002</v>
      </c>
      <c r="J289" s="12">
        <v>-4977.4250000000002</v>
      </c>
      <c r="K289" t="s">
        <v>687</v>
      </c>
      <c r="L289" t="s">
        <v>14</v>
      </c>
      <c r="M289" t="s">
        <v>688</v>
      </c>
    </row>
    <row r="290" spans="1:13">
      <c r="A290" t="s">
        <v>662</v>
      </c>
      <c r="B290" s="10">
        <v>45973</v>
      </c>
      <c r="C290" t="s">
        <v>484</v>
      </c>
      <c r="D290" t="s">
        <v>689</v>
      </c>
      <c r="E290" t="s">
        <v>14</v>
      </c>
      <c r="F290" t="s">
        <v>593</v>
      </c>
      <c r="G290" s="15">
        <v>-4054.05</v>
      </c>
      <c r="H290" s="12">
        <v>-4461.2290000000003</v>
      </c>
      <c r="I290" s="12">
        <v>4461.2290000000003</v>
      </c>
      <c r="J290" s="12">
        <v>-16462</v>
      </c>
      <c r="K290" t="s">
        <v>673</v>
      </c>
      <c r="L290" t="s">
        <v>14</v>
      </c>
      <c r="M290" t="s">
        <v>690</v>
      </c>
    </row>
    <row r="291" spans="1:13">
      <c r="A291" t="s">
        <v>662</v>
      </c>
      <c r="B291" s="10">
        <v>45093</v>
      </c>
      <c r="C291" t="s">
        <v>13</v>
      </c>
      <c r="D291" t="s">
        <v>691</v>
      </c>
      <c r="E291" t="s">
        <v>14</v>
      </c>
      <c r="F291" t="s">
        <v>15</v>
      </c>
      <c r="G291" s="11">
        <v>-3888</v>
      </c>
      <c r="H291" s="12">
        <v>-4101.7299999999996</v>
      </c>
      <c r="I291" s="12">
        <v>4101.7299999999996</v>
      </c>
      <c r="J291" s="12">
        <v>-4101.7299999999996</v>
      </c>
      <c r="K291" t="s">
        <v>692</v>
      </c>
      <c r="L291" t="s">
        <v>14</v>
      </c>
      <c r="M291" t="s">
        <v>693</v>
      </c>
    </row>
    <row r="292" spans="1:13">
      <c r="A292" t="s">
        <v>662</v>
      </c>
      <c r="B292" s="10">
        <v>46127</v>
      </c>
      <c r="C292" t="s">
        <v>484</v>
      </c>
      <c r="D292" t="s">
        <v>694</v>
      </c>
      <c r="E292" t="s">
        <v>1618</v>
      </c>
      <c r="F292" t="s">
        <v>15</v>
      </c>
      <c r="G292" s="11">
        <v>-35840</v>
      </c>
      <c r="H292" s="12">
        <v>-35672.517</v>
      </c>
      <c r="I292" s="12">
        <v>3822.0590000000002</v>
      </c>
      <c r="J292" s="12">
        <v>-3822.0590000000002</v>
      </c>
      <c r="K292" t="s">
        <v>695</v>
      </c>
      <c r="L292" t="s">
        <v>14</v>
      </c>
      <c r="M292" t="s">
        <v>696</v>
      </c>
    </row>
    <row r="293" spans="1:13">
      <c r="A293" t="s">
        <v>662</v>
      </c>
      <c r="B293" s="10">
        <v>46127</v>
      </c>
      <c r="C293" t="s">
        <v>13</v>
      </c>
      <c r="D293" t="s">
        <v>697</v>
      </c>
      <c r="E293" t="s">
        <v>1619</v>
      </c>
      <c r="F293" t="s">
        <v>15</v>
      </c>
      <c r="G293" s="11">
        <v>-32076.799999999999</v>
      </c>
      <c r="H293" s="12">
        <v>-31278.687999999998</v>
      </c>
      <c r="I293" s="12">
        <v>3351.2860000000001</v>
      </c>
      <c r="J293" s="12">
        <v>-3351.2860000000001</v>
      </c>
      <c r="K293" t="s">
        <v>698</v>
      </c>
      <c r="L293" t="s">
        <v>14</v>
      </c>
      <c r="M293" t="s">
        <v>699</v>
      </c>
    </row>
    <row r="294" spans="1:13">
      <c r="A294" t="s">
        <v>662</v>
      </c>
      <c r="B294" s="10">
        <v>46146</v>
      </c>
      <c r="C294" t="s">
        <v>13</v>
      </c>
      <c r="D294" t="s">
        <v>1748</v>
      </c>
      <c r="E294" t="s">
        <v>14</v>
      </c>
      <c r="F294" t="s">
        <v>664</v>
      </c>
      <c r="G294" s="19">
        <v>-4086</v>
      </c>
      <c r="H294" s="12">
        <v>-3197.806</v>
      </c>
      <c r="I294" s="12">
        <v>3197.806</v>
      </c>
      <c r="J294" s="12">
        <v>-3197.806</v>
      </c>
      <c r="K294" t="s">
        <v>1749</v>
      </c>
      <c r="L294" t="s">
        <v>720</v>
      </c>
      <c r="M294" t="s">
        <v>1750</v>
      </c>
    </row>
    <row r="295" spans="1:13">
      <c r="A295" t="s">
        <v>662</v>
      </c>
      <c r="B295" s="10">
        <v>46147</v>
      </c>
      <c r="C295" t="s">
        <v>13</v>
      </c>
      <c r="D295" t="s">
        <v>1751</v>
      </c>
      <c r="E295" t="s">
        <v>1752</v>
      </c>
      <c r="F295" t="s">
        <v>15</v>
      </c>
      <c r="G295" s="11">
        <v>-20213.8</v>
      </c>
      <c r="H295" s="12">
        <v>-19806.392</v>
      </c>
      <c r="I295" s="12">
        <v>2127.0500000000002</v>
      </c>
      <c r="J295" s="12">
        <v>-2127.0500000000002</v>
      </c>
      <c r="K295" t="s">
        <v>1753</v>
      </c>
      <c r="L295" t="s">
        <v>14</v>
      </c>
      <c r="M295" t="s">
        <v>1754</v>
      </c>
    </row>
    <row r="296" spans="1:13">
      <c r="A296" t="s">
        <v>662</v>
      </c>
      <c r="B296" s="10">
        <v>46065</v>
      </c>
      <c r="C296" t="s">
        <v>13</v>
      </c>
      <c r="D296" t="s">
        <v>700</v>
      </c>
      <c r="E296" t="s">
        <v>1620</v>
      </c>
      <c r="F296" t="s">
        <v>15</v>
      </c>
      <c r="G296" s="11">
        <v>-5000</v>
      </c>
      <c r="H296" s="12">
        <v>-4974.2860000000001</v>
      </c>
      <c r="I296" s="12">
        <v>1909.018</v>
      </c>
      <c r="J296" s="12">
        <v>-1909.018</v>
      </c>
      <c r="K296" t="s">
        <v>701</v>
      </c>
      <c r="L296" t="s">
        <v>14</v>
      </c>
      <c r="M296" t="s">
        <v>14</v>
      </c>
    </row>
    <row r="297" spans="1:13">
      <c r="A297" t="s">
        <v>662</v>
      </c>
      <c r="B297" s="10">
        <v>46142</v>
      </c>
      <c r="C297" t="s">
        <v>13</v>
      </c>
      <c r="D297" t="s">
        <v>702</v>
      </c>
      <c r="E297" t="s">
        <v>1621</v>
      </c>
      <c r="F297" t="s">
        <v>15</v>
      </c>
      <c r="G297" s="11">
        <v>-14235.5</v>
      </c>
      <c r="H297" s="12">
        <v>-13975.742</v>
      </c>
      <c r="I297" s="12">
        <v>1498.9770000000001</v>
      </c>
      <c r="J297" s="12">
        <v>-1498.9770000000001</v>
      </c>
      <c r="K297" t="s">
        <v>703</v>
      </c>
      <c r="L297" t="s">
        <v>14</v>
      </c>
      <c r="M297" t="s">
        <v>704</v>
      </c>
    </row>
    <row r="298" spans="1:13">
      <c r="A298" t="s">
        <v>662</v>
      </c>
      <c r="B298" s="10">
        <v>46128</v>
      </c>
      <c r="C298" t="s">
        <v>13</v>
      </c>
      <c r="D298" t="s">
        <v>705</v>
      </c>
      <c r="E298" t="s">
        <v>1622</v>
      </c>
      <c r="F298" t="s">
        <v>15</v>
      </c>
      <c r="G298" s="11">
        <v>-7433</v>
      </c>
      <c r="H298" s="12">
        <v>-7244.3059999999996</v>
      </c>
      <c r="I298" s="12">
        <v>777.74099999999999</v>
      </c>
      <c r="J298" s="12">
        <v>-777.74099999999999</v>
      </c>
      <c r="K298" t="s">
        <v>706</v>
      </c>
      <c r="L298" t="s">
        <v>14</v>
      </c>
      <c r="M298" t="s">
        <v>707</v>
      </c>
    </row>
    <row r="299" spans="1:13">
      <c r="A299" t="s">
        <v>662</v>
      </c>
      <c r="B299" s="10">
        <v>45236</v>
      </c>
      <c r="C299" t="s">
        <v>13</v>
      </c>
      <c r="D299" t="s">
        <v>708</v>
      </c>
      <c r="E299" t="s">
        <v>14</v>
      </c>
      <c r="F299" t="s">
        <v>664</v>
      </c>
      <c r="G299" s="19">
        <v>-782.25</v>
      </c>
      <c r="H299" s="12">
        <v>-612.20799999999997</v>
      </c>
      <c r="I299" s="12">
        <v>612.20799999999997</v>
      </c>
      <c r="J299" s="12">
        <v>-612.20799999999997</v>
      </c>
      <c r="K299" t="s">
        <v>709</v>
      </c>
      <c r="L299" t="s">
        <v>14</v>
      </c>
      <c r="M299" t="s">
        <v>710</v>
      </c>
    </row>
    <row r="300" spans="1:13">
      <c r="A300" t="s">
        <v>662</v>
      </c>
      <c r="B300" s="10">
        <v>45063</v>
      </c>
      <c r="C300" t="s">
        <v>13</v>
      </c>
      <c r="D300" t="s">
        <v>711</v>
      </c>
      <c r="E300" t="s">
        <v>14</v>
      </c>
      <c r="F300" t="s">
        <v>664</v>
      </c>
      <c r="G300" s="19">
        <v>-761.07</v>
      </c>
      <c r="H300" s="12">
        <v>-595.63199999999995</v>
      </c>
      <c r="I300" s="12">
        <v>595.63199999999995</v>
      </c>
      <c r="J300" s="12">
        <v>-595.63199999999995</v>
      </c>
      <c r="K300" t="s">
        <v>712</v>
      </c>
      <c r="L300" t="s">
        <v>14</v>
      </c>
      <c r="M300" t="s">
        <v>713</v>
      </c>
    </row>
    <row r="301" spans="1:13">
      <c r="A301" t="s">
        <v>662</v>
      </c>
      <c r="B301" s="10">
        <v>46140</v>
      </c>
      <c r="C301" t="s">
        <v>13</v>
      </c>
      <c r="D301" t="s">
        <v>714</v>
      </c>
      <c r="E301" t="s">
        <v>1623</v>
      </c>
      <c r="F301" t="s">
        <v>15</v>
      </c>
      <c r="G301" s="11">
        <v>-5115.6000000000004</v>
      </c>
      <c r="H301" s="12">
        <v>-5001.3729999999996</v>
      </c>
      <c r="I301" s="12">
        <v>535.86300000000006</v>
      </c>
      <c r="J301" s="12">
        <v>-535.86300000000006</v>
      </c>
      <c r="K301" t="s">
        <v>715</v>
      </c>
      <c r="L301" t="s">
        <v>14</v>
      </c>
      <c r="M301" t="s">
        <v>716</v>
      </c>
    </row>
    <row r="302" spans="1:13">
      <c r="A302" t="s">
        <v>662</v>
      </c>
      <c r="B302" s="10">
        <v>46090</v>
      </c>
      <c r="C302" t="s">
        <v>13</v>
      </c>
      <c r="D302" t="s">
        <v>717</v>
      </c>
      <c r="E302" t="s">
        <v>1624</v>
      </c>
      <c r="F302" t="s">
        <v>664</v>
      </c>
      <c r="G302" s="19">
        <v>-8595.74</v>
      </c>
      <c r="H302" s="12">
        <v>-6727.241</v>
      </c>
      <c r="I302" s="12">
        <v>17.053000000000001</v>
      </c>
      <c r="J302" s="12">
        <v>6693.134</v>
      </c>
      <c r="K302" t="s">
        <v>718</v>
      </c>
      <c r="L302" t="s">
        <v>14</v>
      </c>
      <c r="M302" t="s">
        <v>719</v>
      </c>
    </row>
    <row r="303" spans="1:13">
      <c r="A303" t="s">
        <v>721</v>
      </c>
      <c r="B303" s="10">
        <v>45079</v>
      </c>
      <c r="C303" t="s">
        <v>13</v>
      </c>
      <c r="D303" t="s">
        <v>722</v>
      </c>
      <c r="E303" t="s">
        <v>14</v>
      </c>
      <c r="F303" t="s">
        <v>593</v>
      </c>
      <c r="G303" s="15">
        <v>-24200</v>
      </c>
      <c r="H303" s="12">
        <v>-28300.69</v>
      </c>
      <c r="I303" s="12">
        <v>28300.69</v>
      </c>
      <c r="J303" s="12">
        <v>-28300.69</v>
      </c>
      <c r="K303" t="s">
        <v>723</v>
      </c>
      <c r="L303" t="s">
        <v>724</v>
      </c>
      <c r="M303" t="s">
        <v>725</v>
      </c>
    </row>
    <row r="304" spans="1:13">
      <c r="A304" t="s">
        <v>721</v>
      </c>
      <c r="B304" s="10">
        <v>46108</v>
      </c>
      <c r="C304" t="s">
        <v>13</v>
      </c>
      <c r="D304" t="s">
        <v>726</v>
      </c>
      <c r="E304" t="s">
        <v>14</v>
      </c>
      <c r="F304" t="s">
        <v>593</v>
      </c>
      <c r="G304" s="15">
        <v>-12337.5</v>
      </c>
      <c r="H304" s="12">
        <v>-14428.089</v>
      </c>
      <c r="I304" s="12">
        <v>14428.089</v>
      </c>
      <c r="J304" s="12">
        <v>-17457.993999999999</v>
      </c>
      <c r="K304" t="s">
        <v>727</v>
      </c>
      <c r="L304" t="s">
        <v>724</v>
      </c>
      <c r="M304" t="s">
        <v>728</v>
      </c>
    </row>
    <row r="305" spans="1:13">
      <c r="A305" t="s">
        <v>721</v>
      </c>
      <c r="B305" s="10">
        <v>44922</v>
      </c>
      <c r="C305" t="s">
        <v>13</v>
      </c>
      <c r="D305" t="s">
        <v>729</v>
      </c>
      <c r="E305" t="s">
        <v>1625</v>
      </c>
      <c r="F305" t="s">
        <v>593</v>
      </c>
      <c r="G305" s="15">
        <v>-37510</v>
      </c>
      <c r="H305" s="12">
        <v>-43866.07</v>
      </c>
      <c r="I305" s="12">
        <v>12854.173000000001</v>
      </c>
      <c r="J305" s="12">
        <v>-12854.173000000001</v>
      </c>
      <c r="K305" t="s">
        <v>730</v>
      </c>
      <c r="L305" t="s">
        <v>724</v>
      </c>
      <c r="M305" t="s">
        <v>731</v>
      </c>
    </row>
    <row r="306" spans="1:13">
      <c r="A306" t="s">
        <v>721</v>
      </c>
      <c r="B306" s="10">
        <v>46085</v>
      </c>
      <c r="C306" t="s">
        <v>13</v>
      </c>
      <c r="D306" t="s">
        <v>732</v>
      </c>
      <c r="E306" t="s">
        <v>1626</v>
      </c>
      <c r="F306" t="s">
        <v>593</v>
      </c>
      <c r="G306" s="15">
        <v>-25676.21</v>
      </c>
      <c r="H306" s="12">
        <v>-30027.044000000002</v>
      </c>
      <c r="I306" s="12">
        <v>11407.54</v>
      </c>
      <c r="J306" s="12">
        <v>-11407.54</v>
      </c>
      <c r="K306" t="s">
        <v>733</v>
      </c>
      <c r="L306" t="s">
        <v>724</v>
      </c>
      <c r="M306" t="s">
        <v>734</v>
      </c>
    </row>
    <row r="307" spans="1:13">
      <c r="A307" t="s">
        <v>721</v>
      </c>
      <c r="B307" s="10">
        <v>45246</v>
      </c>
      <c r="C307" t="s">
        <v>13</v>
      </c>
      <c r="D307" t="s">
        <v>735</v>
      </c>
      <c r="E307" t="s">
        <v>14</v>
      </c>
      <c r="F307" t="s">
        <v>593</v>
      </c>
      <c r="G307" s="15">
        <v>-7865</v>
      </c>
      <c r="H307" s="12">
        <v>-9197.7240000000002</v>
      </c>
      <c r="I307" s="12">
        <v>9197.7240000000002</v>
      </c>
      <c r="J307" s="12">
        <v>-9197.7240000000002</v>
      </c>
      <c r="K307" t="s">
        <v>736</v>
      </c>
      <c r="L307" t="s">
        <v>724</v>
      </c>
      <c r="M307" t="s">
        <v>737</v>
      </c>
    </row>
    <row r="308" spans="1:13">
      <c r="A308" t="s">
        <v>721</v>
      </c>
      <c r="B308" s="10">
        <v>45246</v>
      </c>
      <c r="C308" t="s">
        <v>13</v>
      </c>
      <c r="D308" t="s">
        <v>738</v>
      </c>
      <c r="E308" t="s">
        <v>14</v>
      </c>
      <c r="F308" t="s">
        <v>593</v>
      </c>
      <c r="G308" s="15">
        <v>-5929</v>
      </c>
      <c r="H308" s="12">
        <v>-6933.6689999999999</v>
      </c>
      <c r="I308" s="12">
        <v>6933.6689999999999</v>
      </c>
      <c r="J308" s="12">
        <v>-6933.6689999999999</v>
      </c>
      <c r="K308" t="s">
        <v>739</v>
      </c>
      <c r="L308" t="s">
        <v>724</v>
      </c>
      <c r="M308" t="s">
        <v>740</v>
      </c>
    </row>
    <row r="309" spans="1:13">
      <c r="A309" t="s">
        <v>721</v>
      </c>
      <c r="B309" s="10">
        <v>46010</v>
      </c>
      <c r="C309" t="s">
        <v>13</v>
      </c>
      <c r="D309" t="s">
        <v>741</v>
      </c>
      <c r="E309" t="s">
        <v>1627</v>
      </c>
      <c r="F309" t="s">
        <v>593</v>
      </c>
      <c r="G309" s="15">
        <v>-8578.5</v>
      </c>
      <c r="H309" s="12">
        <v>-10032.127</v>
      </c>
      <c r="I309" s="12">
        <v>4297.7290000000003</v>
      </c>
      <c r="J309" s="12">
        <v>-4297.7290000000003</v>
      </c>
      <c r="K309" t="s">
        <v>742</v>
      </c>
      <c r="L309" t="s">
        <v>724</v>
      </c>
      <c r="M309" t="s">
        <v>743</v>
      </c>
    </row>
    <row r="310" spans="1:13">
      <c r="A310" t="s">
        <v>721</v>
      </c>
      <c r="B310" s="10">
        <v>44733</v>
      </c>
      <c r="C310" t="s">
        <v>13</v>
      </c>
      <c r="D310" t="s">
        <v>744</v>
      </c>
      <c r="E310" t="s">
        <v>1628</v>
      </c>
      <c r="F310" t="s">
        <v>593</v>
      </c>
      <c r="G310" s="15">
        <v>-29040</v>
      </c>
      <c r="H310" s="12">
        <v>-33960.828000000001</v>
      </c>
      <c r="I310" s="12">
        <v>4245.1040000000003</v>
      </c>
      <c r="J310" s="12">
        <v>-4245.1040000000003</v>
      </c>
      <c r="K310" t="s">
        <v>745</v>
      </c>
      <c r="L310" t="s">
        <v>724</v>
      </c>
      <c r="M310" t="s">
        <v>746</v>
      </c>
    </row>
    <row r="311" spans="1:13">
      <c r="A311" t="s">
        <v>721</v>
      </c>
      <c r="B311" s="10">
        <v>45000</v>
      </c>
      <c r="C311" t="s">
        <v>13</v>
      </c>
      <c r="D311" t="s">
        <v>747</v>
      </c>
      <c r="E311" t="s">
        <v>14</v>
      </c>
      <c r="F311" t="s">
        <v>593</v>
      </c>
      <c r="G311" s="15">
        <v>-3623.95</v>
      </c>
      <c r="H311" s="12">
        <v>-4238.0280000000002</v>
      </c>
      <c r="I311" s="12">
        <v>4238.0280000000002</v>
      </c>
      <c r="J311" s="12">
        <v>-8203.4699999999993</v>
      </c>
      <c r="K311" t="s">
        <v>748</v>
      </c>
      <c r="L311" t="s">
        <v>724</v>
      </c>
      <c r="M311" t="s">
        <v>749</v>
      </c>
    </row>
    <row r="312" spans="1:13">
      <c r="A312" t="s">
        <v>721</v>
      </c>
      <c r="B312" s="10">
        <v>45345</v>
      </c>
      <c r="C312" t="s">
        <v>13</v>
      </c>
      <c r="D312" t="s">
        <v>750</v>
      </c>
      <c r="E312" t="s">
        <v>14</v>
      </c>
      <c r="F312" t="s">
        <v>593</v>
      </c>
      <c r="G312" s="15">
        <v>-3390.86</v>
      </c>
      <c r="H312" s="12">
        <v>-3965.4409999999998</v>
      </c>
      <c r="I312" s="12">
        <v>3965.4409999999998</v>
      </c>
      <c r="J312" s="12">
        <v>-8203.4699999999993</v>
      </c>
      <c r="K312" t="s">
        <v>748</v>
      </c>
      <c r="L312" t="s">
        <v>724</v>
      </c>
      <c r="M312" t="s">
        <v>751</v>
      </c>
    </row>
    <row r="313" spans="1:13">
      <c r="A313" t="s">
        <v>721</v>
      </c>
      <c r="B313" s="10">
        <v>45693</v>
      </c>
      <c r="C313" t="s">
        <v>13</v>
      </c>
      <c r="D313" t="s">
        <v>752</v>
      </c>
      <c r="E313" t="s">
        <v>1629</v>
      </c>
      <c r="F313" t="s">
        <v>593</v>
      </c>
      <c r="G313" s="15">
        <v>-12039.5</v>
      </c>
      <c r="H313" s="12">
        <v>-14079.593000000001</v>
      </c>
      <c r="I313" s="12">
        <v>2443.5659999999998</v>
      </c>
      <c r="J313" s="12">
        <v>-2443.5659999999998</v>
      </c>
      <c r="K313" t="s">
        <v>753</v>
      </c>
      <c r="L313" t="s">
        <v>754</v>
      </c>
      <c r="M313" t="s">
        <v>755</v>
      </c>
    </row>
    <row r="314" spans="1:13">
      <c r="A314" t="s">
        <v>721</v>
      </c>
      <c r="B314" s="10">
        <v>44922</v>
      </c>
      <c r="C314" t="s">
        <v>13</v>
      </c>
      <c r="D314" t="s">
        <v>756</v>
      </c>
      <c r="E314" t="s">
        <v>1630</v>
      </c>
      <c r="F314" t="s">
        <v>593</v>
      </c>
      <c r="G314" s="15">
        <v>-8984.25</v>
      </c>
      <c r="H314" s="12">
        <v>-10506.630999999999</v>
      </c>
      <c r="I314" s="12">
        <v>477.58</v>
      </c>
      <c r="J314" s="12">
        <v>-477.58</v>
      </c>
      <c r="K314" t="s">
        <v>757</v>
      </c>
      <c r="L314" t="s">
        <v>724</v>
      </c>
      <c r="M314" t="s">
        <v>758</v>
      </c>
    </row>
    <row r="315" spans="1:13">
      <c r="A315" t="s">
        <v>759</v>
      </c>
      <c r="B315" s="10">
        <v>46086</v>
      </c>
      <c r="C315" t="s">
        <v>484</v>
      </c>
      <c r="D315" t="s">
        <v>760</v>
      </c>
      <c r="E315" t="s">
        <v>1631</v>
      </c>
      <c r="F315" t="s">
        <v>593</v>
      </c>
      <c r="G315" s="15">
        <v>-169254.39</v>
      </c>
      <c r="H315" s="12">
        <v>-197934.546</v>
      </c>
      <c r="I315" s="12">
        <v>77986.527000000002</v>
      </c>
      <c r="J315" s="12">
        <v>-77986.527000000002</v>
      </c>
      <c r="K315" t="s">
        <v>761</v>
      </c>
      <c r="L315" t="s">
        <v>762</v>
      </c>
      <c r="M315" t="s">
        <v>763</v>
      </c>
    </row>
    <row r="316" spans="1:13">
      <c r="A316" t="s">
        <v>759</v>
      </c>
      <c r="B316" s="10">
        <v>46085</v>
      </c>
      <c r="C316" t="s">
        <v>484</v>
      </c>
      <c r="D316" t="s">
        <v>764</v>
      </c>
      <c r="E316" t="s">
        <v>14</v>
      </c>
      <c r="F316" t="s">
        <v>593</v>
      </c>
      <c r="G316" s="15">
        <v>-32188.71</v>
      </c>
      <c r="H316" s="12">
        <v>-37643.087</v>
      </c>
      <c r="I316" s="12">
        <v>37643.087</v>
      </c>
      <c r="J316" s="12">
        <v>-37643.087</v>
      </c>
      <c r="K316" t="s">
        <v>765</v>
      </c>
      <c r="L316" t="s">
        <v>762</v>
      </c>
      <c r="M316" t="s">
        <v>766</v>
      </c>
    </row>
    <row r="317" spans="1:13">
      <c r="A317" t="s">
        <v>759</v>
      </c>
      <c r="B317" s="10">
        <v>45680</v>
      </c>
      <c r="C317" t="s">
        <v>13</v>
      </c>
      <c r="D317" t="s">
        <v>767</v>
      </c>
      <c r="E317" t="s">
        <v>1632</v>
      </c>
      <c r="F317" t="s">
        <v>593</v>
      </c>
      <c r="G317" s="15">
        <v>-25280.06</v>
      </c>
      <c r="H317" s="12">
        <v>-29563.766</v>
      </c>
      <c r="I317" s="12">
        <v>23310.062000000002</v>
      </c>
      <c r="J317" s="12">
        <v>44115.116000000002</v>
      </c>
      <c r="K317" t="s">
        <v>768</v>
      </c>
      <c r="L317" t="s">
        <v>762</v>
      </c>
      <c r="M317" t="s">
        <v>769</v>
      </c>
    </row>
    <row r="318" spans="1:13">
      <c r="A318" t="s">
        <v>759</v>
      </c>
      <c r="B318" s="10">
        <v>45678</v>
      </c>
      <c r="C318" t="s">
        <v>13</v>
      </c>
      <c r="D318" t="s">
        <v>770</v>
      </c>
      <c r="E318" t="s">
        <v>14</v>
      </c>
      <c r="F318" t="s">
        <v>593</v>
      </c>
      <c r="G318" s="15">
        <v>-14994</v>
      </c>
      <c r="H318" s="12">
        <v>-17534.733</v>
      </c>
      <c r="I318" s="12">
        <v>17534.733</v>
      </c>
      <c r="J318" s="12">
        <v>-17534.733</v>
      </c>
      <c r="K318" t="s">
        <v>771</v>
      </c>
      <c r="L318" t="s">
        <v>762</v>
      </c>
      <c r="M318" t="s">
        <v>772</v>
      </c>
    </row>
    <row r="319" spans="1:13">
      <c r="A319" t="s">
        <v>759</v>
      </c>
      <c r="B319" s="10">
        <v>46146</v>
      </c>
      <c r="C319" t="s">
        <v>13</v>
      </c>
      <c r="D319" t="s">
        <v>1755</v>
      </c>
      <c r="E319" t="s">
        <v>14</v>
      </c>
      <c r="F319" t="s">
        <v>593</v>
      </c>
      <c r="G319" s="15">
        <v>-14700</v>
      </c>
      <c r="H319" s="12">
        <v>-17190.915000000001</v>
      </c>
      <c r="I319" s="12">
        <v>17190.915000000001</v>
      </c>
      <c r="J319" s="12">
        <v>-34031.697</v>
      </c>
      <c r="K319" t="s">
        <v>1756</v>
      </c>
      <c r="L319" t="s">
        <v>829</v>
      </c>
      <c r="M319" t="s">
        <v>1757</v>
      </c>
    </row>
    <row r="320" spans="1:13">
      <c r="A320" t="s">
        <v>759</v>
      </c>
      <c r="B320" s="10">
        <v>46146</v>
      </c>
      <c r="C320" t="s">
        <v>13</v>
      </c>
      <c r="D320" t="s">
        <v>1758</v>
      </c>
      <c r="E320" t="s">
        <v>14</v>
      </c>
      <c r="F320" t="s">
        <v>593</v>
      </c>
      <c r="G320" s="15">
        <v>-14400.6</v>
      </c>
      <c r="H320" s="12">
        <v>-16840.781999999999</v>
      </c>
      <c r="I320" s="12">
        <v>16840.781999999999</v>
      </c>
      <c r="J320" s="12">
        <v>-34031.697</v>
      </c>
      <c r="K320" t="s">
        <v>1756</v>
      </c>
      <c r="L320" t="s">
        <v>829</v>
      </c>
      <c r="M320" t="s">
        <v>1759</v>
      </c>
    </row>
    <row r="321" spans="1:13">
      <c r="A321" t="s">
        <v>759</v>
      </c>
      <c r="B321" s="10">
        <v>45635</v>
      </c>
      <c r="C321" t="s">
        <v>13</v>
      </c>
      <c r="D321" t="s">
        <v>773</v>
      </c>
      <c r="E321" t="s">
        <v>14</v>
      </c>
      <c r="F321" t="s">
        <v>593</v>
      </c>
      <c r="G321" s="15">
        <v>-13860</v>
      </c>
      <c r="H321" s="12">
        <v>-16208.576999999999</v>
      </c>
      <c r="I321" s="12">
        <v>16208.576999999999</v>
      </c>
      <c r="J321" s="12">
        <v>-16208.576999999999</v>
      </c>
      <c r="K321" t="s">
        <v>774</v>
      </c>
      <c r="L321" t="s">
        <v>14</v>
      </c>
      <c r="M321" t="s">
        <v>775</v>
      </c>
    </row>
    <row r="322" spans="1:13">
      <c r="A322" t="s">
        <v>759</v>
      </c>
      <c r="B322" s="10">
        <v>45197</v>
      </c>
      <c r="C322" t="s">
        <v>13</v>
      </c>
      <c r="D322" t="s">
        <v>776</v>
      </c>
      <c r="E322" t="s">
        <v>14</v>
      </c>
      <c r="F322" t="s">
        <v>593</v>
      </c>
      <c r="G322" s="15">
        <v>-13000</v>
      </c>
      <c r="H322" s="12">
        <v>-15202.85</v>
      </c>
      <c r="I322" s="12">
        <v>15202.85</v>
      </c>
      <c r="J322" s="12">
        <v>-15202.85</v>
      </c>
      <c r="K322" t="s">
        <v>777</v>
      </c>
      <c r="L322" t="s">
        <v>762</v>
      </c>
      <c r="M322" t="s">
        <v>778</v>
      </c>
    </row>
    <row r="323" spans="1:13">
      <c r="A323" t="s">
        <v>759</v>
      </c>
      <c r="B323" s="10">
        <v>44879</v>
      </c>
      <c r="C323" t="s">
        <v>13</v>
      </c>
      <c r="D323" t="s">
        <v>779</v>
      </c>
      <c r="E323" t="s">
        <v>14</v>
      </c>
      <c r="F323" t="s">
        <v>593</v>
      </c>
      <c r="G323" s="15">
        <v>-9000</v>
      </c>
      <c r="H323" s="12">
        <v>-10525.05</v>
      </c>
      <c r="I323" s="12">
        <v>10525.05</v>
      </c>
      <c r="J323" s="12">
        <v>-32386.678</v>
      </c>
      <c r="K323" t="s">
        <v>780</v>
      </c>
      <c r="L323" t="s">
        <v>762</v>
      </c>
      <c r="M323" t="s">
        <v>781</v>
      </c>
    </row>
    <row r="324" spans="1:13">
      <c r="A324" t="s">
        <v>759</v>
      </c>
      <c r="B324" s="10">
        <v>45670</v>
      </c>
      <c r="C324" t="s">
        <v>13</v>
      </c>
      <c r="D324" t="s">
        <v>782</v>
      </c>
      <c r="E324" t="s">
        <v>14</v>
      </c>
      <c r="F324" t="s">
        <v>593</v>
      </c>
      <c r="G324" s="15">
        <v>-8627.5</v>
      </c>
      <c r="H324" s="12">
        <v>-10089.43</v>
      </c>
      <c r="I324" s="12">
        <v>10089.43</v>
      </c>
      <c r="J324" s="12">
        <v>-10089.43</v>
      </c>
      <c r="K324" t="s">
        <v>783</v>
      </c>
      <c r="L324" t="s">
        <v>14</v>
      </c>
      <c r="M324" t="s">
        <v>784</v>
      </c>
    </row>
    <row r="325" spans="1:13">
      <c r="A325" t="s">
        <v>759</v>
      </c>
      <c r="B325" s="10">
        <v>45674</v>
      </c>
      <c r="C325" t="s">
        <v>13</v>
      </c>
      <c r="D325" t="s">
        <v>785</v>
      </c>
      <c r="E325" t="s">
        <v>14</v>
      </c>
      <c r="F325" t="s">
        <v>593</v>
      </c>
      <c r="G325" s="15">
        <v>-7973</v>
      </c>
      <c r="H325" s="12">
        <v>-9324.0249999999996</v>
      </c>
      <c r="I325" s="12">
        <v>9324.0249999999996</v>
      </c>
      <c r="J325" s="12">
        <v>-9324.0249999999996</v>
      </c>
      <c r="K325" t="s">
        <v>786</v>
      </c>
      <c r="L325" t="s">
        <v>762</v>
      </c>
      <c r="M325" t="s">
        <v>787</v>
      </c>
    </row>
    <row r="326" spans="1:13">
      <c r="A326" t="s">
        <v>759</v>
      </c>
      <c r="B326" s="10">
        <v>45330</v>
      </c>
      <c r="C326" t="s">
        <v>13</v>
      </c>
      <c r="D326" t="s">
        <v>788</v>
      </c>
      <c r="E326" t="s">
        <v>14</v>
      </c>
      <c r="F326" t="s">
        <v>593</v>
      </c>
      <c r="G326" s="15">
        <v>-7905</v>
      </c>
      <c r="H326" s="12">
        <v>-9244.5020000000004</v>
      </c>
      <c r="I326" s="12">
        <v>9244.5020000000004</v>
      </c>
      <c r="J326" s="12">
        <v>-9244.5020000000004</v>
      </c>
      <c r="K326" t="s">
        <v>789</v>
      </c>
      <c r="L326" t="s">
        <v>790</v>
      </c>
      <c r="M326" t="s">
        <v>791</v>
      </c>
    </row>
    <row r="327" spans="1:13">
      <c r="A327" t="s">
        <v>759</v>
      </c>
      <c r="B327" s="10">
        <v>45455</v>
      </c>
      <c r="C327" t="s">
        <v>13</v>
      </c>
      <c r="D327" t="s">
        <v>792</v>
      </c>
      <c r="E327" t="s">
        <v>1633</v>
      </c>
      <c r="F327" t="s">
        <v>593</v>
      </c>
      <c r="G327" s="15">
        <v>-47600</v>
      </c>
      <c r="H327" s="12">
        <v>-55665.82</v>
      </c>
      <c r="I327" s="12">
        <v>8887.82</v>
      </c>
      <c r="J327" s="12">
        <v>-8887.82</v>
      </c>
      <c r="K327" t="s">
        <v>793</v>
      </c>
      <c r="L327" t="s">
        <v>14</v>
      </c>
      <c r="M327" t="s">
        <v>794</v>
      </c>
    </row>
    <row r="328" spans="1:13">
      <c r="A328" t="s">
        <v>759</v>
      </c>
      <c r="B328" s="10">
        <v>45953</v>
      </c>
      <c r="C328" t="s">
        <v>13</v>
      </c>
      <c r="D328" t="s">
        <v>795</v>
      </c>
      <c r="E328" t="s">
        <v>1634</v>
      </c>
      <c r="F328" t="s">
        <v>593</v>
      </c>
      <c r="G328" s="15">
        <v>-34319.599999999999</v>
      </c>
      <c r="H328" s="12">
        <v>-40135.055999999997</v>
      </c>
      <c r="I328" s="12">
        <v>8489.0380000000005</v>
      </c>
      <c r="J328" s="12">
        <v>-8489.0380000000005</v>
      </c>
      <c r="K328" t="s">
        <v>796</v>
      </c>
      <c r="L328" t="s">
        <v>762</v>
      </c>
      <c r="M328" t="s">
        <v>797</v>
      </c>
    </row>
    <row r="329" spans="1:13">
      <c r="A329" t="s">
        <v>759</v>
      </c>
      <c r="B329" s="10">
        <v>44804</v>
      </c>
      <c r="C329" t="s">
        <v>13</v>
      </c>
      <c r="D329" t="s">
        <v>798</v>
      </c>
      <c r="E329" t="s">
        <v>14</v>
      </c>
      <c r="F329" t="s">
        <v>593</v>
      </c>
      <c r="G329" s="15">
        <v>-7200</v>
      </c>
      <c r="H329" s="12">
        <v>-8420.0400000000009</v>
      </c>
      <c r="I329" s="12">
        <v>8420.0400000000009</v>
      </c>
      <c r="J329" s="12">
        <v>-8420.0400000000009</v>
      </c>
      <c r="K329" t="s">
        <v>799</v>
      </c>
      <c r="L329" t="s">
        <v>800</v>
      </c>
      <c r="M329" t="s">
        <v>801</v>
      </c>
    </row>
    <row r="330" spans="1:13">
      <c r="A330" t="s">
        <v>759</v>
      </c>
      <c r="B330" s="10">
        <v>45065</v>
      </c>
      <c r="C330" t="s">
        <v>13</v>
      </c>
      <c r="D330" t="s">
        <v>802</v>
      </c>
      <c r="E330" t="s">
        <v>14</v>
      </c>
      <c r="F330" t="s">
        <v>593</v>
      </c>
      <c r="G330" s="15">
        <v>-7114.81</v>
      </c>
      <c r="H330" s="12">
        <v>-8320.4150000000009</v>
      </c>
      <c r="I330" s="12">
        <v>8320.4150000000009</v>
      </c>
      <c r="J330" s="12">
        <v>-32386.678</v>
      </c>
      <c r="K330" t="s">
        <v>780</v>
      </c>
      <c r="L330" t="s">
        <v>762</v>
      </c>
      <c r="M330" t="s">
        <v>803</v>
      </c>
    </row>
    <row r="331" spans="1:13">
      <c r="A331" t="s">
        <v>759</v>
      </c>
      <c r="B331" s="10">
        <v>45057</v>
      </c>
      <c r="C331" t="s">
        <v>13</v>
      </c>
      <c r="D331" t="s">
        <v>804</v>
      </c>
      <c r="E331" t="s">
        <v>14</v>
      </c>
      <c r="F331" t="s">
        <v>593</v>
      </c>
      <c r="G331" s="15">
        <v>-6500</v>
      </c>
      <c r="H331" s="12">
        <v>-7601.4250000000002</v>
      </c>
      <c r="I331" s="12">
        <v>7601.4250000000002</v>
      </c>
      <c r="J331" s="12">
        <v>-7601.4250000000002</v>
      </c>
      <c r="K331" t="s">
        <v>805</v>
      </c>
      <c r="L331" t="s">
        <v>800</v>
      </c>
      <c r="M331" t="s">
        <v>806</v>
      </c>
    </row>
    <row r="332" spans="1:13">
      <c r="A332" t="s">
        <v>759</v>
      </c>
      <c r="B332" s="10">
        <v>45307</v>
      </c>
      <c r="C332" t="s">
        <v>13</v>
      </c>
      <c r="D332" t="s">
        <v>807</v>
      </c>
      <c r="E332" t="s">
        <v>14</v>
      </c>
      <c r="F332" t="s">
        <v>593</v>
      </c>
      <c r="G332" s="15">
        <v>-6500</v>
      </c>
      <c r="H332" s="12">
        <v>-7601.4250000000002</v>
      </c>
      <c r="I332" s="12">
        <v>7601.4250000000002</v>
      </c>
      <c r="J332" s="12">
        <v>-7601.4250000000002</v>
      </c>
      <c r="K332" t="s">
        <v>808</v>
      </c>
      <c r="L332" t="s">
        <v>14</v>
      </c>
      <c r="M332" t="s">
        <v>809</v>
      </c>
    </row>
    <row r="333" spans="1:13">
      <c r="A333" t="s">
        <v>759</v>
      </c>
      <c r="B333" s="10">
        <v>45019</v>
      </c>
      <c r="C333" t="s">
        <v>13</v>
      </c>
      <c r="D333" t="s">
        <v>810</v>
      </c>
      <c r="E333" t="s">
        <v>14</v>
      </c>
      <c r="F333" t="s">
        <v>593</v>
      </c>
      <c r="G333" s="15">
        <v>-5500</v>
      </c>
      <c r="H333" s="12">
        <v>-6431.9750000000004</v>
      </c>
      <c r="I333" s="12">
        <v>6431.9750000000004</v>
      </c>
      <c r="J333" s="12">
        <v>-6431.9750000000004</v>
      </c>
      <c r="K333" t="s">
        <v>811</v>
      </c>
      <c r="L333" t="s">
        <v>812</v>
      </c>
      <c r="M333" t="s">
        <v>813</v>
      </c>
    </row>
    <row r="334" spans="1:13">
      <c r="A334" t="s">
        <v>759</v>
      </c>
      <c r="B334" s="10">
        <v>45058</v>
      </c>
      <c r="C334" t="s">
        <v>13</v>
      </c>
      <c r="D334" t="s">
        <v>814</v>
      </c>
      <c r="E334" t="s">
        <v>1635</v>
      </c>
      <c r="F334" t="s">
        <v>593</v>
      </c>
      <c r="G334" s="15">
        <v>-7327</v>
      </c>
      <c r="H334" s="12">
        <v>-8568.56</v>
      </c>
      <c r="I334" s="12">
        <v>6431.9750000000004</v>
      </c>
      <c r="J334" s="12">
        <v>-6431.9750000000004</v>
      </c>
      <c r="K334" t="s">
        <v>815</v>
      </c>
      <c r="L334" t="s">
        <v>800</v>
      </c>
      <c r="M334" t="s">
        <v>816</v>
      </c>
    </row>
    <row r="335" spans="1:13">
      <c r="A335" t="s">
        <v>759</v>
      </c>
      <c r="B335" s="10">
        <v>45912</v>
      </c>
      <c r="C335" t="s">
        <v>13</v>
      </c>
      <c r="D335" t="s">
        <v>817</v>
      </c>
      <c r="E335" t="s">
        <v>817</v>
      </c>
      <c r="F335" t="s">
        <v>15</v>
      </c>
      <c r="G335" s="11">
        <v>-17950</v>
      </c>
      <c r="H335" s="12">
        <v>-17750.427</v>
      </c>
      <c r="I335" s="12">
        <v>5883.8419999999996</v>
      </c>
      <c r="J335" s="12">
        <v>-5883.8419999999996</v>
      </c>
      <c r="K335" t="s">
        <v>280</v>
      </c>
      <c r="L335" t="s">
        <v>762</v>
      </c>
      <c r="M335" t="s">
        <v>818</v>
      </c>
    </row>
    <row r="336" spans="1:13">
      <c r="A336" t="s">
        <v>759</v>
      </c>
      <c r="B336" s="10">
        <v>46128</v>
      </c>
      <c r="C336" t="s">
        <v>13</v>
      </c>
      <c r="D336" t="s">
        <v>819</v>
      </c>
      <c r="E336" t="s">
        <v>14</v>
      </c>
      <c r="F336" t="s">
        <v>593</v>
      </c>
      <c r="G336" s="15">
        <v>-4557.7</v>
      </c>
      <c r="H336" s="12">
        <v>-5330.0020000000004</v>
      </c>
      <c r="I336" s="12">
        <v>5330.0020000000004</v>
      </c>
      <c r="J336" s="12">
        <v>-5330.0020000000004</v>
      </c>
      <c r="K336" t="s">
        <v>820</v>
      </c>
      <c r="L336" t="s">
        <v>762</v>
      </c>
      <c r="M336" t="s">
        <v>821</v>
      </c>
    </row>
    <row r="337" spans="1:13">
      <c r="A337" t="s">
        <v>759</v>
      </c>
      <c r="B337" s="10">
        <v>45699</v>
      </c>
      <c r="C337" t="s">
        <v>13</v>
      </c>
      <c r="D337" t="s">
        <v>822</v>
      </c>
      <c r="E337" t="s">
        <v>14</v>
      </c>
      <c r="F337" t="s">
        <v>593</v>
      </c>
      <c r="G337" s="15">
        <v>-3866</v>
      </c>
      <c r="H337" s="12">
        <v>-4521.0940000000001</v>
      </c>
      <c r="I337" s="12">
        <v>4521.0940000000001</v>
      </c>
      <c r="J337" s="12">
        <v>-4521.0940000000001</v>
      </c>
      <c r="K337" t="s">
        <v>823</v>
      </c>
      <c r="L337" t="s">
        <v>14</v>
      </c>
      <c r="M337" t="s">
        <v>824</v>
      </c>
    </row>
    <row r="338" spans="1:13">
      <c r="A338" t="s">
        <v>759</v>
      </c>
      <c r="B338" s="10">
        <v>44932</v>
      </c>
      <c r="C338" t="s">
        <v>13</v>
      </c>
      <c r="D338" t="s">
        <v>825</v>
      </c>
      <c r="E338" t="s">
        <v>14</v>
      </c>
      <c r="F338" t="s">
        <v>593</v>
      </c>
      <c r="G338" s="15">
        <v>-3831</v>
      </c>
      <c r="H338" s="12">
        <v>-4480.1629999999996</v>
      </c>
      <c r="I338" s="12">
        <v>4480.1629999999996</v>
      </c>
      <c r="J338" s="12">
        <v>-32386.678</v>
      </c>
      <c r="K338" t="s">
        <v>780</v>
      </c>
      <c r="L338" t="s">
        <v>762</v>
      </c>
      <c r="M338" t="s">
        <v>826</v>
      </c>
    </row>
    <row r="339" spans="1:13">
      <c r="A339" t="s">
        <v>759</v>
      </c>
      <c r="B339" s="10">
        <v>46134</v>
      </c>
      <c r="C339" t="s">
        <v>13</v>
      </c>
      <c r="D339" t="s">
        <v>827</v>
      </c>
      <c r="E339" t="s">
        <v>1636</v>
      </c>
      <c r="F339" t="s">
        <v>593</v>
      </c>
      <c r="G339" s="15">
        <v>-20570</v>
      </c>
      <c r="H339" s="12">
        <v>-24055.587</v>
      </c>
      <c r="I339" s="12">
        <v>4174.9369999999999</v>
      </c>
      <c r="J339" s="12">
        <v>-4174.9369999999999</v>
      </c>
      <c r="K339" t="s">
        <v>828</v>
      </c>
      <c r="L339" t="s">
        <v>829</v>
      </c>
      <c r="M339" t="s">
        <v>830</v>
      </c>
    </row>
    <row r="340" spans="1:13">
      <c r="A340" t="s">
        <v>759</v>
      </c>
      <c r="B340" s="10">
        <v>45945</v>
      </c>
      <c r="C340" t="s">
        <v>13</v>
      </c>
      <c r="D340" t="s">
        <v>831</v>
      </c>
      <c r="E340" t="s">
        <v>14</v>
      </c>
      <c r="F340" t="s">
        <v>593</v>
      </c>
      <c r="G340" s="15">
        <v>-3188</v>
      </c>
      <c r="H340" s="12">
        <v>-3728.2069999999999</v>
      </c>
      <c r="I340" s="12">
        <v>3728.2069999999999</v>
      </c>
      <c r="J340" s="12">
        <v>-32386.678</v>
      </c>
      <c r="K340" t="s">
        <v>780</v>
      </c>
      <c r="L340" t="s">
        <v>762</v>
      </c>
      <c r="M340" t="s">
        <v>832</v>
      </c>
    </row>
    <row r="341" spans="1:13">
      <c r="A341" t="s">
        <v>759</v>
      </c>
      <c r="B341" s="10">
        <v>45517</v>
      </c>
      <c r="C341" t="s">
        <v>13</v>
      </c>
      <c r="D341" t="s">
        <v>833</v>
      </c>
      <c r="E341" t="s">
        <v>14</v>
      </c>
      <c r="F341" t="s">
        <v>593</v>
      </c>
      <c r="G341" s="15">
        <v>-3123.75</v>
      </c>
      <c r="H341" s="12">
        <v>-3653.069</v>
      </c>
      <c r="I341" s="12">
        <v>3653.069</v>
      </c>
      <c r="J341" s="12">
        <v>-3979.346</v>
      </c>
      <c r="K341" t="s">
        <v>834</v>
      </c>
      <c r="L341" t="s">
        <v>762</v>
      </c>
      <c r="M341" t="s">
        <v>835</v>
      </c>
    </row>
    <row r="342" spans="1:13">
      <c r="A342" t="s">
        <v>759</v>
      </c>
      <c r="B342" s="10">
        <v>46135</v>
      </c>
      <c r="C342" t="s">
        <v>13</v>
      </c>
      <c r="D342" t="s">
        <v>836</v>
      </c>
      <c r="E342" t="s">
        <v>1637</v>
      </c>
      <c r="F342" t="s">
        <v>593</v>
      </c>
      <c r="G342" s="15">
        <v>-16128.07</v>
      </c>
      <c r="H342" s="12">
        <v>-18860.971000000001</v>
      </c>
      <c r="I342" s="12">
        <v>3526.8510000000001</v>
      </c>
      <c r="J342" s="12">
        <v>-3526.8510000000001</v>
      </c>
      <c r="K342" t="s">
        <v>837</v>
      </c>
      <c r="L342" t="s">
        <v>762</v>
      </c>
      <c r="M342" t="s">
        <v>838</v>
      </c>
    </row>
    <row r="343" spans="1:13">
      <c r="A343" t="s">
        <v>759</v>
      </c>
      <c r="B343" s="10">
        <v>45091</v>
      </c>
      <c r="C343" t="s">
        <v>13</v>
      </c>
      <c r="D343" t="s">
        <v>839</v>
      </c>
      <c r="E343" t="s">
        <v>14</v>
      </c>
      <c r="F343" t="s">
        <v>593</v>
      </c>
      <c r="G343" s="15">
        <v>-2826.24</v>
      </c>
      <c r="H343" s="12">
        <v>-3305.1460000000002</v>
      </c>
      <c r="I343" s="12">
        <v>3305.1460000000002</v>
      </c>
      <c r="J343" s="12">
        <v>-3305.1460000000002</v>
      </c>
      <c r="K343" t="s">
        <v>840</v>
      </c>
      <c r="L343" t="s">
        <v>762</v>
      </c>
      <c r="M343" t="s">
        <v>841</v>
      </c>
    </row>
    <row r="344" spans="1:13">
      <c r="A344" t="s">
        <v>759</v>
      </c>
      <c r="B344" s="10">
        <v>46134</v>
      </c>
      <c r="C344" t="s">
        <v>13</v>
      </c>
      <c r="D344" t="s">
        <v>842</v>
      </c>
      <c r="E344" t="s">
        <v>1638</v>
      </c>
      <c r="F344" t="s">
        <v>593</v>
      </c>
      <c r="G344" s="15">
        <v>-16200</v>
      </c>
      <c r="H344" s="12">
        <v>-18945.09</v>
      </c>
      <c r="I344" s="12">
        <v>3157.5149999999999</v>
      </c>
      <c r="J344" s="12">
        <v>-3157.5149999999999</v>
      </c>
      <c r="K344" t="s">
        <v>843</v>
      </c>
      <c r="L344" t="s">
        <v>829</v>
      </c>
      <c r="M344" t="s">
        <v>844</v>
      </c>
    </row>
    <row r="345" spans="1:13">
      <c r="A345" t="s">
        <v>759</v>
      </c>
      <c r="B345" s="10">
        <v>45008</v>
      </c>
      <c r="C345" t="s">
        <v>13</v>
      </c>
      <c r="D345" t="s">
        <v>845</v>
      </c>
      <c r="E345" t="s">
        <v>1639</v>
      </c>
      <c r="F345" t="s">
        <v>593</v>
      </c>
      <c r="G345" s="15">
        <v>-30631</v>
      </c>
      <c r="H345" s="12">
        <v>-35821.423000000003</v>
      </c>
      <c r="I345" s="12">
        <v>2655.8209999999999</v>
      </c>
      <c r="J345" s="12">
        <v>-2655.8209999999999</v>
      </c>
      <c r="K345" t="s">
        <v>846</v>
      </c>
      <c r="L345" t="s">
        <v>762</v>
      </c>
      <c r="M345" t="s">
        <v>847</v>
      </c>
    </row>
    <row r="346" spans="1:13">
      <c r="A346" t="s">
        <v>759</v>
      </c>
      <c r="B346" s="10">
        <v>45923</v>
      </c>
      <c r="C346" t="s">
        <v>13</v>
      </c>
      <c r="D346" t="s">
        <v>848</v>
      </c>
      <c r="E346" t="s">
        <v>14</v>
      </c>
      <c r="F346" t="s">
        <v>593</v>
      </c>
      <c r="G346" s="15">
        <v>-2180</v>
      </c>
      <c r="H346" s="12">
        <v>-2549.4009999999998</v>
      </c>
      <c r="I346" s="12">
        <v>2549.4009999999998</v>
      </c>
      <c r="J346" s="12">
        <v>-2549.4009999999998</v>
      </c>
      <c r="K346" t="s">
        <v>849</v>
      </c>
      <c r="L346" t="s">
        <v>829</v>
      </c>
      <c r="M346" t="s">
        <v>850</v>
      </c>
    </row>
    <row r="347" spans="1:13">
      <c r="A347" t="s">
        <v>759</v>
      </c>
      <c r="B347" s="10">
        <v>45917</v>
      </c>
      <c r="C347" t="s">
        <v>13</v>
      </c>
      <c r="D347" t="s">
        <v>851</v>
      </c>
      <c r="E347" t="s">
        <v>1640</v>
      </c>
      <c r="F347" t="s">
        <v>593</v>
      </c>
      <c r="G347" s="15">
        <v>-5976</v>
      </c>
      <c r="H347" s="12">
        <v>-6988.6329999999998</v>
      </c>
      <c r="I347" s="12">
        <v>2352.933</v>
      </c>
      <c r="J347" s="12">
        <v>-2352.933</v>
      </c>
      <c r="K347" t="s">
        <v>852</v>
      </c>
      <c r="L347" t="s">
        <v>829</v>
      </c>
      <c r="M347" t="s">
        <v>853</v>
      </c>
    </row>
    <row r="348" spans="1:13">
      <c r="A348" t="s">
        <v>759</v>
      </c>
      <c r="B348" s="10">
        <v>44953</v>
      </c>
      <c r="C348" t="s">
        <v>13</v>
      </c>
      <c r="D348" t="s">
        <v>854</v>
      </c>
      <c r="E348" t="s">
        <v>14</v>
      </c>
      <c r="F348" t="s">
        <v>593</v>
      </c>
      <c r="G348" s="15">
        <v>-2000</v>
      </c>
      <c r="H348" s="12">
        <v>-2338.9</v>
      </c>
      <c r="I348" s="12">
        <v>2338.9</v>
      </c>
      <c r="J348" s="12">
        <v>-2338.9</v>
      </c>
      <c r="K348" t="s">
        <v>855</v>
      </c>
      <c r="L348" t="s">
        <v>829</v>
      </c>
      <c r="M348" t="s">
        <v>856</v>
      </c>
    </row>
    <row r="349" spans="1:13">
      <c r="A349" t="s">
        <v>759</v>
      </c>
      <c r="B349" s="10">
        <v>45442</v>
      </c>
      <c r="C349" t="s">
        <v>13</v>
      </c>
      <c r="D349" t="s">
        <v>857</v>
      </c>
      <c r="E349" t="s">
        <v>1641</v>
      </c>
      <c r="F349" t="s">
        <v>593</v>
      </c>
      <c r="G349" s="15">
        <v>-15500</v>
      </c>
      <c r="H349" s="12">
        <v>-18126.474999999999</v>
      </c>
      <c r="I349" s="12">
        <v>2338.9</v>
      </c>
      <c r="J349" s="12">
        <v>-32386.678</v>
      </c>
      <c r="K349" t="s">
        <v>780</v>
      </c>
      <c r="L349" t="s">
        <v>762</v>
      </c>
      <c r="M349" t="s">
        <v>858</v>
      </c>
    </row>
    <row r="350" spans="1:13">
      <c r="A350" t="s">
        <v>759</v>
      </c>
      <c r="B350" s="10">
        <v>45119</v>
      </c>
      <c r="C350" t="s">
        <v>13</v>
      </c>
      <c r="D350" t="s">
        <v>859</v>
      </c>
      <c r="E350" t="s">
        <v>14</v>
      </c>
      <c r="F350" t="s">
        <v>593</v>
      </c>
      <c r="G350" s="15">
        <v>-1785</v>
      </c>
      <c r="H350" s="12">
        <v>-2087.4679999999998</v>
      </c>
      <c r="I350" s="12">
        <v>2087.4679999999998</v>
      </c>
      <c r="J350" s="12">
        <v>-2087.4679999999998</v>
      </c>
      <c r="K350" t="s">
        <v>860</v>
      </c>
      <c r="L350" t="s">
        <v>762</v>
      </c>
      <c r="M350" t="s">
        <v>861</v>
      </c>
    </row>
    <row r="351" spans="1:13">
      <c r="A351" t="s">
        <v>759</v>
      </c>
      <c r="B351" s="10">
        <v>44860</v>
      </c>
      <c r="C351" t="s">
        <v>13</v>
      </c>
      <c r="D351" t="s">
        <v>862</v>
      </c>
      <c r="E351" t="s">
        <v>14</v>
      </c>
      <c r="F351" t="s">
        <v>593</v>
      </c>
      <c r="G351" s="15">
        <v>-1111.3</v>
      </c>
      <c r="H351" s="12">
        <v>-1299.6099999999999</v>
      </c>
      <c r="I351" s="12">
        <v>1299.6099999999999</v>
      </c>
      <c r="J351" s="12">
        <v>-32386.678</v>
      </c>
      <c r="K351" t="s">
        <v>780</v>
      </c>
      <c r="L351" t="s">
        <v>762</v>
      </c>
      <c r="M351" t="s">
        <v>863</v>
      </c>
    </row>
    <row r="352" spans="1:13">
      <c r="A352" t="s">
        <v>759</v>
      </c>
      <c r="B352" s="10">
        <v>45002</v>
      </c>
      <c r="C352" t="s">
        <v>13</v>
      </c>
      <c r="D352" t="s">
        <v>864</v>
      </c>
      <c r="E352" t="s">
        <v>1642</v>
      </c>
      <c r="F352" t="s">
        <v>593</v>
      </c>
      <c r="G352" s="15">
        <v>-27965</v>
      </c>
      <c r="H352" s="12">
        <v>-32703.669000000002</v>
      </c>
      <c r="I352" s="12">
        <v>1283.097</v>
      </c>
      <c r="J352" s="12">
        <v>-1283.097</v>
      </c>
      <c r="K352" t="s">
        <v>865</v>
      </c>
      <c r="L352" t="s">
        <v>762</v>
      </c>
      <c r="M352" t="s">
        <v>866</v>
      </c>
    </row>
    <row r="353" spans="1:13">
      <c r="A353" t="s">
        <v>759</v>
      </c>
      <c r="B353" s="10">
        <v>46120</v>
      </c>
      <c r="C353" t="s">
        <v>13</v>
      </c>
      <c r="D353" t="s">
        <v>867</v>
      </c>
      <c r="E353" t="s">
        <v>1643</v>
      </c>
      <c r="F353" t="s">
        <v>593</v>
      </c>
      <c r="G353" s="15">
        <v>-6573.6</v>
      </c>
      <c r="H353" s="12">
        <v>-7687.4970000000003</v>
      </c>
      <c r="I353" s="12">
        <v>1281.249</v>
      </c>
      <c r="J353" s="12">
        <v>-1281.249</v>
      </c>
      <c r="K353" t="s">
        <v>868</v>
      </c>
      <c r="L353" t="s">
        <v>829</v>
      </c>
      <c r="M353" t="s">
        <v>869</v>
      </c>
    </row>
    <row r="354" spans="1:13">
      <c r="A354" t="s">
        <v>759</v>
      </c>
      <c r="B354" s="10">
        <v>45155</v>
      </c>
      <c r="C354" t="s">
        <v>13</v>
      </c>
      <c r="D354" t="s">
        <v>870</v>
      </c>
      <c r="E354" t="s">
        <v>14</v>
      </c>
      <c r="F354" t="s">
        <v>593</v>
      </c>
      <c r="G354" s="15">
        <v>-1038.58</v>
      </c>
      <c r="H354" s="12">
        <v>-1214.567</v>
      </c>
      <c r="I354" s="12">
        <v>1214.567</v>
      </c>
      <c r="J354" s="12">
        <v>-32386.678</v>
      </c>
      <c r="K354" t="s">
        <v>780</v>
      </c>
      <c r="L354" t="s">
        <v>762</v>
      </c>
      <c r="M354" t="s">
        <v>871</v>
      </c>
    </row>
    <row r="355" spans="1:13">
      <c r="A355" t="s">
        <v>759</v>
      </c>
      <c r="B355" s="10">
        <v>45811</v>
      </c>
      <c r="C355" t="s">
        <v>13</v>
      </c>
      <c r="D355" t="s">
        <v>872</v>
      </c>
      <c r="E355" t="s">
        <v>1644</v>
      </c>
      <c r="F355" t="s">
        <v>593</v>
      </c>
      <c r="G355" s="15">
        <v>-5950</v>
      </c>
      <c r="H355" s="12">
        <v>-6958.2280000000001</v>
      </c>
      <c r="I355" s="12">
        <v>1110.9780000000001</v>
      </c>
      <c r="J355" s="12">
        <v>-1110.9780000000001</v>
      </c>
      <c r="K355" t="s">
        <v>873</v>
      </c>
      <c r="L355" t="s">
        <v>874</v>
      </c>
      <c r="M355" t="s">
        <v>875</v>
      </c>
    </row>
    <row r="356" spans="1:13">
      <c r="A356" t="s">
        <v>759</v>
      </c>
      <c r="B356" s="10">
        <v>45247</v>
      </c>
      <c r="C356" t="s">
        <v>13</v>
      </c>
      <c r="D356" t="s">
        <v>876</v>
      </c>
      <c r="E356" t="s">
        <v>14</v>
      </c>
      <c r="F356" t="s">
        <v>593</v>
      </c>
      <c r="G356" s="15">
        <v>-942.93</v>
      </c>
      <c r="H356" s="12">
        <v>-1102.7090000000001</v>
      </c>
      <c r="I356" s="12">
        <v>1102.7090000000001</v>
      </c>
      <c r="J356" s="12">
        <v>-1102.7090000000001</v>
      </c>
      <c r="K356" t="s">
        <v>877</v>
      </c>
      <c r="L356" t="s">
        <v>762</v>
      </c>
      <c r="M356" t="s">
        <v>878</v>
      </c>
    </row>
    <row r="357" spans="1:13">
      <c r="A357" t="s">
        <v>759</v>
      </c>
      <c r="B357" s="10">
        <v>46008</v>
      </c>
      <c r="C357" t="s">
        <v>13</v>
      </c>
      <c r="D357" t="s">
        <v>879</v>
      </c>
      <c r="E357" t="s">
        <v>1645</v>
      </c>
      <c r="F357" t="s">
        <v>593</v>
      </c>
      <c r="G357" s="15">
        <v>-14237.53</v>
      </c>
      <c r="H357" s="12">
        <v>-16650.079000000002</v>
      </c>
      <c r="I357" s="12">
        <v>988.80499999999995</v>
      </c>
      <c r="J357" s="12">
        <v>-988.80499999999995</v>
      </c>
      <c r="K357" t="s">
        <v>880</v>
      </c>
      <c r="L357" t="s">
        <v>762</v>
      </c>
      <c r="M357" t="s">
        <v>881</v>
      </c>
    </row>
    <row r="358" spans="1:13">
      <c r="A358" t="s">
        <v>759</v>
      </c>
      <c r="B358" s="10">
        <v>45660</v>
      </c>
      <c r="C358" t="s">
        <v>13</v>
      </c>
      <c r="D358" t="s">
        <v>882</v>
      </c>
      <c r="E358" t="s">
        <v>1646</v>
      </c>
      <c r="F358" t="s">
        <v>593</v>
      </c>
      <c r="G358" s="15">
        <v>-8330</v>
      </c>
      <c r="H358" s="12">
        <v>-9741.5190000000002</v>
      </c>
      <c r="I358" s="12">
        <v>974.15200000000004</v>
      </c>
      <c r="J358" s="12">
        <v>-974.15200000000004</v>
      </c>
      <c r="K358" t="s">
        <v>883</v>
      </c>
      <c r="L358" t="s">
        <v>762</v>
      </c>
      <c r="M358" t="s">
        <v>884</v>
      </c>
    </row>
    <row r="359" spans="1:13">
      <c r="A359" t="s">
        <v>759</v>
      </c>
      <c r="B359" s="10">
        <v>44680</v>
      </c>
      <c r="C359" t="s">
        <v>13</v>
      </c>
      <c r="D359" t="s">
        <v>885</v>
      </c>
      <c r="E359" t="s">
        <v>1647</v>
      </c>
      <c r="F359" t="s">
        <v>593</v>
      </c>
      <c r="G359" s="15">
        <v>-9392.67</v>
      </c>
      <c r="H359" s="12">
        <v>-10984.258</v>
      </c>
      <c r="I359" s="12">
        <v>964.41</v>
      </c>
      <c r="J359" s="12">
        <v>-964.41</v>
      </c>
      <c r="K359" t="s">
        <v>886</v>
      </c>
      <c r="L359" t="s">
        <v>762</v>
      </c>
      <c r="M359" t="s">
        <v>887</v>
      </c>
    </row>
    <row r="360" spans="1:13">
      <c r="A360" t="s">
        <v>759</v>
      </c>
      <c r="B360" s="10">
        <v>46139</v>
      </c>
      <c r="C360" t="s">
        <v>13</v>
      </c>
      <c r="D360" t="s">
        <v>888</v>
      </c>
      <c r="E360" t="s">
        <v>14</v>
      </c>
      <c r="F360" t="s">
        <v>593</v>
      </c>
      <c r="G360" s="15">
        <v>-692.25</v>
      </c>
      <c r="H360" s="12">
        <v>-809.55200000000002</v>
      </c>
      <c r="I360" s="12">
        <v>809.55200000000002</v>
      </c>
      <c r="J360" s="12">
        <v>0</v>
      </c>
      <c r="K360" t="s">
        <v>889</v>
      </c>
      <c r="L360" t="s">
        <v>762</v>
      </c>
      <c r="M360" t="s">
        <v>890</v>
      </c>
    </row>
    <row r="361" spans="1:13">
      <c r="A361" t="s">
        <v>759</v>
      </c>
      <c r="B361" s="10">
        <v>45842</v>
      </c>
      <c r="C361" t="s">
        <v>13</v>
      </c>
      <c r="D361" t="s">
        <v>891</v>
      </c>
      <c r="E361" t="s">
        <v>1648</v>
      </c>
      <c r="F361" t="s">
        <v>593</v>
      </c>
      <c r="G361" s="15">
        <v>-11858</v>
      </c>
      <c r="H361" s="12">
        <v>-13867.338</v>
      </c>
      <c r="I361" s="12">
        <v>769.49800000000005</v>
      </c>
      <c r="J361" s="12">
        <v>-769.49800000000005</v>
      </c>
      <c r="K361" t="s">
        <v>892</v>
      </c>
      <c r="L361" t="s">
        <v>762</v>
      </c>
      <c r="M361" t="s">
        <v>893</v>
      </c>
    </row>
    <row r="362" spans="1:13">
      <c r="A362" t="s">
        <v>759</v>
      </c>
      <c r="B362" s="10">
        <v>44994</v>
      </c>
      <c r="C362" t="s">
        <v>13</v>
      </c>
      <c r="D362" t="s">
        <v>894</v>
      </c>
      <c r="E362" t="s">
        <v>14</v>
      </c>
      <c r="F362" t="s">
        <v>593</v>
      </c>
      <c r="G362" s="15">
        <v>-561.5</v>
      </c>
      <c r="H362" s="12">
        <v>-656.64599999999996</v>
      </c>
      <c r="I362" s="12">
        <v>656.64599999999996</v>
      </c>
      <c r="J362" s="12">
        <v>-656.64599999999996</v>
      </c>
      <c r="K362" t="s">
        <v>895</v>
      </c>
      <c r="L362" t="s">
        <v>800</v>
      </c>
      <c r="M362" t="s">
        <v>896</v>
      </c>
    </row>
    <row r="363" spans="1:13">
      <c r="A363" t="s">
        <v>759</v>
      </c>
      <c r="B363" s="10">
        <v>45790</v>
      </c>
      <c r="C363" t="s">
        <v>13</v>
      </c>
      <c r="D363" t="s">
        <v>897</v>
      </c>
      <c r="E363" t="s">
        <v>1649</v>
      </c>
      <c r="F363" t="s">
        <v>593</v>
      </c>
      <c r="G363" s="15">
        <v>-9996</v>
      </c>
      <c r="H363" s="12">
        <v>-11689.822</v>
      </c>
      <c r="I363" s="12">
        <v>556.65800000000002</v>
      </c>
      <c r="J363" s="12">
        <v>-556.65800000000002</v>
      </c>
      <c r="K363" t="s">
        <v>898</v>
      </c>
      <c r="L363" t="s">
        <v>762</v>
      </c>
      <c r="M363" t="s">
        <v>899</v>
      </c>
    </row>
    <row r="364" spans="1:13">
      <c r="A364" t="s">
        <v>759</v>
      </c>
      <c r="B364" s="10">
        <v>45317</v>
      </c>
      <c r="C364" t="s">
        <v>13</v>
      </c>
      <c r="D364" t="s">
        <v>900</v>
      </c>
      <c r="E364" t="s">
        <v>1650</v>
      </c>
      <c r="F364" t="s">
        <v>593</v>
      </c>
      <c r="G364" s="15">
        <v>-5503.75</v>
      </c>
      <c r="H364" s="12">
        <v>-6436.36</v>
      </c>
      <c r="I364" s="12">
        <v>491.16899999999998</v>
      </c>
      <c r="J364" s="12">
        <v>-491.16899999999998</v>
      </c>
      <c r="K364" t="s">
        <v>901</v>
      </c>
      <c r="L364" t="s">
        <v>762</v>
      </c>
      <c r="M364" t="s">
        <v>902</v>
      </c>
    </row>
    <row r="365" spans="1:13">
      <c r="A365" t="s">
        <v>759</v>
      </c>
      <c r="B365" s="10">
        <v>45629</v>
      </c>
      <c r="C365" t="s">
        <v>13</v>
      </c>
      <c r="D365" t="s">
        <v>903</v>
      </c>
      <c r="E365" t="s">
        <v>14</v>
      </c>
      <c r="F365" t="s">
        <v>593</v>
      </c>
      <c r="G365" s="15">
        <v>-415.36</v>
      </c>
      <c r="H365" s="12">
        <v>-485.74299999999999</v>
      </c>
      <c r="I365" s="12">
        <v>485.74299999999999</v>
      </c>
      <c r="J365" s="12">
        <v>-485.74299999999999</v>
      </c>
      <c r="K365" t="s">
        <v>904</v>
      </c>
      <c r="L365" t="s">
        <v>762</v>
      </c>
      <c r="M365" t="s">
        <v>905</v>
      </c>
    </row>
    <row r="366" spans="1:13">
      <c r="A366" t="s">
        <v>759</v>
      </c>
      <c r="B366" s="10">
        <v>45747</v>
      </c>
      <c r="C366" t="s">
        <v>13</v>
      </c>
      <c r="D366" t="s">
        <v>906</v>
      </c>
      <c r="E366" t="s">
        <v>14</v>
      </c>
      <c r="F366" t="s">
        <v>593</v>
      </c>
      <c r="G366" s="15">
        <v>-378</v>
      </c>
      <c r="H366" s="12">
        <v>-442.05200000000002</v>
      </c>
      <c r="I366" s="12">
        <v>442.05200000000002</v>
      </c>
      <c r="J366" s="12">
        <v>-442.05200000000002</v>
      </c>
      <c r="K366" t="s">
        <v>907</v>
      </c>
      <c r="L366" t="s">
        <v>800</v>
      </c>
      <c r="M366" t="s">
        <v>908</v>
      </c>
    </row>
    <row r="367" spans="1:13">
      <c r="A367" t="s">
        <v>759</v>
      </c>
      <c r="B367" s="10">
        <v>45111</v>
      </c>
      <c r="C367" t="s">
        <v>13</v>
      </c>
      <c r="D367" t="s">
        <v>909</v>
      </c>
      <c r="E367" t="s">
        <v>14</v>
      </c>
      <c r="F367" t="s">
        <v>593</v>
      </c>
      <c r="G367" s="15">
        <v>-372.47</v>
      </c>
      <c r="H367" s="12">
        <v>-435.58499999999998</v>
      </c>
      <c r="I367" s="12">
        <v>435.58499999999998</v>
      </c>
      <c r="J367" s="12">
        <v>-435.58499999999998</v>
      </c>
      <c r="K367" t="s">
        <v>910</v>
      </c>
      <c r="L367" t="s">
        <v>762</v>
      </c>
      <c r="M367" t="s">
        <v>911</v>
      </c>
    </row>
    <row r="368" spans="1:13">
      <c r="A368" t="s">
        <v>759</v>
      </c>
      <c r="B368" s="10">
        <v>45015</v>
      </c>
      <c r="C368" t="s">
        <v>13</v>
      </c>
      <c r="D368" t="s">
        <v>912</v>
      </c>
      <c r="E368" t="s">
        <v>14</v>
      </c>
      <c r="F368" t="s">
        <v>593</v>
      </c>
      <c r="G368" s="15">
        <v>-330</v>
      </c>
      <c r="H368" s="12">
        <v>-385.91899999999998</v>
      </c>
      <c r="I368" s="12">
        <v>385.91899999999998</v>
      </c>
      <c r="J368" s="12">
        <v>-32386.678</v>
      </c>
      <c r="K368" t="s">
        <v>780</v>
      </c>
      <c r="L368" t="s">
        <v>762</v>
      </c>
      <c r="M368" t="s">
        <v>913</v>
      </c>
    </row>
    <row r="369" spans="1:13">
      <c r="A369" t="s">
        <v>759</v>
      </c>
      <c r="B369" s="10">
        <v>45527</v>
      </c>
      <c r="C369" t="s">
        <v>13</v>
      </c>
      <c r="D369" t="s">
        <v>914</v>
      </c>
      <c r="E369" t="s">
        <v>1651</v>
      </c>
      <c r="F369" t="s">
        <v>593</v>
      </c>
      <c r="G369" s="15">
        <v>-2320.5</v>
      </c>
      <c r="H369" s="12">
        <v>-2713.7089999999998</v>
      </c>
      <c r="I369" s="12">
        <v>358.29599999999999</v>
      </c>
      <c r="J369" s="12">
        <v>-358.29599999999999</v>
      </c>
      <c r="K369" t="s">
        <v>915</v>
      </c>
      <c r="L369" t="s">
        <v>762</v>
      </c>
      <c r="M369" t="s">
        <v>916</v>
      </c>
    </row>
    <row r="370" spans="1:13">
      <c r="A370" t="s">
        <v>759</v>
      </c>
      <c r="B370" s="10">
        <v>45314</v>
      </c>
      <c r="C370" t="s">
        <v>13</v>
      </c>
      <c r="D370" t="s">
        <v>917</v>
      </c>
      <c r="E370" t="s">
        <v>1652</v>
      </c>
      <c r="F370" t="s">
        <v>593</v>
      </c>
      <c r="G370" s="15">
        <v>-7047.78</v>
      </c>
      <c r="H370" s="12">
        <v>-8242.0259999999998</v>
      </c>
      <c r="I370" s="12">
        <v>350.83499999999998</v>
      </c>
      <c r="J370" s="12">
        <v>-350.83499999999998</v>
      </c>
      <c r="K370" t="s">
        <v>918</v>
      </c>
      <c r="L370" t="s">
        <v>762</v>
      </c>
      <c r="M370" t="s">
        <v>919</v>
      </c>
    </row>
    <row r="371" spans="1:13">
      <c r="A371" t="s">
        <v>759</v>
      </c>
      <c r="B371" s="10">
        <v>46084</v>
      </c>
      <c r="C371" t="s">
        <v>13</v>
      </c>
      <c r="D371" t="s">
        <v>920</v>
      </c>
      <c r="E371" t="s">
        <v>1653</v>
      </c>
      <c r="F371" t="s">
        <v>593</v>
      </c>
      <c r="G371" s="15">
        <v>-1800</v>
      </c>
      <c r="H371" s="12">
        <v>-2105.0100000000002</v>
      </c>
      <c r="I371" s="12">
        <v>350.83499999999998</v>
      </c>
      <c r="J371" s="12">
        <v>3332.933</v>
      </c>
      <c r="K371" t="s">
        <v>921</v>
      </c>
      <c r="L371" t="s">
        <v>829</v>
      </c>
      <c r="M371" t="s">
        <v>922</v>
      </c>
    </row>
    <row r="372" spans="1:13">
      <c r="A372" t="s">
        <v>759</v>
      </c>
      <c r="B372" s="10">
        <v>45309</v>
      </c>
      <c r="C372" t="s">
        <v>13</v>
      </c>
      <c r="D372" t="s">
        <v>923</v>
      </c>
      <c r="E372" t="s">
        <v>1654</v>
      </c>
      <c r="F372" t="s">
        <v>593</v>
      </c>
      <c r="G372" s="15">
        <v>-15827</v>
      </c>
      <c r="H372" s="12">
        <v>-18508.884999999998</v>
      </c>
      <c r="I372" s="12">
        <v>326.27699999999999</v>
      </c>
      <c r="J372" s="12">
        <v>-3979.346</v>
      </c>
      <c r="K372" t="s">
        <v>834</v>
      </c>
      <c r="L372" t="s">
        <v>762</v>
      </c>
      <c r="M372" t="s">
        <v>924</v>
      </c>
    </row>
    <row r="373" spans="1:13">
      <c r="A373" t="s">
        <v>759</v>
      </c>
      <c r="B373" s="10">
        <v>45321</v>
      </c>
      <c r="C373" t="s">
        <v>13</v>
      </c>
      <c r="D373" t="s">
        <v>925</v>
      </c>
      <c r="E373" t="s">
        <v>1655</v>
      </c>
      <c r="F373" t="s">
        <v>593</v>
      </c>
      <c r="G373" s="15">
        <v>-3010.7</v>
      </c>
      <c r="H373" s="12">
        <v>-3520.8629999999998</v>
      </c>
      <c r="I373" s="12">
        <v>326.27699999999999</v>
      </c>
      <c r="J373" s="12">
        <v>-326.27699999999999</v>
      </c>
      <c r="K373" t="s">
        <v>926</v>
      </c>
      <c r="L373" t="s">
        <v>762</v>
      </c>
      <c r="M373" t="s">
        <v>927</v>
      </c>
    </row>
    <row r="374" spans="1:13">
      <c r="A374" t="s">
        <v>759</v>
      </c>
      <c r="B374" s="10">
        <v>46141</v>
      </c>
      <c r="C374" t="s">
        <v>13</v>
      </c>
      <c r="D374" t="s">
        <v>928</v>
      </c>
      <c r="E374" t="s">
        <v>1656</v>
      </c>
      <c r="F374" t="s">
        <v>593</v>
      </c>
      <c r="G374" s="15">
        <v>-5936.77</v>
      </c>
      <c r="H374" s="12">
        <v>-6942.7560000000003</v>
      </c>
      <c r="I374" s="12">
        <v>262.85700000000003</v>
      </c>
      <c r="J374" s="12">
        <v>-262.85700000000003</v>
      </c>
      <c r="K374" t="s">
        <v>929</v>
      </c>
      <c r="L374" t="s">
        <v>762</v>
      </c>
      <c r="M374" t="s">
        <v>930</v>
      </c>
    </row>
    <row r="375" spans="1:13">
      <c r="A375" t="s">
        <v>759</v>
      </c>
      <c r="B375" s="10">
        <v>45313</v>
      </c>
      <c r="C375" t="s">
        <v>13</v>
      </c>
      <c r="D375" t="s">
        <v>931</v>
      </c>
      <c r="E375" t="s">
        <v>1657</v>
      </c>
      <c r="F375" t="s">
        <v>593</v>
      </c>
      <c r="G375" s="15">
        <v>-8925</v>
      </c>
      <c r="H375" s="12">
        <v>-10437.341</v>
      </c>
      <c r="I375" s="12">
        <v>259.61799999999999</v>
      </c>
      <c r="J375" s="12">
        <v>-259.61799999999999</v>
      </c>
      <c r="K375" t="s">
        <v>932</v>
      </c>
      <c r="L375" t="s">
        <v>762</v>
      </c>
      <c r="M375" t="s">
        <v>933</v>
      </c>
    </row>
    <row r="376" spans="1:13">
      <c r="A376" t="s">
        <v>759</v>
      </c>
      <c r="B376" s="10">
        <v>45174</v>
      </c>
      <c r="C376" t="s">
        <v>13</v>
      </c>
      <c r="D376" t="s">
        <v>934</v>
      </c>
      <c r="E376" t="s">
        <v>1658</v>
      </c>
      <c r="F376" t="s">
        <v>593</v>
      </c>
      <c r="G376" s="15">
        <v>-9163</v>
      </c>
      <c r="H376" s="12">
        <v>-10715.67</v>
      </c>
      <c r="I376" s="12">
        <v>245.58500000000001</v>
      </c>
      <c r="J376" s="12">
        <v>-245.58500000000001</v>
      </c>
      <c r="K376" t="s">
        <v>935</v>
      </c>
      <c r="L376" t="s">
        <v>762</v>
      </c>
      <c r="M376" t="s">
        <v>936</v>
      </c>
    </row>
    <row r="377" spans="1:13">
      <c r="A377" t="s">
        <v>759</v>
      </c>
      <c r="B377" s="10">
        <v>45603</v>
      </c>
      <c r="C377" t="s">
        <v>13</v>
      </c>
      <c r="D377" t="s">
        <v>937</v>
      </c>
      <c r="E377" t="s">
        <v>1659</v>
      </c>
      <c r="F377" t="s">
        <v>593</v>
      </c>
      <c r="G377" s="15">
        <v>-7425</v>
      </c>
      <c r="H377" s="12">
        <v>-8683.1659999999993</v>
      </c>
      <c r="I377" s="12">
        <v>210.501</v>
      </c>
      <c r="J377" s="12">
        <v>-210.501</v>
      </c>
      <c r="K377" t="s">
        <v>938</v>
      </c>
      <c r="L377" t="s">
        <v>14</v>
      </c>
      <c r="M377" t="s">
        <v>939</v>
      </c>
    </row>
    <row r="378" spans="1:13">
      <c r="A378" t="s">
        <v>759</v>
      </c>
      <c r="B378" s="10">
        <v>45791</v>
      </c>
      <c r="C378" t="s">
        <v>13</v>
      </c>
      <c r="D378" t="s">
        <v>940</v>
      </c>
      <c r="E378" t="s">
        <v>14</v>
      </c>
      <c r="F378" t="s">
        <v>593</v>
      </c>
      <c r="G378" s="15">
        <v>-160.55000000000001</v>
      </c>
      <c r="H378" s="12">
        <v>-187.755</v>
      </c>
      <c r="I378" s="12">
        <v>187.755</v>
      </c>
      <c r="J378" s="12">
        <v>-187.755</v>
      </c>
      <c r="K378" t="s">
        <v>941</v>
      </c>
      <c r="L378" t="s">
        <v>762</v>
      </c>
      <c r="M378" t="s">
        <v>942</v>
      </c>
    </row>
    <row r="379" spans="1:13">
      <c r="A379" t="s">
        <v>759</v>
      </c>
      <c r="B379" s="10">
        <v>45217</v>
      </c>
      <c r="C379" t="s">
        <v>13</v>
      </c>
      <c r="D379" t="s">
        <v>943</v>
      </c>
      <c r="E379" t="s">
        <v>1660</v>
      </c>
      <c r="F379" t="s">
        <v>593</v>
      </c>
      <c r="G379" s="15">
        <v>-9048.76</v>
      </c>
      <c r="H379" s="12">
        <v>-10582.072</v>
      </c>
      <c r="I379" s="12">
        <v>175.41800000000001</v>
      </c>
      <c r="J379" s="12">
        <v>-175.41800000000001</v>
      </c>
      <c r="K379" t="s">
        <v>944</v>
      </c>
      <c r="L379" t="s">
        <v>762</v>
      </c>
      <c r="M379" t="s">
        <v>945</v>
      </c>
    </row>
    <row r="380" spans="1:13">
      <c r="A380" t="s">
        <v>759</v>
      </c>
      <c r="B380" s="10">
        <v>45295</v>
      </c>
      <c r="C380" t="s">
        <v>13</v>
      </c>
      <c r="D380" t="s">
        <v>946</v>
      </c>
      <c r="E380" t="s">
        <v>1661</v>
      </c>
      <c r="F380" t="s">
        <v>593</v>
      </c>
      <c r="G380" s="15">
        <v>-6188</v>
      </c>
      <c r="H380" s="12">
        <v>-7236.5569999999998</v>
      </c>
      <c r="I380" s="12">
        <v>175.41800000000001</v>
      </c>
      <c r="J380" s="12">
        <v>-175.41800000000001</v>
      </c>
      <c r="K380" t="s">
        <v>947</v>
      </c>
      <c r="L380" t="s">
        <v>762</v>
      </c>
      <c r="M380" t="s">
        <v>948</v>
      </c>
    </row>
    <row r="381" spans="1:13">
      <c r="A381" t="s">
        <v>759</v>
      </c>
      <c r="B381" s="10">
        <v>45176</v>
      </c>
      <c r="C381" t="s">
        <v>13</v>
      </c>
      <c r="D381" t="s">
        <v>949</v>
      </c>
      <c r="E381" t="s">
        <v>1662</v>
      </c>
      <c r="F381" t="s">
        <v>593</v>
      </c>
      <c r="G381" s="15">
        <v>-4879</v>
      </c>
      <c r="H381" s="12">
        <v>-5705.7470000000003</v>
      </c>
      <c r="I381" s="12">
        <v>134.19399999999999</v>
      </c>
      <c r="J381" s="12">
        <v>-134.19399999999999</v>
      </c>
      <c r="K381" t="s">
        <v>950</v>
      </c>
      <c r="L381" t="s">
        <v>762</v>
      </c>
      <c r="M381" t="s">
        <v>951</v>
      </c>
    </row>
    <row r="382" spans="1:13">
      <c r="A382" t="s">
        <v>759</v>
      </c>
      <c r="B382" s="10">
        <v>46146</v>
      </c>
      <c r="C382" t="s">
        <v>13</v>
      </c>
      <c r="D382" t="s">
        <v>1760</v>
      </c>
      <c r="E382" t="s">
        <v>14</v>
      </c>
      <c r="F382" t="s">
        <v>593</v>
      </c>
      <c r="G382" s="15">
        <v>-80.25</v>
      </c>
      <c r="H382" s="12">
        <v>-93.847999999999999</v>
      </c>
      <c r="I382" s="12">
        <v>93.847999999999999</v>
      </c>
      <c r="J382" s="12">
        <v>-32386.678</v>
      </c>
      <c r="K382" t="s">
        <v>780</v>
      </c>
      <c r="L382" t="s">
        <v>762</v>
      </c>
      <c r="M382" t="s">
        <v>1761</v>
      </c>
    </row>
    <row r="383" spans="1:13">
      <c r="A383" t="s">
        <v>759</v>
      </c>
      <c r="B383" s="10">
        <v>45601</v>
      </c>
      <c r="C383" t="s">
        <v>13</v>
      </c>
      <c r="D383" t="s">
        <v>952</v>
      </c>
      <c r="E383" t="s">
        <v>1663</v>
      </c>
      <c r="F383" t="s">
        <v>593</v>
      </c>
      <c r="G383" s="15">
        <v>-57200</v>
      </c>
      <c r="H383" s="12">
        <v>-66892.539999999994</v>
      </c>
      <c r="I383" s="12">
        <v>93.555999999999997</v>
      </c>
      <c r="J383" s="12">
        <v>-93.555999999999997</v>
      </c>
      <c r="K383" t="s">
        <v>953</v>
      </c>
      <c r="L383" t="s">
        <v>874</v>
      </c>
      <c r="M383" t="s">
        <v>954</v>
      </c>
    </row>
    <row r="384" spans="1:13">
      <c r="A384" t="s">
        <v>759</v>
      </c>
      <c r="B384" s="10">
        <v>45296</v>
      </c>
      <c r="C384" t="s">
        <v>13</v>
      </c>
      <c r="D384" t="s">
        <v>955</v>
      </c>
      <c r="E384" t="s">
        <v>1664</v>
      </c>
      <c r="F384" t="s">
        <v>593</v>
      </c>
      <c r="G384" s="15">
        <v>-4105.5</v>
      </c>
      <c r="H384" s="12">
        <v>-4801.1769999999997</v>
      </c>
      <c r="I384" s="12">
        <v>87.709000000000003</v>
      </c>
      <c r="J384" s="12">
        <v>-87.709000000000003</v>
      </c>
      <c r="K384" t="s">
        <v>956</v>
      </c>
      <c r="L384" t="s">
        <v>762</v>
      </c>
      <c r="M384" t="s">
        <v>957</v>
      </c>
    </row>
    <row r="385" spans="1:13">
      <c r="A385" t="s">
        <v>759</v>
      </c>
      <c r="B385" s="10">
        <v>45316</v>
      </c>
      <c r="C385" t="s">
        <v>13</v>
      </c>
      <c r="D385" t="s">
        <v>958</v>
      </c>
      <c r="E385" t="s">
        <v>1665</v>
      </c>
      <c r="F385" t="s">
        <v>593</v>
      </c>
      <c r="G385" s="15">
        <v>-4373.25</v>
      </c>
      <c r="H385" s="12">
        <v>-5114.2969999999996</v>
      </c>
      <c r="I385" s="12">
        <v>84.411000000000001</v>
      </c>
      <c r="J385" s="12">
        <v>-84.411000000000001</v>
      </c>
      <c r="K385" t="s">
        <v>959</v>
      </c>
      <c r="L385" t="s">
        <v>762</v>
      </c>
      <c r="M385" t="s">
        <v>960</v>
      </c>
    </row>
    <row r="386" spans="1:13">
      <c r="A386" t="s">
        <v>759</v>
      </c>
      <c r="B386" s="10">
        <v>45313</v>
      </c>
      <c r="C386" t="s">
        <v>13</v>
      </c>
      <c r="D386" t="s">
        <v>961</v>
      </c>
      <c r="E386" t="s">
        <v>1666</v>
      </c>
      <c r="F386" t="s">
        <v>593</v>
      </c>
      <c r="G386" s="15">
        <v>-2018.54</v>
      </c>
      <c r="H386" s="12">
        <v>-2360.5819999999999</v>
      </c>
      <c r="I386" s="12">
        <v>84.2</v>
      </c>
      <c r="J386" s="12">
        <v>-84.2</v>
      </c>
      <c r="K386" t="s">
        <v>962</v>
      </c>
      <c r="L386" t="s">
        <v>762</v>
      </c>
      <c r="M386" t="s">
        <v>963</v>
      </c>
    </row>
    <row r="387" spans="1:13">
      <c r="A387" t="s">
        <v>759</v>
      </c>
      <c r="B387" s="10">
        <v>45212</v>
      </c>
      <c r="C387" t="s">
        <v>13</v>
      </c>
      <c r="D387" t="s">
        <v>964</v>
      </c>
      <c r="E387" t="s">
        <v>14</v>
      </c>
      <c r="F387" t="s">
        <v>593</v>
      </c>
      <c r="G387" s="15">
        <v>-68.41</v>
      </c>
      <c r="H387" s="12">
        <v>-80.001999999999995</v>
      </c>
      <c r="I387" s="12">
        <v>80.001999999999995</v>
      </c>
      <c r="J387" s="12">
        <v>-80.001999999999995</v>
      </c>
      <c r="K387" t="s">
        <v>965</v>
      </c>
      <c r="L387" t="s">
        <v>14</v>
      </c>
      <c r="M387" t="s">
        <v>966</v>
      </c>
    </row>
    <row r="388" spans="1:13">
      <c r="A388" t="s">
        <v>967</v>
      </c>
      <c r="B388" s="10">
        <v>45336</v>
      </c>
      <c r="C388" t="s">
        <v>13</v>
      </c>
      <c r="D388" t="s">
        <v>968</v>
      </c>
      <c r="E388" t="s">
        <v>14</v>
      </c>
      <c r="F388" t="s">
        <v>563</v>
      </c>
      <c r="G388" s="14">
        <v>-20447.810000000001</v>
      </c>
      <c r="H388" s="12">
        <v>-27610.269</v>
      </c>
      <c r="I388" s="12">
        <v>27610.269</v>
      </c>
      <c r="J388" s="12">
        <v>-58417.703999999998</v>
      </c>
      <c r="K388" t="s">
        <v>969</v>
      </c>
      <c r="L388" t="s">
        <v>874</v>
      </c>
      <c r="M388" t="s">
        <v>970</v>
      </c>
    </row>
    <row r="389" spans="1:13">
      <c r="A389" t="s">
        <v>967</v>
      </c>
      <c r="B389" s="10">
        <v>45184</v>
      </c>
      <c r="C389" t="s">
        <v>13</v>
      </c>
      <c r="D389" t="s">
        <v>971</v>
      </c>
      <c r="E389" t="s">
        <v>14</v>
      </c>
      <c r="F389" t="s">
        <v>563</v>
      </c>
      <c r="G389" s="14">
        <v>-10618.95</v>
      </c>
      <c r="H389" s="12">
        <v>-14338.556</v>
      </c>
      <c r="I389" s="12">
        <v>14338.556</v>
      </c>
      <c r="J389" s="12">
        <v>-58417.703999999998</v>
      </c>
      <c r="K389" t="s">
        <v>969</v>
      </c>
      <c r="L389" t="s">
        <v>874</v>
      </c>
      <c r="M389" t="s">
        <v>972</v>
      </c>
    </row>
    <row r="390" spans="1:13">
      <c r="A390" t="s">
        <v>967</v>
      </c>
      <c r="B390" s="10">
        <v>44846</v>
      </c>
      <c r="C390" t="s">
        <v>13</v>
      </c>
      <c r="D390" t="s">
        <v>973</v>
      </c>
      <c r="E390" t="s">
        <v>1667</v>
      </c>
      <c r="F390" t="s">
        <v>15</v>
      </c>
      <c r="G390" s="11">
        <v>-55212.34</v>
      </c>
      <c r="H390" s="12">
        <v>-65286.038</v>
      </c>
      <c r="I390" s="12">
        <v>8114.4</v>
      </c>
      <c r="J390" s="12">
        <v>-8114.4</v>
      </c>
      <c r="K390" t="s">
        <v>974</v>
      </c>
      <c r="L390" t="s">
        <v>975</v>
      </c>
      <c r="M390" t="s">
        <v>14</v>
      </c>
    </row>
    <row r="391" spans="1:13">
      <c r="A391" t="s">
        <v>967</v>
      </c>
      <c r="B391" s="10">
        <v>45904</v>
      </c>
      <c r="C391" t="s">
        <v>13</v>
      </c>
      <c r="D391" t="s">
        <v>976</v>
      </c>
      <c r="E391" t="s">
        <v>1668</v>
      </c>
      <c r="F391" t="s">
        <v>593</v>
      </c>
      <c r="G391" s="15">
        <v>-60079.32</v>
      </c>
      <c r="H391" s="12">
        <v>-68872.097999999998</v>
      </c>
      <c r="I391" s="12">
        <v>8047.25</v>
      </c>
      <c r="J391" s="12">
        <v>-8047.25</v>
      </c>
      <c r="K391" t="s">
        <v>977</v>
      </c>
      <c r="L391" t="s">
        <v>754</v>
      </c>
      <c r="M391" t="s">
        <v>978</v>
      </c>
    </row>
    <row r="392" spans="1:13">
      <c r="A392" t="s">
        <v>967</v>
      </c>
      <c r="B392" s="10">
        <v>44914</v>
      </c>
      <c r="C392" t="s">
        <v>13</v>
      </c>
      <c r="D392" t="s">
        <v>979</v>
      </c>
      <c r="E392" t="s">
        <v>1669</v>
      </c>
      <c r="F392" t="s">
        <v>563</v>
      </c>
      <c r="G392" s="14">
        <v>-6711.25</v>
      </c>
      <c r="H392" s="12">
        <v>-9062.0669999999991</v>
      </c>
      <c r="I392" s="12">
        <v>7431.6850000000004</v>
      </c>
      <c r="J392" s="12">
        <v>-9062.0669999999991</v>
      </c>
      <c r="K392" t="s">
        <v>980</v>
      </c>
      <c r="L392" t="s">
        <v>874</v>
      </c>
      <c r="M392" t="s">
        <v>14</v>
      </c>
    </row>
    <row r="393" spans="1:13">
      <c r="A393" t="s">
        <v>967</v>
      </c>
      <c r="B393" s="10">
        <v>45541</v>
      </c>
      <c r="C393" t="s">
        <v>13</v>
      </c>
      <c r="D393" t="s">
        <v>981</v>
      </c>
      <c r="E393" t="s">
        <v>14</v>
      </c>
      <c r="F393" t="s">
        <v>563</v>
      </c>
      <c r="G393" s="14">
        <v>-5384.29</v>
      </c>
      <c r="H393" s="12">
        <v>-7270.299</v>
      </c>
      <c r="I393" s="12">
        <v>7270.299</v>
      </c>
      <c r="J393" s="12">
        <v>-58417.703999999998</v>
      </c>
      <c r="K393" t="s">
        <v>969</v>
      </c>
      <c r="L393" t="s">
        <v>874</v>
      </c>
      <c r="M393" t="s">
        <v>982</v>
      </c>
    </row>
    <row r="394" spans="1:13">
      <c r="A394" t="s">
        <v>967</v>
      </c>
      <c r="B394" s="10">
        <v>46142</v>
      </c>
      <c r="C394" t="s">
        <v>13</v>
      </c>
      <c r="D394" t="s">
        <v>1762</v>
      </c>
      <c r="E394" t="s">
        <v>14</v>
      </c>
      <c r="F394" t="s">
        <v>15</v>
      </c>
      <c r="G394" s="11">
        <v>-7290</v>
      </c>
      <c r="H394" s="12">
        <v>-7152.393</v>
      </c>
      <c r="I394" s="12">
        <v>7152.393</v>
      </c>
      <c r="J394" s="12">
        <v>-7152.393</v>
      </c>
      <c r="K394" t="s">
        <v>1763</v>
      </c>
      <c r="L394" t="s">
        <v>754</v>
      </c>
      <c r="M394" t="s">
        <v>983</v>
      </c>
    </row>
    <row r="395" spans="1:13">
      <c r="A395" t="s">
        <v>967</v>
      </c>
      <c r="B395" s="10">
        <v>46001</v>
      </c>
      <c r="C395" t="s">
        <v>484</v>
      </c>
      <c r="D395" t="s">
        <v>984</v>
      </c>
      <c r="E395" t="s">
        <v>14</v>
      </c>
      <c r="F395" t="s">
        <v>15</v>
      </c>
      <c r="G395" s="11">
        <v>-6942</v>
      </c>
      <c r="H395" s="12">
        <v>-6714.875</v>
      </c>
      <c r="I395" s="12">
        <v>6714.875</v>
      </c>
      <c r="J395" s="12">
        <v>-6714.875</v>
      </c>
      <c r="K395" t="s">
        <v>985</v>
      </c>
      <c r="L395" t="s">
        <v>790</v>
      </c>
      <c r="M395" t="s">
        <v>986</v>
      </c>
    </row>
    <row r="396" spans="1:13">
      <c r="A396" t="s">
        <v>967</v>
      </c>
      <c r="B396" s="10">
        <v>44923</v>
      </c>
      <c r="C396" t="s">
        <v>13</v>
      </c>
      <c r="D396" t="s">
        <v>987</v>
      </c>
      <c r="E396" t="s">
        <v>1670</v>
      </c>
      <c r="F396" t="s">
        <v>563</v>
      </c>
      <c r="G396" s="14">
        <v>-13661.38</v>
      </c>
      <c r="H396" s="12">
        <v>-18446.687999999998</v>
      </c>
      <c r="I396" s="12">
        <v>6293.4930000000004</v>
      </c>
      <c r="J396" s="12">
        <v>-6293.4930000000004</v>
      </c>
      <c r="K396" t="s">
        <v>988</v>
      </c>
      <c r="L396" t="s">
        <v>874</v>
      </c>
      <c r="M396" t="s">
        <v>989</v>
      </c>
    </row>
    <row r="397" spans="1:13">
      <c r="A397" t="s">
        <v>967</v>
      </c>
      <c r="B397" s="10">
        <v>45476</v>
      </c>
      <c r="C397" t="s">
        <v>13</v>
      </c>
      <c r="D397" t="s">
        <v>990</v>
      </c>
      <c r="E397" t="s">
        <v>14</v>
      </c>
      <c r="F397" t="s">
        <v>563</v>
      </c>
      <c r="G397" s="14">
        <v>-4119.6000000000004</v>
      </c>
      <c r="H397" s="12">
        <v>-5562.6130000000003</v>
      </c>
      <c r="I397" s="12">
        <v>5562.6130000000003</v>
      </c>
      <c r="J397" s="12">
        <v>-5562.6130000000003</v>
      </c>
      <c r="K397" t="s">
        <v>991</v>
      </c>
      <c r="L397" t="s">
        <v>874</v>
      </c>
      <c r="M397" t="s">
        <v>992</v>
      </c>
    </row>
    <row r="398" spans="1:13">
      <c r="A398" t="s">
        <v>967</v>
      </c>
      <c r="B398" s="10">
        <v>45474</v>
      </c>
      <c r="C398" t="s">
        <v>13</v>
      </c>
      <c r="D398" t="s">
        <v>993</v>
      </c>
      <c r="E398" t="s">
        <v>14</v>
      </c>
      <c r="F398" t="s">
        <v>563</v>
      </c>
      <c r="G398" s="14">
        <v>-2475</v>
      </c>
      <c r="H398" s="12">
        <v>-3341.9430000000002</v>
      </c>
      <c r="I398" s="12">
        <v>3341.9430000000002</v>
      </c>
      <c r="J398" s="12">
        <v>-3341.9430000000002</v>
      </c>
      <c r="K398" t="s">
        <v>994</v>
      </c>
      <c r="L398" t="s">
        <v>874</v>
      </c>
      <c r="M398" t="s">
        <v>995</v>
      </c>
    </row>
    <row r="399" spans="1:13">
      <c r="A399" t="s">
        <v>967</v>
      </c>
      <c r="B399" s="10">
        <v>45050</v>
      </c>
      <c r="C399" t="s">
        <v>13</v>
      </c>
      <c r="D399" t="s">
        <v>996</v>
      </c>
      <c r="E399" t="s">
        <v>14</v>
      </c>
      <c r="F399" t="s">
        <v>563</v>
      </c>
      <c r="G399" s="14">
        <v>-2173.44</v>
      </c>
      <c r="H399" s="12">
        <v>-2934.7530000000002</v>
      </c>
      <c r="I399" s="12">
        <v>2934.7530000000002</v>
      </c>
      <c r="J399" s="12">
        <v>-58417.703999999998</v>
      </c>
      <c r="K399" t="s">
        <v>969</v>
      </c>
      <c r="L399" t="s">
        <v>874</v>
      </c>
      <c r="M399" t="s">
        <v>997</v>
      </c>
    </row>
    <row r="400" spans="1:13">
      <c r="A400" t="s">
        <v>967</v>
      </c>
      <c r="B400" s="10">
        <v>44974</v>
      </c>
      <c r="C400" t="s">
        <v>13</v>
      </c>
      <c r="D400" t="s">
        <v>998</v>
      </c>
      <c r="E400" t="s">
        <v>1671</v>
      </c>
      <c r="F400" t="s">
        <v>563</v>
      </c>
      <c r="G400" s="14">
        <v>-12022.56</v>
      </c>
      <c r="H400" s="12">
        <v>-16233.822</v>
      </c>
      <c r="I400" s="12">
        <v>2817.44</v>
      </c>
      <c r="J400" s="12">
        <v>-2817.44</v>
      </c>
      <c r="K400" t="s">
        <v>999</v>
      </c>
      <c r="L400" t="s">
        <v>874</v>
      </c>
      <c r="M400" t="s">
        <v>1000</v>
      </c>
    </row>
    <row r="401" spans="1:13">
      <c r="A401" t="s">
        <v>967</v>
      </c>
      <c r="B401" s="10">
        <v>45089</v>
      </c>
      <c r="C401" t="s">
        <v>13</v>
      </c>
      <c r="D401" t="s">
        <v>1001</v>
      </c>
      <c r="E401" t="s">
        <v>14</v>
      </c>
      <c r="F401" t="s">
        <v>563</v>
      </c>
      <c r="G401" s="14">
        <v>-2030.14</v>
      </c>
      <c r="H401" s="12">
        <v>-2741.2570000000001</v>
      </c>
      <c r="I401" s="12">
        <v>2741.2570000000001</v>
      </c>
      <c r="J401" s="12">
        <v>-58417.703999999998</v>
      </c>
      <c r="K401" t="s">
        <v>969</v>
      </c>
      <c r="L401" t="s">
        <v>874</v>
      </c>
      <c r="M401" t="s">
        <v>1002</v>
      </c>
    </row>
    <row r="402" spans="1:13">
      <c r="A402" t="s">
        <v>967</v>
      </c>
      <c r="B402" s="10">
        <v>45624</v>
      </c>
      <c r="C402" t="s">
        <v>13</v>
      </c>
      <c r="D402" t="s">
        <v>1003</v>
      </c>
      <c r="E402" t="s">
        <v>1672</v>
      </c>
      <c r="F402" t="s">
        <v>15</v>
      </c>
      <c r="G402" s="11">
        <v>-9232.89</v>
      </c>
      <c r="H402" s="12">
        <v>-9821.9369999999999</v>
      </c>
      <c r="I402" s="12">
        <v>2083.86</v>
      </c>
      <c r="J402" s="12">
        <v>-2083.86</v>
      </c>
      <c r="K402" t="s">
        <v>1004</v>
      </c>
      <c r="L402" t="s">
        <v>754</v>
      </c>
      <c r="M402" t="s">
        <v>1005</v>
      </c>
    </row>
    <row r="403" spans="1:13">
      <c r="A403" t="s">
        <v>967</v>
      </c>
      <c r="B403" s="10">
        <v>45282</v>
      </c>
      <c r="C403" t="s">
        <v>13</v>
      </c>
      <c r="D403" t="s">
        <v>1006</v>
      </c>
      <c r="E403" t="s">
        <v>1673</v>
      </c>
      <c r="F403" t="s">
        <v>15</v>
      </c>
      <c r="G403" s="11">
        <v>-4800</v>
      </c>
      <c r="H403" s="12">
        <v>-4998.2640000000001</v>
      </c>
      <c r="I403" s="12">
        <v>1832.6949999999999</v>
      </c>
      <c r="J403" s="12">
        <v>-1832.6949999999999</v>
      </c>
      <c r="K403" t="s">
        <v>1007</v>
      </c>
      <c r="L403" t="s">
        <v>790</v>
      </c>
      <c r="M403" t="s">
        <v>1008</v>
      </c>
    </row>
    <row r="404" spans="1:13">
      <c r="A404" t="s">
        <v>967</v>
      </c>
      <c r="B404" s="10">
        <v>44924</v>
      </c>
      <c r="C404" t="s">
        <v>13</v>
      </c>
      <c r="D404" t="s">
        <v>1009</v>
      </c>
      <c r="E404" t="s">
        <v>14</v>
      </c>
      <c r="F404" t="s">
        <v>563</v>
      </c>
      <c r="G404" s="14">
        <v>-1207.44</v>
      </c>
      <c r="H404" s="12">
        <v>-1630.3820000000001</v>
      </c>
      <c r="I404" s="12">
        <v>1630.3820000000001</v>
      </c>
      <c r="J404" s="12">
        <v>-9062.0669999999991</v>
      </c>
      <c r="K404" t="s">
        <v>980</v>
      </c>
      <c r="L404" t="s">
        <v>874</v>
      </c>
      <c r="M404" t="s">
        <v>1010</v>
      </c>
    </row>
    <row r="405" spans="1:13">
      <c r="A405" t="s">
        <v>967</v>
      </c>
      <c r="B405" s="10">
        <v>45310</v>
      </c>
      <c r="C405" t="s">
        <v>13</v>
      </c>
      <c r="D405" t="s">
        <v>1011</v>
      </c>
      <c r="E405" t="s">
        <v>1674</v>
      </c>
      <c r="F405" t="s">
        <v>563</v>
      </c>
      <c r="G405" s="14">
        <v>-4761.2</v>
      </c>
      <c r="H405" s="12">
        <v>-6428.9530000000004</v>
      </c>
      <c r="I405" s="12">
        <v>1606.8330000000001</v>
      </c>
      <c r="J405" s="12">
        <v>-1606.8330000000001</v>
      </c>
      <c r="K405" t="s">
        <v>1012</v>
      </c>
      <c r="L405" t="s">
        <v>874</v>
      </c>
      <c r="M405" t="s">
        <v>1013</v>
      </c>
    </row>
    <row r="406" spans="1:13">
      <c r="A406" t="s">
        <v>967</v>
      </c>
      <c r="B406" s="10">
        <v>45180</v>
      </c>
      <c r="C406" t="s">
        <v>13</v>
      </c>
      <c r="D406" t="s">
        <v>1014</v>
      </c>
      <c r="E406" t="s">
        <v>14</v>
      </c>
      <c r="F406" t="s">
        <v>563</v>
      </c>
      <c r="G406" s="14">
        <v>-1038</v>
      </c>
      <c r="H406" s="12">
        <v>-1401.5909999999999</v>
      </c>
      <c r="I406" s="12">
        <v>1401.5909999999999</v>
      </c>
      <c r="J406" s="12">
        <v>-58417.703999999998</v>
      </c>
      <c r="K406" t="s">
        <v>969</v>
      </c>
      <c r="L406" t="s">
        <v>874</v>
      </c>
      <c r="M406" t="s">
        <v>1015</v>
      </c>
    </row>
    <row r="407" spans="1:13">
      <c r="A407" t="s">
        <v>967</v>
      </c>
      <c r="B407" s="10">
        <v>46114</v>
      </c>
      <c r="C407" t="s">
        <v>13</v>
      </c>
      <c r="D407" t="s">
        <v>1016</v>
      </c>
      <c r="E407" t="s">
        <v>14</v>
      </c>
      <c r="F407" t="s">
        <v>563</v>
      </c>
      <c r="G407" s="14">
        <v>-1023.77</v>
      </c>
      <c r="H407" s="12">
        <v>-1382.376</v>
      </c>
      <c r="I407" s="12">
        <v>1382.376</v>
      </c>
      <c r="J407" s="12">
        <v>-58417.703999999998</v>
      </c>
      <c r="K407" t="s">
        <v>969</v>
      </c>
      <c r="L407" t="s">
        <v>874</v>
      </c>
      <c r="M407" t="s">
        <v>1017</v>
      </c>
    </row>
    <row r="408" spans="1:13">
      <c r="A408" t="s">
        <v>967</v>
      </c>
      <c r="B408" s="10">
        <v>45838</v>
      </c>
      <c r="C408" t="s">
        <v>13</v>
      </c>
      <c r="D408" t="s">
        <v>1018</v>
      </c>
      <c r="E408" t="s">
        <v>14</v>
      </c>
      <c r="F408" t="s">
        <v>563</v>
      </c>
      <c r="G408" s="14">
        <v>-689.23</v>
      </c>
      <c r="H408" s="12">
        <v>-930.65300000000002</v>
      </c>
      <c r="I408" s="12">
        <v>930.65300000000002</v>
      </c>
      <c r="J408" s="12">
        <v>-930.65300000000002</v>
      </c>
      <c r="K408" t="s">
        <v>1019</v>
      </c>
      <c r="L408" t="s">
        <v>874</v>
      </c>
      <c r="M408" t="s">
        <v>1020</v>
      </c>
    </row>
    <row r="409" spans="1:13">
      <c r="A409" t="s">
        <v>967</v>
      </c>
      <c r="B409" s="10">
        <v>46020</v>
      </c>
      <c r="C409" t="s">
        <v>13</v>
      </c>
      <c r="D409" t="s">
        <v>1021</v>
      </c>
      <c r="E409" t="s">
        <v>1675</v>
      </c>
      <c r="F409" t="s">
        <v>15</v>
      </c>
      <c r="G409" s="11">
        <v>-11467.63</v>
      </c>
      <c r="H409" s="12">
        <v>-10075.992</v>
      </c>
      <c r="I409" s="12">
        <v>853.89</v>
      </c>
      <c r="J409" s="12">
        <v>27233.284</v>
      </c>
      <c r="K409" t="s">
        <v>1022</v>
      </c>
      <c r="L409" t="s">
        <v>790</v>
      </c>
      <c r="M409" t="s">
        <v>1023</v>
      </c>
    </row>
    <row r="410" spans="1:13">
      <c r="A410" t="s">
        <v>967</v>
      </c>
      <c r="B410" s="10">
        <v>45133</v>
      </c>
      <c r="C410" t="s">
        <v>13</v>
      </c>
      <c r="D410" t="s">
        <v>1024</v>
      </c>
      <c r="E410" t="s">
        <v>1676</v>
      </c>
      <c r="F410" t="s">
        <v>563</v>
      </c>
      <c r="G410" s="14">
        <v>-1200</v>
      </c>
      <c r="H410" s="12">
        <v>-1620.336</v>
      </c>
      <c r="I410" s="12">
        <v>810.16800000000001</v>
      </c>
      <c r="J410" s="12">
        <v>-810.16800000000001</v>
      </c>
      <c r="K410" t="s">
        <v>1025</v>
      </c>
      <c r="L410" t="s">
        <v>874</v>
      </c>
      <c r="M410" t="s">
        <v>1026</v>
      </c>
    </row>
    <row r="411" spans="1:13">
      <c r="A411" t="s">
        <v>967</v>
      </c>
      <c r="B411" s="10">
        <v>45177</v>
      </c>
      <c r="C411" t="s">
        <v>13</v>
      </c>
      <c r="D411" t="s">
        <v>1027</v>
      </c>
      <c r="E411" t="s">
        <v>14</v>
      </c>
      <c r="F411" t="s">
        <v>563</v>
      </c>
      <c r="G411" s="14">
        <v>-547</v>
      </c>
      <c r="H411" s="12">
        <v>-738.60299999999995</v>
      </c>
      <c r="I411" s="12">
        <v>738.60299999999995</v>
      </c>
      <c r="J411" s="12">
        <v>-58417.703999999998</v>
      </c>
      <c r="K411" t="s">
        <v>969</v>
      </c>
      <c r="L411" t="s">
        <v>874</v>
      </c>
      <c r="M411" t="s">
        <v>1028</v>
      </c>
    </row>
    <row r="412" spans="1:13">
      <c r="A412" t="s">
        <v>967</v>
      </c>
      <c r="B412" s="10">
        <v>46120</v>
      </c>
      <c r="C412" t="s">
        <v>13</v>
      </c>
      <c r="D412" t="s">
        <v>1029</v>
      </c>
      <c r="E412" t="s">
        <v>1677</v>
      </c>
      <c r="F412" t="s">
        <v>563</v>
      </c>
      <c r="G412" s="14">
        <v>-3741.4</v>
      </c>
      <c r="H412" s="12">
        <v>-5051.9380000000001</v>
      </c>
      <c r="I412" s="12">
        <v>675.14</v>
      </c>
      <c r="J412" s="12">
        <v>-675.14</v>
      </c>
      <c r="K412" t="s">
        <v>1030</v>
      </c>
      <c r="L412" t="s">
        <v>874</v>
      </c>
      <c r="M412" t="s">
        <v>1031</v>
      </c>
    </row>
    <row r="413" spans="1:13">
      <c r="A413" t="s">
        <v>967</v>
      </c>
      <c r="B413" s="10">
        <v>45021</v>
      </c>
      <c r="C413" t="s">
        <v>13</v>
      </c>
      <c r="D413" t="s">
        <v>1032</v>
      </c>
      <c r="E413" t="s">
        <v>1678</v>
      </c>
      <c r="F413" t="s">
        <v>15</v>
      </c>
      <c r="G413" s="11">
        <v>-2671.48</v>
      </c>
      <c r="H413" s="12">
        <v>-2916.605</v>
      </c>
      <c r="I413" s="12">
        <v>558.40800000000002</v>
      </c>
      <c r="J413" s="12">
        <v>-558.40800000000002</v>
      </c>
      <c r="K413" t="s">
        <v>1033</v>
      </c>
      <c r="L413" t="s">
        <v>754</v>
      </c>
      <c r="M413" t="s">
        <v>14</v>
      </c>
    </row>
    <row r="414" spans="1:13">
      <c r="A414" t="s">
        <v>967</v>
      </c>
      <c r="B414" s="10">
        <v>45251</v>
      </c>
      <c r="C414" t="s">
        <v>13</v>
      </c>
      <c r="D414" t="s">
        <v>1034</v>
      </c>
      <c r="E414" t="s">
        <v>1679</v>
      </c>
      <c r="F414" t="s">
        <v>563</v>
      </c>
      <c r="G414" s="14">
        <v>-5492.4</v>
      </c>
      <c r="H414" s="12">
        <v>-7416.2780000000002</v>
      </c>
      <c r="I414" s="12">
        <v>529.85</v>
      </c>
      <c r="J414" s="12">
        <v>-529.85</v>
      </c>
      <c r="K414" t="s">
        <v>1035</v>
      </c>
      <c r="L414" t="s">
        <v>874</v>
      </c>
      <c r="M414" t="s">
        <v>1036</v>
      </c>
    </row>
    <row r="415" spans="1:13">
      <c r="A415" t="s">
        <v>967</v>
      </c>
      <c r="B415" s="10">
        <v>45996</v>
      </c>
      <c r="C415" t="s">
        <v>13</v>
      </c>
      <c r="D415" t="s">
        <v>1037</v>
      </c>
      <c r="E415" t="s">
        <v>1680</v>
      </c>
      <c r="F415" t="s">
        <v>563</v>
      </c>
      <c r="G415" s="14">
        <v>-4890</v>
      </c>
      <c r="H415" s="12">
        <v>-6602.8689999999997</v>
      </c>
      <c r="I415" s="12">
        <v>162.03399999999999</v>
      </c>
      <c r="J415" s="12">
        <v>-162.03399999999999</v>
      </c>
      <c r="K415" t="s">
        <v>1038</v>
      </c>
      <c r="L415" t="s">
        <v>874</v>
      </c>
      <c r="M415" t="s">
        <v>1039</v>
      </c>
    </row>
    <row r="416" spans="1:13">
      <c r="A416" t="s">
        <v>967</v>
      </c>
      <c r="B416" s="10">
        <v>45414</v>
      </c>
      <c r="C416" t="s">
        <v>13</v>
      </c>
      <c r="D416" t="s">
        <v>1040</v>
      </c>
      <c r="E416" t="s">
        <v>1681</v>
      </c>
      <c r="F416" t="s">
        <v>593</v>
      </c>
      <c r="G416" s="15">
        <v>-6607.74</v>
      </c>
      <c r="H416" s="12">
        <v>-7463.5649999999996</v>
      </c>
      <c r="I416" s="12">
        <v>121.70099999999999</v>
      </c>
      <c r="J416" s="12">
        <v>-121.70099999999999</v>
      </c>
      <c r="K416" t="s">
        <v>1041</v>
      </c>
      <c r="L416" t="s">
        <v>829</v>
      </c>
      <c r="M416" t="s">
        <v>1042</v>
      </c>
    </row>
    <row r="417" spans="1:13">
      <c r="A417" t="s">
        <v>1043</v>
      </c>
      <c r="B417" s="10">
        <v>43718</v>
      </c>
      <c r="C417" t="s">
        <v>13</v>
      </c>
      <c r="D417" t="s">
        <v>1044</v>
      </c>
      <c r="E417" t="s">
        <v>14</v>
      </c>
      <c r="F417" t="s">
        <v>563</v>
      </c>
      <c r="G417" s="14">
        <v>-12240</v>
      </c>
      <c r="H417" s="12">
        <v>-15983.359</v>
      </c>
      <c r="I417" s="12">
        <v>15983.359</v>
      </c>
      <c r="J417" s="12">
        <v>-26638.932000000001</v>
      </c>
      <c r="K417" t="s">
        <v>1045</v>
      </c>
      <c r="L417" t="s">
        <v>874</v>
      </c>
      <c r="M417" t="s">
        <v>1046</v>
      </c>
    </row>
    <row r="418" spans="1:13">
      <c r="A418" t="s">
        <v>1043</v>
      </c>
      <c r="B418" s="10">
        <v>43796</v>
      </c>
      <c r="C418" t="s">
        <v>484</v>
      </c>
      <c r="D418" t="s">
        <v>1047</v>
      </c>
      <c r="E418" t="s">
        <v>14</v>
      </c>
      <c r="F418" t="s">
        <v>563</v>
      </c>
      <c r="G418" s="14">
        <v>-4999.99</v>
      </c>
      <c r="H418" s="12">
        <v>-6529.1369999999997</v>
      </c>
      <c r="I418" s="12">
        <v>6529.1369999999997</v>
      </c>
      <c r="J418" s="12">
        <v>-6529.1369999999997</v>
      </c>
      <c r="K418" t="s">
        <v>1048</v>
      </c>
      <c r="L418" t="s">
        <v>874</v>
      </c>
      <c r="M418" t="s">
        <v>1049</v>
      </c>
    </row>
    <row r="419" spans="1:13">
      <c r="A419" t="s">
        <v>1043</v>
      </c>
      <c r="B419" s="10">
        <v>43746</v>
      </c>
      <c r="C419" t="s">
        <v>13</v>
      </c>
      <c r="D419" t="s">
        <v>1050</v>
      </c>
      <c r="E419" t="s">
        <v>14</v>
      </c>
      <c r="F419" t="s">
        <v>563</v>
      </c>
      <c r="G419" s="14">
        <v>-4080</v>
      </c>
      <c r="H419" s="12">
        <v>-5327.7860000000001</v>
      </c>
      <c r="I419" s="12">
        <v>5327.7860000000001</v>
      </c>
      <c r="J419" s="12">
        <v>-26638.932000000001</v>
      </c>
      <c r="K419" t="s">
        <v>1045</v>
      </c>
      <c r="L419" t="s">
        <v>874</v>
      </c>
      <c r="M419" t="s">
        <v>1051</v>
      </c>
    </row>
    <row r="420" spans="1:13">
      <c r="A420" t="s">
        <v>1043</v>
      </c>
      <c r="B420" s="10">
        <v>43782</v>
      </c>
      <c r="C420" t="s">
        <v>13</v>
      </c>
      <c r="D420" t="s">
        <v>1052</v>
      </c>
      <c r="E420" t="s">
        <v>1683</v>
      </c>
      <c r="F420" t="s">
        <v>563</v>
      </c>
      <c r="G420" s="14">
        <v>-7600</v>
      </c>
      <c r="H420" s="12">
        <v>-9924.3080000000009</v>
      </c>
      <c r="I420" s="12">
        <v>4962.1540000000005</v>
      </c>
      <c r="J420" s="12">
        <v>-4962.1540000000005</v>
      </c>
      <c r="K420" t="s">
        <v>1053</v>
      </c>
      <c r="L420" t="s">
        <v>874</v>
      </c>
      <c r="M420" t="s">
        <v>1054</v>
      </c>
    </row>
    <row r="421" spans="1:13">
      <c r="A421" t="s">
        <v>1043</v>
      </c>
      <c r="B421" s="10">
        <v>43782</v>
      </c>
      <c r="C421" t="s">
        <v>13</v>
      </c>
      <c r="D421" t="s">
        <v>1052</v>
      </c>
      <c r="E421" t="s">
        <v>1682</v>
      </c>
      <c r="F421" t="s">
        <v>563</v>
      </c>
      <c r="G421" s="14">
        <v>-7600</v>
      </c>
      <c r="H421" s="12">
        <v>-9924.3080000000009</v>
      </c>
      <c r="I421" s="12">
        <v>4962.1540000000005</v>
      </c>
      <c r="J421" s="12">
        <v>-4962.1540000000005</v>
      </c>
      <c r="K421" t="s">
        <v>1053</v>
      </c>
      <c r="L421" t="s">
        <v>874</v>
      </c>
      <c r="M421" t="s">
        <v>1054</v>
      </c>
    </row>
    <row r="422" spans="1:13">
      <c r="A422" t="s">
        <v>1043</v>
      </c>
      <c r="B422" s="10">
        <v>43593</v>
      </c>
      <c r="C422" t="s">
        <v>13</v>
      </c>
      <c r="D422" t="s">
        <v>1055</v>
      </c>
      <c r="E422" t="s">
        <v>14</v>
      </c>
      <c r="F422" t="s">
        <v>563</v>
      </c>
      <c r="G422" s="14">
        <v>-3468</v>
      </c>
      <c r="H422" s="12">
        <v>-4528.6180000000004</v>
      </c>
      <c r="I422" s="12">
        <v>4528.6180000000004</v>
      </c>
      <c r="J422" s="12">
        <v>-4528.6180000000004</v>
      </c>
      <c r="K422" t="s">
        <v>1056</v>
      </c>
      <c r="L422" t="s">
        <v>874</v>
      </c>
      <c r="M422" t="s">
        <v>1057</v>
      </c>
    </row>
    <row r="423" spans="1:13">
      <c r="A423" t="s">
        <v>1043</v>
      </c>
      <c r="B423" s="10">
        <v>43714</v>
      </c>
      <c r="C423" t="s">
        <v>13</v>
      </c>
      <c r="D423" t="s">
        <v>1058</v>
      </c>
      <c r="E423" t="s">
        <v>14</v>
      </c>
      <c r="F423" t="s">
        <v>563</v>
      </c>
      <c r="G423" s="14">
        <v>-2040</v>
      </c>
      <c r="H423" s="12">
        <v>-2663.893</v>
      </c>
      <c r="I423" s="12">
        <v>2663.893</v>
      </c>
      <c r="J423" s="12">
        <v>-26638.932000000001</v>
      </c>
      <c r="K423" t="s">
        <v>1045</v>
      </c>
      <c r="L423" t="s">
        <v>874</v>
      </c>
      <c r="M423" t="s">
        <v>1059</v>
      </c>
    </row>
    <row r="424" spans="1:13">
      <c r="A424" t="s">
        <v>1043</v>
      </c>
      <c r="B424" s="10">
        <v>43742</v>
      </c>
      <c r="C424" t="s">
        <v>13</v>
      </c>
      <c r="D424" t="s">
        <v>1060</v>
      </c>
      <c r="E424" t="s">
        <v>14</v>
      </c>
      <c r="F424" t="s">
        <v>563</v>
      </c>
      <c r="G424" s="14">
        <v>-2040</v>
      </c>
      <c r="H424" s="12">
        <v>-2663.893</v>
      </c>
      <c r="I424" s="12">
        <v>2663.893</v>
      </c>
      <c r="J424" s="12">
        <v>-26638.932000000001</v>
      </c>
      <c r="K424" t="s">
        <v>1045</v>
      </c>
      <c r="L424" t="s">
        <v>874</v>
      </c>
      <c r="M424" t="s">
        <v>1061</v>
      </c>
    </row>
    <row r="425" spans="1:13">
      <c r="A425" t="s">
        <v>1043</v>
      </c>
      <c r="B425" s="10">
        <v>43532</v>
      </c>
      <c r="C425" t="s">
        <v>13</v>
      </c>
      <c r="D425" t="s">
        <v>1062</v>
      </c>
      <c r="E425" t="s">
        <v>1686</v>
      </c>
      <c r="F425" t="s">
        <v>563</v>
      </c>
      <c r="G425" s="14">
        <v>-7372.8</v>
      </c>
      <c r="H425" s="12">
        <v>-9627.6229999999996</v>
      </c>
      <c r="I425" s="12">
        <v>310.56599999999997</v>
      </c>
      <c r="J425" s="12">
        <v>-310.56599999999997</v>
      </c>
      <c r="K425" t="s">
        <v>1063</v>
      </c>
      <c r="L425" t="s">
        <v>874</v>
      </c>
      <c r="M425" t="s">
        <v>14</v>
      </c>
    </row>
    <row r="426" spans="1:13">
      <c r="A426" t="s">
        <v>1043</v>
      </c>
      <c r="B426" s="10">
        <v>43532</v>
      </c>
      <c r="C426" t="s">
        <v>13</v>
      </c>
      <c r="D426" t="s">
        <v>1062</v>
      </c>
      <c r="E426" t="s">
        <v>1685</v>
      </c>
      <c r="F426" t="s">
        <v>563</v>
      </c>
      <c r="G426" s="14">
        <v>-7372.8</v>
      </c>
      <c r="H426" s="12">
        <v>-9627.6229999999996</v>
      </c>
      <c r="I426" s="12">
        <v>310.56599999999997</v>
      </c>
      <c r="J426" s="12">
        <v>-310.56599999999997</v>
      </c>
      <c r="K426" t="s">
        <v>1063</v>
      </c>
      <c r="L426" t="s">
        <v>874</v>
      </c>
      <c r="M426" t="s">
        <v>14</v>
      </c>
    </row>
    <row r="427" spans="1:13">
      <c r="A427" t="s">
        <v>1043</v>
      </c>
      <c r="B427" s="10">
        <v>43532</v>
      </c>
      <c r="C427" t="s">
        <v>13</v>
      </c>
      <c r="D427" t="s">
        <v>1062</v>
      </c>
      <c r="E427" t="s">
        <v>1687</v>
      </c>
      <c r="F427" t="s">
        <v>563</v>
      </c>
      <c r="G427" s="14">
        <v>-7372.8</v>
      </c>
      <c r="H427" s="12">
        <v>-9627.6229999999996</v>
      </c>
      <c r="I427" s="12">
        <v>310.56599999999997</v>
      </c>
      <c r="J427" s="12">
        <v>-310.56599999999997</v>
      </c>
      <c r="K427" t="s">
        <v>1063</v>
      </c>
      <c r="L427" t="s">
        <v>874</v>
      </c>
      <c r="M427" t="s">
        <v>14</v>
      </c>
    </row>
    <row r="428" spans="1:13">
      <c r="A428" t="s">
        <v>1043</v>
      </c>
      <c r="B428" s="10">
        <v>43532</v>
      </c>
      <c r="C428" t="s">
        <v>13</v>
      </c>
      <c r="D428" t="s">
        <v>1062</v>
      </c>
      <c r="E428" t="s">
        <v>1684</v>
      </c>
      <c r="F428" t="s">
        <v>563</v>
      </c>
      <c r="G428" s="14">
        <v>-7372.8</v>
      </c>
      <c r="H428" s="12">
        <v>-9627.6229999999996</v>
      </c>
      <c r="I428" s="12">
        <v>310.56599999999997</v>
      </c>
      <c r="J428" s="12">
        <v>-310.56599999999997</v>
      </c>
      <c r="K428" t="s">
        <v>1063</v>
      </c>
      <c r="L428" t="s">
        <v>874</v>
      </c>
      <c r="M428" t="s">
        <v>14</v>
      </c>
    </row>
    <row r="429" spans="1:13">
      <c r="A429" t="s">
        <v>1043</v>
      </c>
      <c r="B429" s="10">
        <v>43783</v>
      </c>
      <c r="C429" t="s">
        <v>13</v>
      </c>
      <c r="D429" t="s">
        <v>1064</v>
      </c>
      <c r="E429" t="s">
        <v>14</v>
      </c>
      <c r="F429" t="s">
        <v>563</v>
      </c>
      <c r="G429" s="14">
        <v>-26</v>
      </c>
      <c r="H429" s="12">
        <v>-33.951999999999998</v>
      </c>
      <c r="I429" s="12">
        <v>33.951999999999998</v>
      </c>
      <c r="J429" s="12">
        <v>-33.951999999999998</v>
      </c>
      <c r="K429" t="s">
        <v>1065</v>
      </c>
      <c r="L429" t="s">
        <v>874</v>
      </c>
      <c r="M429" t="s">
        <v>1066</v>
      </c>
    </row>
    <row r="430" spans="1:13">
      <c r="A430" t="s">
        <v>1067</v>
      </c>
      <c r="B430" s="10">
        <v>45250</v>
      </c>
      <c r="C430" t="s">
        <v>13</v>
      </c>
      <c r="D430" t="s">
        <v>1068</v>
      </c>
      <c r="E430" t="s">
        <v>1688</v>
      </c>
      <c r="F430" t="s">
        <v>593</v>
      </c>
      <c r="G430" s="15">
        <v>-29700</v>
      </c>
      <c r="H430" s="12">
        <v>-34732.665000000001</v>
      </c>
      <c r="I430" s="12">
        <v>27575.631000000001</v>
      </c>
      <c r="J430" s="12">
        <v>66925.260999999999</v>
      </c>
      <c r="K430" t="s">
        <v>1069</v>
      </c>
      <c r="L430" t="s">
        <v>829</v>
      </c>
      <c r="M430" t="s">
        <v>1070</v>
      </c>
    </row>
    <row r="431" spans="1:13">
      <c r="A431" t="s">
        <v>1067</v>
      </c>
      <c r="B431" s="10">
        <v>46107</v>
      </c>
      <c r="C431" t="s">
        <v>13</v>
      </c>
      <c r="D431" t="s">
        <v>1071</v>
      </c>
      <c r="E431" t="s">
        <v>14</v>
      </c>
      <c r="F431" t="s">
        <v>593</v>
      </c>
      <c r="G431" s="15">
        <v>-22962.560000000001</v>
      </c>
      <c r="H431" s="12">
        <v>-26853.565999999999</v>
      </c>
      <c r="I431" s="12">
        <v>26853.565999999999</v>
      </c>
      <c r="J431" s="12">
        <v>-37326.411999999997</v>
      </c>
      <c r="K431" t="s">
        <v>1072</v>
      </c>
      <c r="L431" t="s">
        <v>14</v>
      </c>
      <c r="M431" t="s">
        <v>1073</v>
      </c>
    </row>
    <row r="432" spans="1:13">
      <c r="A432" t="s">
        <v>1067</v>
      </c>
      <c r="B432" s="10">
        <v>45499</v>
      </c>
      <c r="C432" t="s">
        <v>13</v>
      </c>
      <c r="D432" t="s">
        <v>1074</v>
      </c>
      <c r="E432" t="s">
        <v>1689</v>
      </c>
      <c r="F432" t="s">
        <v>593</v>
      </c>
      <c r="G432" s="15">
        <v>-26400</v>
      </c>
      <c r="H432" s="12">
        <v>-30873.48</v>
      </c>
      <c r="I432" s="12">
        <v>15436.74</v>
      </c>
      <c r="J432" s="12">
        <v>-15436.74</v>
      </c>
      <c r="K432" t="s">
        <v>1075</v>
      </c>
      <c r="L432" t="s">
        <v>14</v>
      </c>
      <c r="M432" t="s">
        <v>1076</v>
      </c>
    </row>
    <row r="433" spans="1:13">
      <c r="A433" t="s">
        <v>1067</v>
      </c>
      <c r="B433" s="10">
        <v>45937</v>
      </c>
      <c r="C433" t="s">
        <v>484</v>
      </c>
      <c r="D433" t="s">
        <v>1077</v>
      </c>
      <c r="E433" t="s">
        <v>1690</v>
      </c>
      <c r="F433" t="s">
        <v>15</v>
      </c>
      <c r="G433" s="11">
        <v>-39000</v>
      </c>
      <c r="H433" s="12">
        <v>-38120.644</v>
      </c>
      <c r="I433" s="12">
        <v>15248.26</v>
      </c>
      <c r="J433" s="12">
        <v>66925.260999999999</v>
      </c>
      <c r="K433" t="s">
        <v>1069</v>
      </c>
      <c r="L433" t="s">
        <v>829</v>
      </c>
      <c r="M433" t="s">
        <v>1078</v>
      </c>
    </row>
    <row r="434" spans="1:13">
      <c r="A434" t="s">
        <v>1067</v>
      </c>
      <c r="B434" s="10">
        <v>45168</v>
      </c>
      <c r="C434" t="s">
        <v>13</v>
      </c>
      <c r="D434" t="s">
        <v>1079</v>
      </c>
      <c r="E434" t="s">
        <v>14</v>
      </c>
      <c r="F434" t="s">
        <v>593</v>
      </c>
      <c r="G434" s="15">
        <v>-8200</v>
      </c>
      <c r="H434" s="12">
        <v>-9589.49</v>
      </c>
      <c r="I434" s="12">
        <v>9589.49</v>
      </c>
      <c r="J434" s="12">
        <v>-9589.49</v>
      </c>
      <c r="K434" t="s">
        <v>1080</v>
      </c>
      <c r="L434" t="s">
        <v>14</v>
      </c>
      <c r="M434" t="s">
        <v>1081</v>
      </c>
    </row>
    <row r="435" spans="1:13">
      <c r="A435" t="s">
        <v>1067</v>
      </c>
      <c r="B435" s="10">
        <v>46000</v>
      </c>
      <c r="C435" t="s">
        <v>13</v>
      </c>
      <c r="D435" t="s">
        <v>1082</v>
      </c>
      <c r="E435" t="s">
        <v>1691</v>
      </c>
      <c r="F435" t="s">
        <v>593</v>
      </c>
      <c r="G435" s="15">
        <v>-19650.2</v>
      </c>
      <c r="H435" s="12">
        <v>-22979.925999999999</v>
      </c>
      <c r="I435" s="12">
        <v>8399.2240000000002</v>
      </c>
      <c r="J435" s="12">
        <v>66925.260999999999</v>
      </c>
      <c r="K435" t="s">
        <v>1069</v>
      </c>
      <c r="L435" t="s">
        <v>829</v>
      </c>
      <c r="M435" t="s">
        <v>1083</v>
      </c>
    </row>
    <row r="436" spans="1:13">
      <c r="A436" t="s">
        <v>1067</v>
      </c>
      <c r="B436" s="10">
        <v>44875</v>
      </c>
      <c r="C436" t="s">
        <v>13</v>
      </c>
      <c r="D436" t="s">
        <v>1084</v>
      </c>
      <c r="E436" t="s">
        <v>14</v>
      </c>
      <c r="F436" t="s">
        <v>593</v>
      </c>
      <c r="G436" s="15">
        <v>-6000</v>
      </c>
      <c r="H436" s="12">
        <v>-7016.7</v>
      </c>
      <c r="I436" s="12">
        <v>7016.7</v>
      </c>
      <c r="J436" s="12">
        <v>-7016.7</v>
      </c>
      <c r="K436" t="s">
        <v>1085</v>
      </c>
      <c r="L436" t="s">
        <v>829</v>
      </c>
      <c r="M436" t="s">
        <v>1086</v>
      </c>
    </row>
    <row r="437" spans="1:13">
      <c r="A437" t="s">
        <v>1067</v>
      </c>
      <c r="B437" s="10">
        <v>45107</v>
      </c>
      <c r="C437" t="s">
        <v>13</v>
      </c>
      <c r="D437" t="s">
        <v>1087</v>
      </c>
      <c r="E437" t="s">
        <v>14</v>
      </c>
      <c r="F437" t="s">
        <v>593</v>
      </c>
      <c r="G437" s="15">
        <v>-4015.45</v>
      </c>
      <c r="H437" s="12">
        <v>-4695.8680000000004</v>
      </c>
      <c r="I437" s="12">
        <v>4695.8680000000004</v>
      </c>
      <c r="J437" s="12">
        <v>-37326.411999999997</v>
      </c>
      <c r="K437" t="s">
        <v>1072</v>
      </c>
      <c r="L437" t="s">
        <v>14</v>
      </c>
      <c r="M437" t="s">
        <v>1088</v>
      </c>
    </row>
    <row r="438" spans="1:13">
      <c r="A438" t="s">
        <v>1067</v>
      </c>
      <c r="B438" s="10">
        <v>44938</v>
      </c>
      <c r="C438" t="s">
        <v>13</v>
      </c>
      <c r="D438" t="s">
        <v>1089</v>
      </c>
      <c r="E438" t="s">
        <v>14</v>
      </c>
      <c r="F438" t="s">
        <v>593</v>
      </c>
      <c r="G438" s="15">
        <v>-3600</v>
      </c>
      <c r="H438" s="12">
        <v>-4210.0200000000004</v>
      </c>
      <c r="I438" s="12">
        <v>4210.0200000000004</v>
      </c>
      <c r="J438" s="12">
        <v>-37326.411999999997</v>
      </c>
      <c r="K438" t="s">
        <v>1072</v>
      </c>
      <c r="L438" t="s">
        <v>14</v>
      </c>
      <c r="M438" t="s">
        <v>1090</v>
      </c>
    </row>
    <row r="439" spans="1:13">
      <c r="A439" t="s">
        <v>1067</v>
      </c>
      <c r="B439" s="10">
        <v>45071</v>
      </c>
      <c r="C439" t="s">
        <v>13</v>
      </c>
      <c r="D439" t="s">
        <v>1091</v>
      </c>
      <c r="E439" t="s">
        <v>14</v>
      </c>
      <c r="F439" t="s">
        <v>593</v>
      </c>
      <c r="G439" s="15">
        <v>-1339.91</v>
      </c>
      <c r="H439" s="12">
        <v>-1566.9580000000001</v>
      </c>
      <c r="I439" s="12">
        <v>1566.9580000000001</v>
      </c>
      <c r="J439" s="12">
        <v>-37326.411999999997</v>
      </c>
      <c r="K439" t="s">
        <v>1072</v>
      </c>
      <c r="L439" t="s">
        <v>14</v>
      </c>
      <c r="M439" t="s">
        <v>1092</v>
      </c>
    </row>
    <row r="440" spans="1:13">
      <c r="A440" t="s">
        <v>1067</v>
      </c>
      <c r="B440" s="10">
        <v>45097</v>
      </c>
      <c r="C440" t="s">
        <v>13</v>
      </c>
      <c r="D440" t="s">
        <v>1093</v>
      </c>
      <c r="E440" t="s">
        <v>14</v>
      </c>
      <c r="F440" t="s">
        <v>593</v>
      </c>
      <c r="G440" s="15">
        <v>-756</v>
      </c>
      <c r="H440" s="12">
        <v>-884.10400000000004</v>
      </c>
      <c r="I440" s="12">
        <v>884.10400000000004</v>
      </c>
      <c r="J440" s="12">
        <v>-884.10400000000004</v>
      </c>
      <c r="K440" t="s">
        <v>1094</v>
      </c>
      <c r="L440" t="s">
        <v>14</v>
      </c>
      <c r="M440" t="s">
        <v>1095</v>
      </c>
    </row>
    <row r="441" spans="1:13">
      <c r="A441" t="s">
        <v>1067</v>
      </c>
      <c r="B441" s="10">
        <v>45442</v>
      </c>
      <c r="C441" t="s">
        <v>13</v>
      </c>
      <c r="D441" t="s">
        <v>1096</v>
      </c>
      <c r="E441" t="s">
        <v>1692</v>
      </c>
      <c r="F441" t="s">
        <v>593</v>
      </c>
      <c r="G441" s="15">
        <v>-46048.32</v>
      </c>
      <c r="H441" s="12">
        <v>-53851.207999999999</v>
      </c>
      <c r="I441" s="12">
        <v>66.238</v>
      </c>
      <c r="J441" s="12">
        <v>-66.238</v>
      </c>
      <c r="K441" t="s">
        <v>1097</v>
      </c>
      <c r="L441" t="s">
        <v>829</v>
      </c>
      <c r="M441" t="s">
        <v>14</v>
      </c>
    </row>
    <row r="442" spans="1:13">
      <c r="A442" t="s">
        <v>1067</v>
      </c>
      <c r="B442" s="10">
        <v>45442</v>
      </c>
      <c r="C442" t="s">
        <v>13</v>
      </c>
      <c r="D442" t="s">
        <v>1096</v>
      </c>
      <c r="E442" t="s">
        <v>1693</v>
      </c>
      <c r="F442" t="s">
        <v>593</v>
      </c>
      <c r="G442" s="15">
        <v>-46048.32</v>
      </c>
      <c r="H442" s="12">
        <v>-53851.207999999999</v>
      </c>
      <c r="I442" s="12">
        <v>66.238</v>
      </c>
      <c r="J442" s="12">
        <v>-66.238</v>
      </c>
      <c r="K442" t="s">
        <v>1097</v>
      </c>
      <c r="L442" t="s">
        <v>829</v>
      </c>
      <c r="M442" t="s">
        <v>14</v>
      </c>
    </row>
    <row r="443" spans="1:13">
      <c r="A443" t="s">
        <v>1098</v>
      </c>
      <c r="B443" s="10">
        <v>46099</v>
      </c>
      <c r="C443" t="s">
        <v>13</v>
      </c>
      <c r="D443" t="s">
        <v>1099</v>
      </c>
      <c r="E443" t="s">
        <v>14</v>
      </c>
      <c r="F443" t="s">
        <v>1100</v>
      </c>
      <c r="G443" s="20">
        <v>-839547.45</v>
      </c>
      <c r="H443" s="12">
        <v>-228603.73300000001</v>
      </c>
      <c r="I443" s="12">
        <v>228603.73300000001</v>
      </c>
      <c r="J443" s="12">
        <v>-318643.51400000002</v>
      </c>
      <c r="K443" t="s">
        <v>1101</v>
      </c>
      <c r="L443" t="s">
        <v>975</v>
      </c>
      <c r="M443" t="s">
        <v>1102</v>
      </c>
    </row>
    <row r="444" spans="1:13">
      <c r="A444" t="s">
        <v>1098</v>
      </c>
      <c r="B444" s="10">
        <v>45938</v>
      </c>
      <c r="C444" t="s">
        <v>13</v>
      </c>
      <c r="D444" t="s">
        <v>1103</v>
      </c>
      <c r="E444" t="s">
        <v>1694</v>
      </c>
      <c r="F444" t="s">
        <v>15</v>
      </c>
      <c r="G444" s="11">
        <v>-45028</v>
      </c>
      <c r="H444" s="12">
        <v>-44788.898999999998</v>
      </c>
      <c r="I444" s="12">
        <v>43595.271000000001</v>
      </c>
      <c r="J444" s="12">
        <v>-43595.271000000001</v>
      </c>
      <c r="K444" t="s">
        <v>1104</v>
      </c>
      <c r="L444" t="s">
        <v>975</v>
      </c>
      <c r="M444" t="s">
        <v>1105</v>
      </c>
    </row>
    <row r="445" spans="1:13">
      <c r="A445" t="s">
        <v>1098</v>
      </c>
      <c r="B445" s="10">
        <v>45903</v>
      </c>
      <c r="C445" t="s">
        <v>13</v>
      </c>
      <c r="D445" t="s">
        <v>1106</v>
      </c>
      <c r="E445" t="s">
        <v>14</v>
      </c>
      <c r="F445" t="s">
        <v>15</v>
      </c>
      <c r="G445" s="11">
        <v>-20746</v>
      </c>
      <c r="H445" s="12">
        <v>-20635.839</v>
      </c>
      <c r="I445" s="12">
        <v>20635.839</v>
      </c>
      <c r="J445" s="12">
        <v>-20635.839</v>
      </c>
      <c r="K445" t="s">
        <v>1107</v>
      </c>
      <c r="L445" t="s">
        <v>975</v>
      </c>
      <c r="M445" t="s">
        <v>1108</v>
      </c>
    </row>
    <row r="446" spans="1:13">
      <c r="A446" t="s">
        <v>1098</v>
      </c>
      <c r="B446" s="10">
        <v>45836</v>
      </c>
      <c r="C446" t="s">
        <v>13</v>
      </c>
      <c r="D446" t="s">
        <v>1109</v>
      </c>
      <c r="E446" t="s">
        <v>14</v>
      </c>
      <c r="F446" t="s">
        <v>1100</v>
      </c>
      <c r="G446" s="20">
        <v>-63598.73</v>
      </c>
      <c r="H446" s="12">
        <v>-17317.553</v>
      </c>
      <c r="I446" s="12">
        <v>17317.553</v>
      </c>
      <c r="J446" s="12">
        <v>-318643.51400000002</v>
      </c>
      <c r="K446" t="s">
        <v>1101</v>
      </c>
      <c r="L446" t="s">
        <v>975</v>
      </c>
      <c r="M446" t="s">
        <v>1110</v>
      </c>
    </row>
    <row r="447" spans="1:13">
      <c r="A447" t="s">
        <v>1098</v>
      </c>
      <c r="B447" s="10">
        <v>45288</v>
      </c>
      <c r="C447" t="s">
        <v>13</v>
      </c>
      <c r="D447" t="s">
        <v>1111</v>
      </c>
      <c r="E447" t="s">
        <v>14</v>
      </c>
      <c r="F447" t="s">
        <v>1100</v>
      </c>
      <c r="G447" s="20">
        <v>-39195</v>
      </c>
      <c r="H447" s="12">
        <v>-10672.563</v>
      </c>
      <c r="I447" s="12">
        <v>10672.563</v>
      </c>
      <c r="J447" s="12">
        <v>-318643.51400000002</v>
      </c>
      <c r="K447" t="s">
        <v>1101</v>
      </c>
      <c r="L447" t="s">
        <v>975</v>
      </c>
      <c r="M447" t="s">
        <v>1112</v>
      </c>
    </row>
    <row r="448" spans="1:13">
      <c r="A448" t="s">
        <v>1098</v>
      </c>
      <c r="B448" s="10">
        <v>44678</v>
      </c>
      <c r="C448" t="s">
        <v>13</v>
      </c>
      <c r="D448" t="s">
        <v>1113</v>
      </c>
      <c r="E448" t="s">
        <v>14</v>
      </c>
      <c r="F448" t="s">
        <v>1100</v>
      </c>
      <c r="G448" s="20">
        <v>-38980</v>
      </c>
      <c r="H448" s="12">
        <v>-10614.02</v>
      </c>
      <c r="I448" s="12">
        <v>10614.02</v>
      </c>
      <c r="J448" s="12">
        <v>-318643.51400000002</v>
      </c>
      <c r="K448" t="s">
        <v>1101</v>
      </c>
      <c r="L448" t="s">
        <v>975</v>
      </c>
      <c r="M448" t="s">
        <v>1114</v>
      </c>
    </row>
    <row r="449" spans="1:13">
      <c r="A449" t="s">
        <v>1098</v>
      </c>
      <c r="B449" s="10">
        <v>45205</v>
      </c>
      <c r="C449" t="s">
        <v>13</v>
      </c>
      <c r="D449" t="s">
        <v>1115</v>
      </c>
      <c r="E449" t="s">
        <v>14</v>
      </c>
      <c r="F449" t="s">
        <v>1100</v>
      </c>
      <c r="G449" s="20">
        <v>-35898</v>
      </c>
      <c r="H449" s="12">
        <v>-9774.81</v>
      </c>
      <c r="I449" s="12">
        <v>9774.81</v>
      </c>
      <c r="J449" s="12">
        <v>-318643.51400000002</v>
      </c>
      <c r="K449" t="s">
        <v>1101</v>
      </c>
      <c r="L449" t="s">
        <v>975</v>
      </c>
      <c r="M449" t="s">
        <v>1116</v>
      </c>
    </row>
    <row r="450" spans="1:13">
      <c r="A450" t="s">
        <v>1098</v>
      </c>
      <c r="B450" s="10">
        <v>45421</v>
      </c>
      <c r="C450" t="s">
        <v>13</v>
      </c>
      <c r="D450" t="s">
        <v>1117</v>
      </c>
      <c r="E450" t="s">
        <v>14</v>
      </c>
      <c r="F450" t="s">
        <v>1100</v>
      </c>
      <c r="G450" s="20">
        <v>-34198</v>
      </c>
      <c r="H450" s="12">
        <v>-9311.91</v>
      </c>
      <c r="I450" s="12">
        <v>9311.91</v>
      </c>
      <c r="J450" s="12">
        <v>-318643.51400000002</v>
      </c>
      <c r="K450" t="s">
        <v>1101</v>
      </c>
      <c r="L450" t="s">
        <v>975</v>
      </c>
      <c r="M450" t="s">
        <v>1118</v>
      </c>
    </row>
    <row r="451" spans="1:13">
      <c r="A451" t="s">
        <v>1098</v>
      </c>
      <c r="B451" s="10">
        <v>45405</v>
      </c>
      <c r="C451" t="s">
        <v>13</v>
      </c>
      <c r="D451" t="s">
        <v>1119</v>
      </c>
      <c r="E451" t="s">
        <v>14</v>
      </c>
      <c r="F451" t="s">
        <v>1100</v>
      </c>
      <c r="G451" s="20">
        <v>-30086.87</v>
      </c>
      <c r="H451" s="12">
        <v>-8192.4740000000002</v>
      </c>
      <c r="I451" s="12">
        <v>8192.4740000000002</v>
      </c>
      <c r="J451" s="12">
        <v>-318643.51400000002</v>
      </c>
      <c r="K451" t="s">
        <v>1101</v>
      </c>
      <c r="L451" t="s">
        <v>975</v>
      </c>
      <c r="M451" t="s">
        <v>1120</v>
      </c>
    </row>
    <row r="452" spans="1:13">
      <c r="A452" t="s">
        <v>1098</v>
      </c>
      <c r="B452" s="10">
        <v>45840</v>
      </c>
      <c r="C452" t="s">
        <v>13</v>
      </c>
      <c r="D452" t="s">
        <v>1121</v>
      </c>
      <c r="E452" t="s">
        <v>14</v>
      </c>
      <c r="F452" t="s">
        <v>1100</v>
      </c>
      <c r="G452" s="20">
        <v>-28402.080000000002</v>
      </c>
      <c r="H452" s="12">
        <v>-7733.7160000000003</v>
      </c>
      <c r="I452" s="12">
        <v>7733.7160000000003</v>
      </c>
      <c r="J452" s="12">
        <v>-318643.51400000002</v>
      </c>
      <c r="K452" t="s">
        <v>1101</v>
      </c>
      <c r="L452" t="s">
        <v>975</v>
      </c>
      <c r="M452" t="s">
        <v>1122</v>
      </c>
    </row>
    <row r="453" spans="1:13">
      <c r="A453" t="s">
        <v>1098</v>
      </c>
      <c r="B453" s="10">
        <v>44965</v>
      </c>
      <c r="C453" t="s">
        <v>13</v>
      </c>
      <c r="D453" t="s">
        <v>1123</v>
      </c>
      <c r="E453" t="s">
        <v>14</v>
      </c>
      <c r="F453" t="s">
        <v>1100</v>
      </c>
      <c r="G453" s="20">
        <v>-24255.919999999998</v>
      </c>
      <c r="H453" s="12">
        <v>-6604.741</v>
      </c>
      <c r="I453" s="12">
        <v>6604.741</v>
      </c>
      <c r="J453" s="12">
        <v>-318643.51400000002</v>
      </c>
      <c r="K453" t="s">
        <v>1101</v>
      </c>
      <c r="L453" t="s">
        <v>975</v>
      </c>
      <c r="M453" t="s">
        <v>1124</v>
      </c>
    </row>
    <row r="454" spans="1:13">
      <c r="A454" t="s">
        <v>1098</v>
      </c>
      <c r="B454" s="10">
        <v>46135</v>
      </c>
      <c r="C454" t="s">
        <v>13</v>
      </c>
      <c r="D454" t="s">
        <v>1125</v>
      </c>
      <c r="E454" t="s">
        <v>1695</v>
      </c>
      <c r="F454" t="s">
        <v>15</v>
      </c>
      <c r="G454" s="11">
        <v>-37058.82</v>
      </c>
      <c r="H454" s="12">
        <v>-37009.178999999996</v>
      </c>
      <c r="I454" s="12">
        <v>5551.375</v>
      </c>
      <c r="J454" s="12">
        <v>-5551.375</v>
      </c>
      <c r="K454" t="s">
        <v>1126</v>
      </c>
      <c r="L454" t="s">
        <v>14</v>
      </c>
      <c r="M454" t="s">
        <v>1127</v>
      </c>
    </row>
    <row r="455" spans="1:13">
      <c r="A455" t="s">
        <v>1098</v>
      </c>
      <c r="B455" s="10">
        <v>46098</v>
      </c>
      <c r="C455" t="s">
        <v>13</v>
      </c>
      <c r="D455" t="s">
        <v>1128</v>
      </c>
      <c r="E455" t="s">
        <v>1696</v>
      </c>
      <c r="F455" t="s">
        <v>15</v>
      </c>
      <c r="G455" s="11">
        <v>-31199.73</v>
      </c>
      <c r="H455" s="12">
        <v>-31199.719000000001</v>
      </c>
      <c r="I455" s="12">
        <v>4699.7290000000003</v>
      </c>
      <c r="J455" s="12">
        <v>43953.078999999998</v>
      </c>
      <c r="K455" t="s">
        <v>1129</v>
      </c>
      <c r="L455" t="s">
        <v>975</v>
      </c>
      <c r="M455" t="s">
        <v>1130</v>
      </c>
    </row>
    <row r="456" spans="1:13">
      <c r="A456" t="s">
        <v>1098</v>
      </c>
      <c r="B456" s="10">
        <v>46141</v>
      </c>
      <c r="C456" t="s">
        <v>13</v>
      </c>
      <c r="D456" t="s">
        <v>1131</v>
      </c>
      <c r="E456" t="s">
        <v>1697</v>
      </c>
      <c r="F456" t="s">
        <v>15</v>
      </c>
      <c r="G456" s="11">
        <v>-30956</v>
      </c>
      <c r="H456" s="12">
        <v>-30791.624</v>
      </c>
      <c r="I456" s="12">
        <v>4584.8649999999998</v>
      </c>
      <c r="J456" s="12">
        <v>-4584.8649999999998</v>
      </c>
      <c r="K456" t="s">
        <v>1132</v>
      </c>
      <c r="L456" t="s">
        <v>975</v>
      </c>
      <c r="M456" t="s">
        <v>1133</v>
      </c>
    </row>
    <row r="457" spans="1:13">
      <c r="A457" t="s">
        <v>1098</v>
      </c>
      <c r="B457" s="10">
        <v>46098</v>
      </c>
      <c r="C457" t="s">
        <v>13</v>
      </c>
      <c r="D457" t="s">
        <v>1134</v>
      </c>
      <c r="E457" t="s">
        <v>1698</v>
      </c>
      <c r="F457" t="s">
        <v>15</v>
      </c>
      <c r="G457" s="11">
        <v>-43656.67</v>
      </c>
      <c r="H457" s="12">
        <v>-43424.853999999999</v>
      </c>
      <c r="I457" s="12">
        <v>4333.5370000000003</v>
      </c>
      <c r="J457" s="12">
        <v>-4333.5370000000003</v>
      </c>
      <c r="K457" t="s">
        <v>1135</v>
      </c>
      <c r="L457" t="s">
        <v>975</v>
      </c>
      <c r="M457" t="s">
        <v>1136</v>
      </c>
    </row>
    <row r="458" spans="1:13">
      <c r="A458" t="s">
        <v>1098</v>
      </c>
      <c r="B458" s="10">
        <v>46084</v>
      </c>
      <c r="C458" t="s">
        <v>13</v>
      </c>
      <c r="D458" t="s">
        <v>1137</v>
      </c>
      <c r="E458" t="s">
        <v>14</v>
      </c>
      <c r="F458" t="s">
        <v>1100</v>
      </c>
      <c r="G458" s="20">
        <v>-14721.59</v>
      </c>
      <c r="H458" s="12">
        <v>-4008.6010000000001</v>
      </c>
      <c r="I458" s="12">
        <v>4008.6010000000001</v>
      </c>
      <c r="J458" s="12">
        <v>-318643.51400000002</v>
      </c>
      <c r="K458" t="s">
        <v>1101</v>
      </c>
      <c r="L458" t="s">
        <v>975</v>
      </c>
      <c r="M458" t="s">
        <v>1138</v>
      </c>
    </row>
    <row r="459" spans="1:13">
      <c r="A459" t="s">
        <v>1098</v>
      </c>
      <c r="B459" s="10">
        <v>45630</v>
      </c>
      <c r="C459" t="s">
        <v>13</v>
      </c>
      <c r="D459" t="s">
        <v>1139</v>
      </c>
      <c r="E459" t="s">
        <v>14</v>
      </c>
      <c r="F459" t="s">
        <v>1100</v>
      </c>
      <c r="G459" s="20">
        <v>-14720</v>
      </c>
      <c r="H459" s="12">
        <v>-4008.1680000000001</v>
      </c>
      <c r="I459" s="12">
        <v>4008.1680000000001</v>
      </c>
      <c r="J459" s="12">
        <v>-318643.51400000002</v>
      </c>
      <c r="K459" t="s">
        <v>1101</v>
      </c>
      <c r="L459" t="s">
        <v>975</v>
      </c>
      <c r="M459" t="s">
        <v>1140</v>
      </c>
    </row>
    <row r="460" spans="1:13">
      <c r="A460" t="s">
        <v>1098</v>
      </c>
      <c r="B460" s="10">
        <v>46058</v>
      </c>
      <c r="C460" t="s">
        <v>13</v>
      </c>
      <c r="D460" t="s">
        <v>1141</v>
      </c>
      <c r="E460" t="s">
        <v>1699</v>
      </c>
      <c r="F460" t="s">
        <v>15</v>
      </c>
      <c r="G460" s="11">
        <v>-40000</v>
      </c>
      <c r="H460" s="12">
        <v>-39787.599000000002</v>
      </c>
      <c r="I460" s="12">
        <v>3978.76</v>
      </c>
      <c r="J460" s="12">
        <v>-4346.7950000000001</v>
      </c>
      <c r="K460" t="s">
        <v>1142</v>
      </c>
      <c r="L460" t="s">
        <v>975</v>
      </c>
      <c r="M460" t="s">
        <v>1143</v>
      </c>
    </row>
    <row r="461" spans="1:13">
      <c r="A461" t="s">
        <v>1098</v>
      </c>
      <c r="B461" s="10">
        <v>46086</v>
      </c>
      <c r="C461" t="s">
        <v>13</v>
      </c>
      <c r="D461" t="s">
        <v>1144</v>
      </c>
      <c r="E461" t="s">
        <v>1700</v>
      </c>
      <c r="F461" t="s">
        <v>15</v>
      </c>
      <c r="G461" s="11">
        <v>-18519.400000000001</v>
      </c>
      <c r="H461" s="12">
        <v>-18421.062000000002</v>
      </c>
      <c r="I461" s="12">
        <v>2754.6950000000002</v>
      </c>
      <c r="J461" s="12">
        <v>-2754.6950000000002</v>
      </c>
      <c r="K461" t="s">
        <v>1145</v>
      </c>
      <c r="L461" t="s">
        <v>975</v>
      </c>
      <c r="M461" t="s">
        <v>1146</v>
      </c>
    </row>
    <row r="462" spans="1:13">
      <c r="A462" t="s">
        <v>1098</v>
      </c>
      <c r="B462" s="10">
        <v>46024</v>
      </c>
      <c r="C462" t="s">
        <v>13</v>
      </c>
      <c r="D462" t="s">
        <v>1147</v>
      </c>
      <c r="E462" t="s">
        <v>14</v>
      </c>
      <c r="F462" t="s">
        <v>1100</v>
      </c>
      <c r="G462" s="20">
        <v>-6615</v>
      </c>
      <c r="H462" s="12">
        <v>-1801.2249999999999</v>
      </c>
      <c r="I462" s="12">
        <v>1801.2249999999999</v>
      </c>
      <c r="J462" s="12">
        <v>-318643.51400000002</v>
      </c>
      <c r="K462" t="s">
        <v>1101</v>
      </c>
      <c r="L462" t="s">
        <v>975</v>
      </c>
      <c r="M462" t="s">
        <v>1148</v>
      </c>
    </row>
    <row r="463" spans="1:13">
      <c r="A463" t="s">
        <v>1098</v>
      </c>
      <c r="B463" s="10">
        <v>46084</v>
      </c>
      <c r="C463" t="s">
        <v>13</v>
      </c>
      <c r="D463" t="s">
        <v>1149</v>
      </c>
      <c r="E463" t="s">
        <v>1701</v>
      </c>
      <c r="F463" t="s">
        <v>15</v>
      </c>
      <c r="G463" s="11">
        <v>-12131.48</v>
      </c>
      <c r="H463" s="12">
        <v>-12067.063</v>
      </c>
      <c r="I463" s="12">
        <v>1535.047</v>
      </c>
      <c r="J463" s="12">
        <v>-1535.047</v>
      </c>
      <c r="K463" t="s">
        <v>1150</v>
      </c>
      <c r="L463" t="s">
        <v>975</v>
      </c>
      <c r="M463" t="s">
        <v>1151</v>
      </c>
    </row>
    <row r="464" spans="1:13">
      <c r="A464" t="s">
        <v>1098</v>
      </c>
      <c r="B464" s="10">
        <v>44795</v>
      </c>
      <c r="C464" t="s">
        <v>13</v>
      </c>
      <c r="D464" t="s">
        <v>1152</v>
      </c>
      <c r="E464" t="s">
        <v>14</v>
      </c>
      <c r="F464" t="s">
        <v>15</v>
      </c>
      <c r="G464" s="11">
        <v>-1010</v>
      </c>
      <c r="H464" s="12">
        <v>-1168.9770000000001</v>
      </c>
      <c r="I464" s="12">
        <v>1168.9770000000001</v>
      </c>
      <c r="J464" s="12">
        <v>-1168.9770000000001</v>
      </c>
      <c r="K464" t="s">
        <v>1153</v>
      </c>
      <c r="L464" t="s">
        <v>975</v>
      </c>
      <c r="M464" t="s">
        <v>1154</v>
      </c>
    </row>
    <row r="465" spans="1:13">
      <c r="A465" t="s">
        <v>1098</v>
      </c>
      <c r="B465" s="10">
        <v>46059</v>
      </c>
      <c r="C465" t="s">
        <v>13</v>
      </c>
      <c r="D465" t="s">
        <v>1155</v>
      </c>
      <c r="E465" t="s">
        <v>1702</v>
      </c>
      <c r="F465" t="s">
        <v>15</v>
      </c>
      <c r="G465" s="11">
        <v>-7385.29</v>
      </c>
      <c r="H465" s="12">
        <v>-7346.0730000000003</v>
      </c>
      <c r="I465" s="12">
        <v>1059.6320000000001</v>
      </c>
      <c r="J465" s="12">
        <v>-1059.6320000000001</v>
      </c>
      <c r="K465" t="s">
        <v>1156</v>
      </c>
      <c r="L465" t="s">
        <v>975</v>
      </c>
      <c r="M465" t="s">
        <v>1157</v>
      </c>
    </row>
    <row r="466" spans="1:13">
      <c r="A466" t="s">
        <v>1098</v>
      </c>
      <c r="B466" s="10">
        <v>46090</v>
      </c>
      <c r="C466" t="s">
        <v>13</v>
      </c>
      <c r="D466" t="s">
        <v>1158</v>
      </c>
      <c r="E466" t="s">
        <v>1703</v>
      </c>
      <c r="F466" t="s">
        <v>15</v>
      </c>
      <c r="G466" s="11">
        <v>-5986.29</v>
      </c>
      <c r="H466" s="12">
        <v>-5954.5060000000003</v>
      </c>
      <c r="I466" s="12">
        <v>782.11599999999999</v>
      </c>
      <c r="J466" s="12">
        <v>48970.81</v>
      </c>
      <c r="K466" t="s">
        <v>1159</v>
      </c>
      <c r="L466" t="s">
        <v>975</v>
      </c>
      <c r="M466" t="s">
        <v>1160</v>
      </c>
    </row>
    <row r="467" spans="1:13">
      <c r="A467" t="s">
        <v>1098</v>
      </c>
      <c r="B467" s="10">
        <v>46127</v>
      </c>
      <c r="C467" t="s">
        <v>13</v>
      </c>
      <c r="D467" t="s">
        <v>1161</v>
      </c>
      <c r="E467" t="s">
        <v>1704</v>
      </c>
      <c r="F467" t="s">
        <v>15</v>
      </c>
      <c r="G467" s="11">
        <v>-3700</v>
      </c>
      <c r="H467" s="12">
        <v>-3680.3530000000001</v>
      </c>
      <c r="I467" s="12">
        <v>368.03500000000003</v>
      </c>
      <c r="J467" s="12">
        <v>-4346.7950000000001</v>
      </c>
      <c r="K467" t="s">
        <v>1142</v>
      </c>
      <c r="L467" t="s">
        <v>975</v>
      </c>
      <c r="M467" t="s">
        <v>1162</v>
      </c>
    </row>
    <row r="468" spans="1:13">
      <c r="A468" t="s">
        <v>1098</v>
      </c>
      <c r="B468" s="10">
        <v>46029</v>
      </c>
      <c r="C468" t="s">
        <v>13</v>
      </c>
      <c r="D468" t="s">
        <v>1163</v>
      </c>
      <c r="E468" t="s">
        <v>1705</v>
      </c>
      <c r="F468" t="s">
        <v>1100</v>
      </c>
      <c r="G468" s="20">
        <v>-119420.61</v>
      </c>
      <c r="H468" s="12">
        <v>-32517.516</v>
      </c>
      <c r="I468" s="12">
        <v>323.35500000000002</v>
      </c>
      <c r="J468" s="12">
        <v>-323.35500000000002</v>
      </c>
      <c r="K468" t="s">
        <v>1164</v>
      </c>
      <c r="L468" t="s">
        <v>975</v>
      </c>
      <c r="M468" t="s">
        <v>1165</v>
      </c>
    </row>
    <row r="469" spans="1:13">
      <c r="A469" t="s">
        <v>1098</v>
      </c>
      <c r="B469" s="10">
        <v>45742</v>
      </c>
      <c r="C469" t="s">
        <v>13</v>
      </c>
      <c r="D469" t="s">
        <v>1166</v>
      </c>
      <c r="E469" t="s">
        <v>1706</v>
      </c>
      <c r="F469" t="s">
        <v>1100</v>
      </c>
      <c r="G469" s="20">
        <v>-50690.85</v>
      </c>
      <c r="H469" s="12">
        <v>-13802.814</v>
      </c>
      <c r="I469" s="12">
        <v>3.0000000000000001E-3</v>
      </c>
      <c r="J469" s="12">
        <v>-3.0000000000000001E-3</v>
      </c>
      <c r="K469" t="s">
        <v>1167</v>
      </c>
      <c r="L469" t="s">
        <v>975</v>
      </c>
      <c r="M469" t="s">
        <v>14</v>
      </c>
    </row>
    <row r="470" spans="1:13">
      <c r="A470" t="s">
        <v>1168</v>
      </c>
      <c r="B470" s="10">
        <v>45266</v>
      </c>
      <c r="C470" t="s">
        <v>13</v>
      </c>
      <c r="D470" t="s">
        <v>1169</v>
      </c>
      <c r="E470" t="s">
        <v>14</v>
      </c>
      <c r="F470" t="s">
        <v>1170</v>
      </c>
      <c r="G470" s="21">
        <v>-71801</v>
      </c>
      <c r="H470" s="12">
        <v>-4279.8999999999996</v>
      </c>
      <c r="I470" s="12">
        <v>4279.8999999999996</v>
      </c>
      <c r="J470" s="12">
        <v>-7507.7089999999998</v>
      </c>
      <c r="K470" t="s">
        <v>1171</v>
      </c>
      <c r="L470" t="s">
        <v>790</v>
      </c>
      <c r="M470" t="s">
        <v>1172</v>
      </c>
    </row>
    <row r="471" spans="1:13">
      <c r="A471" t="s">
        <v>1168</v>
      </c>
      <c r="B471" s="10">
        <v>45306</v>
      </c>
      <c r="C471" t="s">
        <v>13</v>
      </c>
      <c r="D471" t="s">
        <v>1173</v>
      </c>
      <c r="E471" t="s">
        <v>14</v>
      </c>
      <c r="F471" t="s">
        <v>1170</v>
      </c>
      <c r="G471" s="21">
        <v>-47311.8</v>
      </c>
      <c r="H471" s="12">
        <v>-2820.152</v>
      </c>
      <c r="I471" s="12">
        <v>2820.152</v>
      </c>
      <c r="J471" s="12">
        <v>-7507.7089999999998</v>
      </c>
      <c r="K471" t="s">
        <v>1171</v>
      </c>
      <c r="L471" t="s">
        <v>790</v>
      </c>
      <c r="M471" t="s">
        <v>1174</v>
      </c>
    </row>
    <row r="472" spans="1:13">
      <c r="A472" t="s">
        <v>1168</v>
      </c>
      <c r="B472" s="10">
        <v>46038</v>
      </c>
      <c r="C472" t="s">
        <v>13</v>
      </c>
      <c r="D472" t="s">
        <v>1175</v>
      </c>
      <c r="E472" t="s">
        <v>1707</v>
      </c>
      <c r="F472" t="s">
        <v>1170</v>
      </c>
      <c r="G472" s="21">
        <v>-115000</v>
      </c>
      <c r="H472" s="12">
        <v>-6854.8969999999999</v>
      </c>
      <c r="I472" s="12">
        <v>1713.7239999999999</v>
      </c>
      <c r="J472" s="12">
        <v>-1713.7239999999999</v>
      </c>
      <c r="K472" t="s">
        <v>1176</v>
      </c>
      <c r="L472" t="s">
        <v>1177</v>
      </c>
      <c r="M472" t="s">
        <v>1178</v>
      </c>
    </row>
    <row r="473" spans="1:13">
      <c r="A473" t="s">
        <v>1168</v>
      </c>
      <c r="B473" s="10">
        <v>45869</v>
      </c>
      <c r="C473" t="s">
        <v>484</v>
      </c>
      <c r="D473" t="s">
        <v>1179</v>
      </c>
      <c r="E473" t="s">
        <v>1708</v>
      </c>
      <c r="F473" t="s">
        <v>1170</v>
      </c>
      <c r="G473" s="21">
        <v>-74750</v>
      </c>
      <c r="H473" s="12">
        <v>-4455.683</v>
      </c>
      <c r="I473" s="12">
        <v>1370.979</v>
      </c>
      <c r="J473" s="12">
        <v>171.37200000000001</v>
      </c>
      <c r="K473" t="s">
        <v>1180</v>
      </c>
      <c r="L473" t="s">
        <v>754</v>
      </c>
      <c r="M473" t="s">
        <v>1181</v>
      </c>
    </row>
    <row r="474" spans="1:13">
      <c r="A474" t="s">
        <v>1168</v>
      </c>
      <c r="B474" s="10">
        <v>45869</v>
      </c>
      <c r="C474" t="s">
        <v>484</v>
      </c>
      <c r="D474" t="s">
        <v>1179</v>
      </c>
      <c r="E474" t="s">
        <v>1709</v>
      </c>
      <c r="F474" t="s">
        <v>1170</v>
      </c>
      <c r="G474" s="21">
        <v>-74750</v>
      </c>
      <c r="H474" s="12">
        <v>-4455.683</v>
      </c>
      <c r="I474" s="12">
        <v>1370.979</v>
      </c>
      <c r="J474" s="12">
        <v>171.37200000000001</v>
      </c>
      <c r="K474" t="s">
        <v>1180</v>
      </c>
      <c r="L474" t="s">
        <v>754</v>
      </c>
      <c r="M474" t="s">
        <v>1181</v>
      </c>
    </row>
    <row r="475" spans="1:13">
      <c r="A475" t="s">
        <v>1168</v>
      </c>
      <c r="B475" s="10">
        <v>44685</v>
      </c>
      <c r="C475" t="s">
        <v>13</v>
      </c>
      <c r="D475" t="s">
        <v>1182</v>
      </c>
      <c r="E475" t="s">
        <v>1710</v>
      </c>
      <c r="F475" t="s">
        <v>1170</v>
      </c>
      <c r="G475" s="21">
        <v>-10000</v>
      </c>
      <c r="H475" s="12">
        <v>-596.07799999999997</v>
      </c>
      <c r="I475" s="12">
        <v>536.47</v>
      </c>
      <c r="J475" s="12">
        <v>-1351.905</v>
      </c>
      <c r="K475" t="s">
        <v>1183</v>
      </c>
      <c r="L475" t="s">
        <v>754</v>
      </c>
      <c r="M475" t="s">
        <v>1184</v>
      </c>
    </row>
    <row r="476" spans="1:13">
      <c r="A476" t="s">
        <v>1168</v>
      </c>
      <c r="B476" s="10">
        <v>45596</v>
      </c>
      <c r="C476" t="s">
        <v>13</v>
      </c>
      <c r="D476" t="s">
        <v>1185</v>
      </c>
      <c r="E476" t="s">
        <v>1711</v>
      </c>
      <c r="F476" t="s">
        <v>1170</v>
      </c>
      <c r="G476" s="21">
        <v>-65463.75</v>
      </c>
      <c r="H476" s="12">
        <v>-3902.15</v>
      </c>
      <c r="I476" s="12">
        <v>474.702</v>
      </c>
      <c r="J476" s="12">
        <v>-474.702</v>
      </c>
      <c r="K476" t="s">
        <v>1186</v>
      </c>
      <c r="L476" t="s">
        <v>754</v>
      </c>
      <c r="M476" t="s">
        <v>1187</v>
      </c>
    </row>
    <row r="477" spans="1:13">
      <c r="A477" t="s">
        <v>1168</v>
      </c>
      <c r="B477" s="10">
        <v>46128</v>
      </c>
      <c r="C477" t="s">
        <v>13</v>
      </c>
      <c r="D477" t="s">
        <v>1188</v>
      </c>
      <c r="E477" t="s">
        <v>14</v>
      </c>
      <c r="F477" t="s">
        <v>1170</v>
      </c>
      <c r="G477" s="21">
        <v>-6838.99</v>
      </c>
      <c r="H477" s="12">
        <v>-407.65699999999998</v>
      </c>
      <c r="I477" s="12">
        <v>407.65699999999998</v>
      </c>
      <c r="J477" s="12">
        <v>-7507.7089999999998</v>
      </c>
      <c r="K477" t="s">
        <v>1171</v>
      </c>
      <c r="L477" t="s">
        <v>790</v>
      </c>
      <c r="M477" t="s">
        <v>1189</v>
      </c>
    </row>
    <row r="478" spans="1:13">
      <c r="A478" t="s">
        <v>1168</v>
      </c>
      <c r="B478" s="10">
        <v>44760</v>
      </c>
      <c r="C478" t="s">
        <v>13</v>
      </c>
      <c r="D478" t="s">
        <v>1190</v>
      </c>
      <c r="E478" t="s">
        <v>14</v>
      </c>
      <c r="F478" t="s">
        <v>1170</v>
      </c>
      <c r="G478" s="21">
        <v>-5000</v>
      </c>
      <c r="H478" s="12">
        <v>-298.03899999999999</v>
      </c>
      <c r="I478" s="12">
        <v>298.03899999999999</v>
      </c>
      <c r="J478" s="12">
        <v>-1351.905</v>
      </c>
      <c r="K478" t="s">
        <v>1183</v>
      </c>
      <c r="L478" t="s">
        <v>754</v>
      </c>
      <c r="M478" t="s">
        <v>1191</v>
      </c>
    </row>
    <row r="479" spans="1:13">
      <c r="A479" t="s">
        <v>1168</v>
      </c>
      <c r="B479" s="10">
        <v>44802</v>
      </c>
      <c r="C479" t="s">
        <v>13</v>
      </c>
      <c r="D479" t="s">
        <v>1192</v>
      </c>
      <c r="E479" t="s">
        <v>14</v>
      </c>
      <c r="F479" t="s">
        <v>1170</v>
      </c>
      <c r="G479" s="21">
        <v>-4680</v>
      </c>
      <c r="H479" s="12">
        <v>-278.96499999999997</v>
      </c>
      <c r="I479" s="12">
        <v>278.96499999999997</v>
      </c>
      <c r="J479" s="12">
        <v>-1351.905</v>
      </c>
      <c r="K479" t="s">
        <v>1183</v>
      </c>
      <c r="L479" t="s">
        <v>754</v>
      </c>
      <c r="M479" t="s">
        <v>1193</v>
      </c>
    </row>
    <row r="480" spans="1:13">
      <c r="A480" t="s">
        <v>1168</v>
      </c>
      <c r="B480" s="10">
        <v>44796</v>
      </c>
      <c r="C480" t="s">
        <v>13</v>
      </c>
      <c r="D480" t="s">
        <v>1194</v>
      </c>
      <c r="E480" t="s">
        <v>14</v>
      </c>
      <c r="F480" t="s">
        <v>1170</v>
      </c>
      <c r="G480" s="21">
        <v>-4000</v>
      </c>
      <c r="H480" s="12">
        <v>-238.43100000000001</v>
      </c>
      <c r="I480" s="12">
        <v>238.43100000000001</v>
      </c>
      <c r="J480" s="12">
        <v>-1351.905</v>
      </c>
      <c r="K480" t="s">
        <v>1183</v>
      </c>
      <c r="L480" t="s">
        <v>754</v>
      </c>
      <c r="M480" t="s">
        <v>1195</v>
      </c>
    </row>
    <row r="481" spans="1:13">
      <c r="A481" t="s">
        <v>1196</v>
      </c>
      <c r="B481" s="10">
        <v>45902</v>
      </c>
      <c r="C481" t="s">
        <v>13</v>
      </c>
      <c r="D481" t="s">
        <v>1198</v>
      </c>
      <c r="E481" t="s">
        <v>14</v>
      </c>
      <c r="F481" t="s">
        <v>1197</v>
      </c>
      <c r="G481" s="22">
        <v>-1167188.3999999999</v>
      </c>
      <c r="H481" s="12">
        <v>-12278.589</v>
      </c>
      <c r="I481" s="12">
        <v>12278.589</v>
      </c>
      <c r="J481" s="12">
        <v>-12278.589</v>
      </c>
      <c r="K481" t="s">
        <v>1199</v>
      </c>
      <c r="L481" t="s">
        <v>724</v>
      </c>
      <c r="M481" t="s">
        <v>1200</v>
      </c>
    </row>
    <row r="482" spans="1:13">
      <c r="A482" t="s">
        <v>1196</v>
      </c>
      <c r="B482" s="10">
        <v>46136</v>
      </c>
      <c r="C482" t="s">
        <v>13</v>
      </c>
      <c r="D482" t="s">
        <v>1201</v>
      </c>
      <c r="E482" t="s">
        <v>14</v>
      </c>
      <c r="F482" t="s">
        <v>1197</v>
      </c>
      <c r="G482" s="22">
        <v>-490000</v>
      </c>
      <c r="H482" s="12">
        <v>-5154.7020000000002</v>
      </c>
      <c r="I482" s="12">
        <v>5154.7020000000002</v>
      </c>
      <c r="J482" s="12">
        <v>-18718.503000000001</v>
      </c>
      <c r="K482" t="s">
        <v>1202</v>
      </c>
      <c r="L482" t="s">
        <v>724</v>
      </c>
      <c r="M482" t="s">
        <v>1203</v>
      </c>
    </row>
    <row r="483" spans="1:13">
      <c r="A483" t="s">
        <v>1196</v>
      </c>
      <c r="B483" s="10">
        <v>46030</v>
      </c>
      <c r="C483" t="s">
        <v>13</v>
      </c>
      <c r="D483" t="s">
        <v>1204</v>
      </c>
      <c r="E483" t="s">
        <v>14</v>
      </c>
      <c r="F483" t="s">
        <v>15</v>
      </c>
      <c r="G483" s="11">
        <v>-5400</v>
      </c>
      <c r="H483" s="12">
        <v>-5011.1660000000002</v>
      </c>
      <c r="I483" s="12">
        <v>5011.1660000000002</v>
      </c>
      <c r="J483" s="12">
        <v>-5011.1660000000002</v>
      </c>
      <c r="K483" t="s">
        <v>1205</v>
      </c>
      <c r="L483" t="s">
        <v>724</v>
      </c>
      <c r="M483" t="s">
        <v>1206</v>
      </c>
    </row>
    <row r="484" spans="1:13">
      <c r="A484" t="s">
        <v>1196</v>
      </c>
      <c r="B484" s="10">
        <v>45686</v>
      </c>
      <c r="C484" t="s">
        <v>13</v>
      </c>
      <c r="D484" t="s">
        <v>1207</v>
      </c>
      <c r="E484" t="s">
        <v>14</v>
      </c>
      <c r="F484" t="s">
        <v>1197</v>
      </c>
      <c r="G484" s="22">
        <v>-463274</v>
      </c>
      <c r="H484" s="12">
        <v>-4873.55</v>
      </c>
      <c r="I484" s="12">
        <v>4873.55</v>
      </c>
      <c r="J484" s="12">
        <v>-18718.503000000001</v>
      </c>
      <c r="K484" t="s">
        <v>1202</v>
      </c>
      <c r="L484" t="s">
        <v>724</v>
      </c>
      <c r="M484" t="s">
        <v>1208</v>
      </c>
    </row>
    <row r="485" spans="1:13">
      <c r="A485" t="s">
        <v>1196</v>
      </c>
      <c r="B485" s="10">
        <v>45859</v>
      </c>
      <c r="C485" t="s">
        <v>13</v>
      </c>
      <c r="D485" t="s">
        <v>1209</v>
      </c>
      <c r="E485" t="s">
        <v>14</v>
      </c>
      <c r="F485" t="s">
        <v>1197</v>
      </c>
      <c r="G485" s="22">
        <v>-400000</v>
      </c>
      <c r="H485" s="12">
        <v>-4207.92</v>
      </c>
      <c r="I485" s="12">
        <v>4207.92</v>
      </c>
      <c r="J485" s="12">
        <v>-18718.503000000001</v>
      </c>
      <c r="K485" t="s">
        <v>1202</v>
      </c>
      <c r="L485" t="s">
        <v>724</v>
      </c>
      <c r="M485" t="s">
        <v>1210</v>
      </c>
    </row>
    <row r="486" spans="1:13">
      <c r="A486" t="s">
        <v>1196</v>
      </c>
      <c r="B486" s="10">
        <v>46065</v>
      </c>
      <c r="C486" t="s">
        <v>13</v>
      </c>
      <c r="D486" t="s">
        <v>1211</v>
      </c>
      <c r="E486" t="s">
        <v>14</v>
      </c>
      <c r="F486" t="s">
        <v>1197</v>
      </c>
      <c r="G486" s="22">
        <v>-337500</v>
      </c>
      <c r="H486" s="12">
        <v>-3550.433</v>
      </c>
      <c r="I486" s="12">
        <v>3550.433</v>
      </c>
      <c r="J486" s="12">
        <v>-3550.433</v>
      </c>
      <c r="K486" t="s">
        <v>1212</v>
      </c>
      <c r="L486" t="s">
        <v>724</v>
      </c>
      <c r="M486" t="s">
        <v>1213</v>
      </c>
    </row>
    <row r="487" spans="1:13">
      <c r="A487" t="s">
        <v>1196</v>
      </c>
      <c r="B487" s="10">
        <v>45856</v>
      </c>
      <c r="C487" t="s">
        <v>13</v>
      </c>
      <c r="D487" t="s">
        <v>1214</v>
      </c>
      <c r="E487" t="s">
        <v>14</v>
      </c>
      <c r="F487" t="s">
        <v>1197</v>
      </c>
      <c r="G487" s="22">
        <v>-216270</v>
      </c>
      <c r="H487" s="12">
        <v>-2275.1170000000002</v>
      </c>
      <c r="I487" s="12">
        <v>2275.1170000000002</v>
      </c>
      <c r="J487" s="12">
        <v>13086.978999999999</v>
      </c>
      <c r="K487" t="s">
        <v>1215</v>
      </c>
      <c r="L487" t="s">
        <v>724</v>
      </c>
      <c r="M487" t="s">
        <v>1216</v>
      </c>
    </row>
    <row r="488" spans="1:13">
      <c r="A488" t="s">
        <v>1196</v>
      </c>
      <c r="B488" s="10">
        <v>45855</v>
      </c>
      <c r="C488" t="s">
        <v>13</v>
      </c>
      <c r="D488" t="s">
        <v>1217</v>
      </c>
      <c r="E488" t="s">
        <v>14</v>
      </c>
      <c r="F488" t="s">
        <v>1197</v>
      </c>
      <c r="G488" s="22">
        <v>-216000</v>
      </c>
      <c r="H488" s="12">
        <v>-2272.277</v>
      </c>
      <c r="I488" s="12">
        <v>2272.277</v>
      </c>
      <c r="J488" s="12">
        <v>-1851.4849999999999</v>
      </c>
      <c r="K488" t="s">
        <v>1218</v>
      </c>
      <c r="L488" t="s">
        <v>724</v>
      </c>
      <c r="M488" t="s">
        <v>1219</v>
      </c>
    </row>
    <row r="489" spans="1:13">
      <c r="A489" t="s">
        <v>1196</v>
      </c>
      <c r="B489" s="10">
        <v>46094</v>
      </c>
      <c r="C489" t="s">
        <v>13</v>
      </c>
      <c r="D489" t="s">
        <v>1220</v>
      </c>
      <c r="E489" t="s">
        <v>14</v>
      </c>
      <c r="F489" t="s">
        <v>1197</v>
      </c>
      <c r="G489" s="22">
        <v>-177000</v>
      </c>
      <c r="H489" s="12">
        <v>-1862.0050000000001</v>
      </c>
      <c r="I489" s="12">
        <v>1862.0050000000001</v>
      </c>
      <c r="J489" s="12">
        <v>-1862.0050000000001</v>
      </c>
      <c r="K489" t="s">
        <v>1221</v>
      </c>
      <c r="L489" t="s">
        <v>724</v>
      </c>
      <c r="M489" t="s">
        <v>1222</v>
      </c>
    </row>
    <row r="490" spans="1:13">
      <c r="A490" t="s">
        <v>1196</v>
      </c>
      <c r="B490" s="10">
        <v>45793</v>
      </c>
      <c r="C490" t="s">
        <v>484</v>
      </c>
      <c r="D490" t="s">
        <v>1223</v>
      </c>
      <c r="E490" t="s">
        <v>14</v>
      </c>
      <c r="F490" t="s">
        <v>1197</v>
      </c>
      <c r="G490" s="22">
        <v>-154426</v>
      </c>
      <c r="H490" s="12">
        <v>-1624.5309999999999</v>
      </c>
      <c r="I490" s="12">
        <v>1624.5309999999999</v>
      </c>
      <c r="J490" s="12">
        <v>-18718.503000000001</v>
      </c>
      <c r="K490" t="s">
        <v>1202</v>
      </c>
      <c r="L490" t="s">
        <v>724</v>
      </c>
      <c r="M490" t="s">
        <v>1224</v>
      </c>
    </row>
    <row r="491" spans="1:13">
      <c r="A491" t="s">
        <v>1196</v>
      </c>
      <c r="B491" s="10">
        <v>45972</v>
      </c>
      <c r="C491" t="s">
        <v>13</v>
      </c>
      <c r="D491" t="s">
        <v>1225</v>
      </c>
      <c r="E491" t="s">
        <v>14</v>
      </c>
      <c r="F491" t="s">
        <v>1197</v>
      </c>
      <c r="G491" s="22">
        <v>-102060</v>
      </c>
      <c r="H491" s="12">
        <v>-1073.6510000000001</v>
      </c>
      <c r="I491" s="12">
        <v>1073.6510000000001</v>
      </c>
      <c r="J491" s="12">
        <v>-18718.503000000001</v>
      </c>
      <c r="K491" t="s">
        <v>1202</v>
      </c>
      <c r="L491" t="s">
        <v>724</v>
      </c>
      <c r="M491" t="s">
        <v>1226</v>
      </c>
    </row>
    <row r="492" spans="1:13">
      <c r="A492" t="s">
        <v>1196</v>
      </c>
      <c r="B492" s="10">
        <v>45692</v>
      </c>
      <c r="C492" t="s">
        <v>13</v>
      </c>
      <c r="D492" t="s">
        <v>1227</v>
      </c>
      <c r="E492" t="s">
        <v>14</v>
      </c>
      <c r="F492" t="s">
        <v>1197</v>
      </c>
      <c r="G492" s="22">
        <v>-92654.82</v>
      </c>
      <c r="H492" s="12">
        <v>-974.71</v>
      </c>
      <c r="I492" s="12">
        <v>974.71</v>
      </c>
      <c r="J492" s="12">
        <v>-18718.503000000001</v>
      </c>
      <c r="K492" t="s">
        <v>1202</v>
      </c>
      <c r="L492" t="s">
        <v>724</v>
      </c>
      <c r="M492" t="s">
        <v>1228</v>
      </c>
    </row>
    <row r="493" spans="1:13">
      <c r="A493" t="s">
        <v>1196</v>
      </c>
      <c r="B493" s="10">
        <v>45502</v>
      </c>
      <c r="C493" t="s">
        <v>13</v>
      </c>
      <c r="D493" t="s">
        <v>1229</v>
      </c>
      <c r="E493" t="s">
        <v>14</v>
      </c>
      <c r="F493" t="s">
        <v>1197</v>
      </c>
      <c r="G493" s="22">
        <v>-85050</v>
      </c>
      <c r="H493" s="12">
        <v>-894.70899999999995</v>
      </c>
      <c r="I493" s="12">
        <v>894.70899999999995</v>
      </c>
      <c r="J493" s="12">
        <v>-894.70899999999995</v>
      </c>
      <c r="K493" t="s">
        <v>1230</v>
      </c>
      <c r="L493" t="s">
        <v>724</v>
      </c>
      <c r="M493" t="s">
        <v>1231</v>
      </c>
    </row>
    <row r="494" spans="1:13">
      <c r="A494" t="s">
        <v>1196</v>
      </c>
      <c r="B494" s="10">
        <v>45967</v>
      </c>
      <c r="C494" t="s">
        <v>13</v>
      </c>
      <c r="D494" t="s">
        <v>1232</v>
      </c>
      <c r="E494" t="s">
        <v>1712</v>
      </c>
      <c r="F494" t="s">
        <v>1197</v>
      </c>
      <c r="G494" s="22">
        <v>-310953.61</v>
      </c>
      <c r="H494" s="12">
        <v>-3271.17</v>
      </c>
      <c r="I494" s="12">
        <v>682.87800000000004</v>
      </c>
      <c r="J494" s="12">
        <v>-682.87800000000004</v>
      </c>
      <c r="K494" t="s">
        <v>1233</v>
      </c>
      <c r="L494" t="s">
        <v>724</v>
      </c>
      <c r="M494" t="s">
        <v>1234</v>
      </c>
    </row>
    <row r="495" spans="1:13">
      <c r="A495" t="s">
        <v>1196</v>
      </c>
      <c r="B495" s="10">
        <v>45967</v>
      </c>
      <c r="C495" t="s">
        <v>13</v>
      </c>
      <c r="D495" t="s">
        <v>1232</v>
      </c>
      <c r="E495" t="s">
        <v>1713</v>
      </c>
      <c r="F495" t="s">
        <v>1197</v>
      </c>
      <c r="G495" s="22">
        <v>-310953.61</v>
      </c>
      <c r="H495" s="12">
        <v>-3271.17</v>
      </c>
      <c r="I495" s="12">
        <v>682.87800000000004</v>
      </c>
      <c r="J495" s="12">
        <v>-682.87800000000004</v>
      </c>
      <c r="K495" t="s">
        <v>1233</v>
      </c>
      <c r="L495" t="s">
        <v>724</v>
      </c>
      <c r="M495" t="s">
        <v>1234</v>
      </c>
    </row>
    <row r="496" spans="1:13">
      <c r="A496" t="s">
        <v>1196</v>
      </c>
      <c r="B496" s="10">
        <v>45975</v>
      </c>
      <c r="C496" t="s">
        <v>13</v>
      </c>
      <c r="D496" t="s">
        <v>1235</v>
      </c>
      <c r="E496" t="s">
        <v>14</v>
      </c>
      <c r="F496" t="s">
        <v>1197</v>
      </c>
      <c r="G496" s="22">
        <v>-35640</v>
      </c>
      <c r="H496" s="12">
        <v>-374.92599999999999</v>
      </c>
      <c r="I496" s="12">
        <v>374.92599999999999</v>
      </c>
      <c r="J496" s="12">
        <v>-18718.503000000001</v>
      </c>
      <c r="K496" t="s">
        <v>1202</v>
      </c>
      <c r="L496" t="s">
        <v>724</v>
      </c>
      <c r="M496" t="s">
        <v>1236</v>
      </c>
    </row>
    <row r="497" spans="1:13">
      <c r="A497" t="s">
        <v>1196</v>
      </c>
      <c r="B497" s="10">
        <v>45800</v>
      </c>
      <c r="C497" t="s">
        <v>13</v>
      </c>
      <c r="D497" t="s">
        <v>1237</v>
      </c>
      <c r="E497" t="s">
        <v>14</v>
      </c>
      <c r="F497" t="s">
        <v>1197</v>
      </c>
      <c r="G497" s="22">
        <v>-30885.3</v>
      </c>
      <c r="H497" s="12">
        <v>-324.90699999999998</v>
      </c>
      <c r="I497" s="12">
        <v>324.90699999999998</v>
      </c>
      <c r="J497" s="12">
        <v>-18718.503000000001</v>
      </c>
      <c r="K497" t="s">
        <v>1202</v>
      </c>
      <c r="L497" t="s">
        <v>724</v>
      </c>
      <c r="M497" t="s">
        <v>1238</v>
      </c>
    </row>
    <row r="498" spans="1:13">
      <c r="A498" t="s">
        <v>1196</v>
      </c>
      <c r="B498" s="10">
        <v>45236</v>
      </c>
      <c r="C498" t="s">
        <v>13</v>
      </c>
      <c r="D498" t="s">
        <v>1239</v>
      </c>
      <c r="E498" t="s">
        <v>14</v>
      </c>
      <c r="F498" t="s">
        <v>1197</v>
      </c>
      <c r="G498" s="22">
        <v>-5550</v>
      </c>
      <c r="H498" s="12">
        <v>-58.384999999999998</v>
      </c>
      <c r="I498" s="12">
        <v>58.384999999999998</v>
      </c>
      <c r="J498" s="12">
        <v>-18718.503000000001</v>
      </c>
      <c r="K498" t="s">
        <v>1202</v>
      </c>
      <c r="L498" t="s">
        <v>724</v>
      </c>
      <c r="M498" t="s">
        <v>1240</v>
      </c>
    </row>
    <row r="499" spans="1:13">
      <c r="A499" t="s">
        <v>1196</v>
      </c>
      <c r="B499" s="10">
        <v>44988</v>
      </c>
      <c r="C499" t="s">
        <v>13</v>
      </c>
      <c r="D499" t="s">
        <v>1241</v>
      </c>
      <c r="E499" t="s">
        <v>14</v>
      </c>
      <c r="F499" t="s">
        <v>1197</v>
      </c>
      <c r="G499" s="22">
        <v>-4868.07</v>
      </c>
      <c r="H499" s="12">
        <v>-51.210999999999999</v>
      </c>
      <c r="I499" s="12">
        <v>51.210999999999999</v>
      </c>
      <c r="J499" s="12">
        <v>-18718.503000000001</v>
      </c>
      <c r="K499" t="s">
        <v>1202</v>
      </c>
      <c r="L499" t="s">
        <v>724</v>
      </c>
      <c r="M499" t="s">
        <v>1242</v>
      </c>
    </row>
    <row r="500" spans="1:13">
      <c r="A500" t="s">
        <v>1196</v>
      </c>
      <c r="B500" s="10">
        <v>46143</v>
      </c>
      <c r="C500" t="s">
        <v>13</v>
      </c>
      <c r="D500" t="s">
        <v>1764</v>
      </c>
      <c r="E500" t="s">
        <v>14</v>
      </c>
      <c r="F500" t="s">
        <v>1197</v>
      </c>
      <c r="G500" s="22">
        <v>-1.06</v>
      </c>
      <c r="H500" s="12">
        <v>-1.0999999999999999E-2</v>
      </c>
      <c r="I500" s="12">
        <v>1.0999999999999999E-2</v>
      </c>
      <c r="J500" s="12">
        <v>-18718.503000000001</v>
      </c>
      <c r="K500" t="s">
        <v>1202</v>
      </c>
      <c r="L500" t="s">
        <v>724</v>
      </c>
      <c r="M500" t="s">
        <v>1243</v>
      </c>
    </row>
    <row r="501" spans="1:13">
      <c r="A501" t="s">
        <v>1244</v>
      </c>
      <c r="B501" s="10">
        <v>45468</v>
      </c>
      <c r="C501" t="s">
        <v>484</v>
      </c>
      <c r="D501" t="s">
        <v>1245</v>
      </c>
      <c r="E501" t="s">
        <v>14</v>
      </c>
      <c r="F501" t="s">
        <v>1246</v>
      </c>
      <c r="G501" s="23">
        <v>-122441.71</v>
      </c>
      <c r="H501" s="12">
        <v>-13197.502</v>
      </c>
      <c r="I501" s="12">
        <v>13197.502</v>
      </c>
      <c r="J501" s="12">
        <v>-26993.163</v>
      </c>
      <c r="K501" t="s">
        <v>1247</v>
      </c>
      <c r="L501" t="s">
        <v>1248</v>
      </c>
      <c r="M501" t="s">
        <v>1249</v>
      </c>
    </row>
    <row r="502" spans="1:13">
      <c r="A502" t="s">
        <v>1244</v>
      </c>
      <c r="B502" s="10">
        <v>46122</v>
      </c>
      <c r="C502" t="s">
        <v>13</v>
      </c>
      <c r="D502" t="s">
        <v>1250</v>
      </c>
      <c r="E502" t="s">
        <v>14</v>
      </c>
      <c r="F502" t="s">
        <v>1246</v>
      </c>
      <c r="G502" s="23">
        <v>-120688.75</v>
      </c>
      <c r="H502" s="12">
        <v>-13008.558000000001</v>
      </c>
      <c r="I502" s="12">
        <v>13008.558000000001</v>
      </c>
      <c r="J502" s="12">
        <v>-13008.558000000001</v>
      </c>
      <c r="K502" t="s">
        <v>1251</v>
      </c>
      <c r="L502" t="s">
        <v>1248</v>
      </c>
      <c r="M502" t="s">
        <v>1252</v>
      </c>
    </row>
    <row r="503" spans="1:13">
      <c r="A503" t="s">
        <v>1244</v>
      </c>
      <c r="B503" s="10">
        <v>45468</v>
      </c>
      <c r="C503" t="s">
        <v>484</v>
      </c>
      <c r="D503" t="s">
        <v>1253</v>
      </c>
      <c r="E503" t="s">
        <v>1714</v>
      </c>
      <c r="F503" t="s">
        <v>1254</v>
      </c>
      <c r="G503" s="24">
        <v>-72765</v>
      </c>
      <c r="H503" s="12">
        <v>-11801.120999999999</v>
      </c>
      <c r="I503" s="12">
        <v>11161.478999999999</v>
      </c>
      <c r="J503" s="12">
        <v>-11161.478999999999</v>
      </c>
      <c r="K503" t="s">
        <v>1255</v>
      </c>
      <c r="L503" t="s">
        <v>1256</v>
      </c>
      <c r="M503" t="s">
        <v>1257</v>
      </c>
    </row>
    <row r="504" spans="1:13">
      <c r="A504" t="s">
        <v>1244</v>
      </c>
      <c r="B504" s="10">
        <v>45468</v>
      </c>
      <c r="C504" t="s">
        <v>484</v>
      </c>
      <c r="D504" t="s">
        <v>1258</v>
      </c>
      <c r="E504" t="s">
        <v>14</v>
      </c>
      <c r="F504" t="s">
        <v>1254</v>
      </c>
      <c r="G504" s="24">
        <v>-66718.75</v>
      </c>
      <c r="H504" s="12">
        <v>-10820.531999999999</v>
      </c>
      <c r="I504" s="12">
        <v>10820.531999999999</v>
      </c>
      <c r="J504" s="12">
        <v>-10820.531999999999</v>
      </c>
      <c r="K504" t="s">
        <v>1259</v>
      </c>
      <c r="L504" t="s">
        <v>1256</v>
      </c>
      <c r="M504" t="s">
        <v>1260</v>
      </c>
    </row>
    <row r="505" spans="1:13">
      <c r="A505" t="s">
        <v>1244</v>
      </c>
      <c r="B505" s="10">
        <v>44929</v>
      </c>
      <c r="C505" t="s">
        <v>13</v>
      </c>
      <c r="D505" t="s">
        <v>1261</v>
      </c>
      <c r="E505" t="s">
        <v>14</v>
      </c>
      <c r="F505" t="s">
        <v>1246</v>
      </c>
      <c r="G505" s="23">
        <v>-98750</v>
      </c>
      <c r="H505" s="12">
        <v>-10643.868</v>
      </c>
      <c r="I505" s="12">
        <v>10643.868</v>
      </c>
      <c r="J505" s="12">
        <v>-11317.53</v>
      </c>
      <c r="K505" t="s">
        <v>1262</v>
      </c>
      <c r="L505" t="s">
        <v>1248</v>
      </c>
      <c r="M505" t="s">
        <v>1263</v>
      </c>
    </row>
    <row r="506" spans="1:13">
      <c r="A506" t="s">
        <v>1244</v>
      </c>
      <c r="B506" s="10">
        <v>45819</v>
      </c>
      <c r="C506" t="s">
        <v>13</v>
      </c>
      <c r="D506" t="s">
        <v>1264</v>
      </c>
      <c r="E506" t="s">
        <v>14</v>
      </c>
      <c r="F506" t="s">
        <v>1246</v>
      </c>
      <c r="G506" s="23">
        <v>-98211.49</v>
      </c>
      <c r="H506" s="12">
        <v>-10585.824000000001</v>
      </c>
      <c r="I506" s="12">
        <v>10585.824000000001</v>
      </c>
      <c r="J506" s="12">
        <v>-26993.163</v>
      </c>
      <c r="K506" t="s">
        <v>1247</v>
      </c>
      <c r="L506" t="s">
        <v>1248</v>
      </c>
      <c r="M506" t="s">
        <v>1265</v>
      </c>
    </row>
    <row r="507" spans="1:13">
      <c r="A507" t="s">
        <v>1244</v>
      </c>
      <c r="B507" s="10">
        <v>45468</v>
      </c>
      <c r="C507" t="s">
        <v>484</v>
      </c>
      <c r="D507" t="s">
        <v>1266</v>
      </c>
      <c r="E507" t="s">
        <v>14</v>
      </c>
      <c r="F507" t="s">
        <v>1254</v>
      </c>
      <c r="G507" s="24">
        <v>-40625</v>
      </c>
      <c r="H507" s="12">
        <v>-6588.6139999999996</v>
      </c>
      <c r="I507" s="12">
        <v>6588.6139999999996</v>
      </c>
      <c r="J507" s="12">
        <v>-6588.6139999999996</v>
      </c>
      <c r="K507" t="s">
        <v>1267</v>
      </c>
      <c r="L507" t="s">
        <v>1256</v>
      </c>
      <c r="M507" t="s">
        <v>1268</v>
      </c>
    </row>
    <row r="508" spans="1:13">
      <c r="A508" t="s">
        <v>1244</v>
      </c>
      <c r="B508" s="10">
        <v>46097</v>
      </c>
      <c r="C508" t="s">
        <v>13</v>
      </c>
      <c r="D508" t="s">
        <v>1269</v>
      </c>
      <c r="E508" t="s">
        <v>14</v>
      </c>
      <c r="F508" t="s">
        <v>1254</v>
      </c>
      <c r="G508" s="24">
        <v>-39848</v>
      </c>
      <c r="H508" s="12">
        <v>-6174.1440000000002</v>
      </c>
      <c r="I508" s="12">
        <v>6174.1440000000002</v>
      </c>
      <c r="J508" s="12">
        <v>-6174.1440000000002</v>
      </c>
      <c r="K508" t="s">
        <v>1270</v>
      </c>
      <c r="L508" t="s">
        <v>1256</v>
      </c>
      <c r="M508" t="s">
        <v>1271</v>
      </c>
    </row>
    <row r="509" spans="1:13">
      <c r="A509" t="s">
        <v>1244</v>
      </c>
      <c r="B509" s="10">
        <v>45034</v>
      </c>
      <c r="C509" t="s">
        <v>13</v>
      </c>
      <c r="D509" t="s">
        <v>1272</v>
      </c>
      <c r="E509" t="s">
        <v>14</v>
      </c>
      <c r="F509" t="s">
        <v>1246</v>
      </c>
      <c r="G509" s="23">
        <v>-49500</v>
      </c>
      <c r="H509" s="12">
        <v>-5335.4070000000002</v>
      </c>
      <c r="I509" s="12">
        <v>5335.4070000000002</v>
      </c>
      <c r="J509" s="12">
        <v>-5335.4070000000002</v>
      </c>
      <c r="K509" t="s">
        <v>1273</v>
      </c>
      <c r="L509" t="s">
        <v>1248</v>
      </c>
      <c r="M509" t="s">
        <v>14</v>
      </c>
    </row>
    <row r="510" spans="1:13">
      <c r="A510" t="s">
        <v>1244</v>
      </c>
      <c r="B510" s="10">
        <v>45015</v>
      </c>
      <c r="C510" t="s">
        <v>13</v>
      </c>
      <c r="D510" t="s">
        <v>1274</v>
      </c>
      <c r="E510" t="s">
        <v>14</v>
      </c>
      <c r="F510" t="s">
        <v>1246</v>
      </c>
      <c r="G510" s="23">
        <v>-46250</v>
      </c>
      <c r="H510" s="12">
        <v>-4985.1030000000001</v>
      </c>
      <c r="I510" s="12">
        <v>4985.1030000000001</v>
      </c>
      <c r="J510" s="12">
        <v>-4985.1030000000001</v>
      </c>
      <c r="K510" t="s">
        <v>1275</v>
      </c>
      <c r="L510" t="s">
        <v>1248</v>
      </c>
      <c r="M510" t="s">
        <v>14</v>
      </c>
    </row>
    <row r="511" spans="1:13">
      <c r="A511" t="s">
        <v>1244</v>
      </c>
      <c r="B511" s="10">
        <v>45747</v>
      </c>
      <c r="C511" t="s">
        <v>13</v>
      </c>
      <c r="D511" t="s">
        <v>1276</v>
      </c>
      <c r="E511" t="s">
        <v>14</v>
      </c>
      <c r="F511" t="s">
        <v>1246</v>
      </c>
      <c r="G511" s="23">
        <v>-42500</v>
      </c>
      <c r="H511" s="12">
        <v>-4580.9049999999997</v>
      </c>
      <c r="I511" s="12">
        <v>4580.9049999999997</v>
      </c>
      <c r="J511" s="12">
        <v>-4580.9049999999997</v>
      </c>
      <c r="K511" t="s">
        <v>1277</v>
      </c>
      <c r="L511" t="s">
        <v>1248</v>
      </c>
      <c r="M511" t="s">
        <v>1278</v>
      </c>
    </row>
    <row r="512" spans="1:13">
      <c r="A512" t="s">
        <v>1244</v>
      </c>
      <c r="B512" s="10">
        <v>45070</v>
      </c>
      <c r="C512" t="s">
        <v>13</v>
      </c>
      <c r="D512" t="s">
        <v>1279</v>
      </c>
      <c r="E512" t="s">
        <v>14</v>
      </c>
      <c r="F512" t="s">
        <v>1246</v>
      </c>
      <c r="G512" s="23">
        <v>-40250</v>
      </c>
      <c r="H512" s="12">
        <v>-4338.3869999999997</v>
      </c>
      <c r="I512" s="12">
        <v>4338.3869999999997</v>
      </c>
      <c r="J512" s="12">
        <v>-4338.3869999999997</v>
      </c>
      <c r="K512" t="s">
        <v>1280</v>
      </c>
      <c r="L512" t="s">
        <v>1248</v>
      </c>
      <c r="M512" t="s">
        <v>1281</v>
      </c>
    </row>
    <row r="513" spans="1:13">
      <c r="A513" t="s">
        <v>1244</v>
      </c>
      <c r="B513" s="10">
        <v>44930</v>
      </c>
      <c r="C513" t="s">
        <v>13</v>
      </c>
      <c r="D513" t="s">
        <v>1282</v>
      </c>
      <c r="E513" t="s">
        <v>14</v>
      </c>
      <c r="F513" t="s">
        <v>1246</v>
      </c>
      <c r="G513" s="23">
        <v>-40000</v>
      </c>
      <c r="H513" s="12">
        <v>-4311.4399999999996</v>
      </c>
      <c r="I513" s="12">
        <v>4311.4399999999996</v>
      </c>
      <c r="J513" s="12">
        <v>-4311.4399999999996</v>
      </c>
      <c r="K513" t="s">
        <v>1283</v>
      </c>
      <c r="L513" t="s">
        <v>1248</v>
      </c>
      <c r="M513" t="s">
        <v>1284</v>
      </c>
    </row>
    <row r="514" spans="1:13">
      <c r="A514" t="s">
        <v>1244</v>
      </c>
      <c r="B514" s="10">
        <v>45593</v>
      </c>
      <c r="C514" t="s">
        <v>13</v>
      </c>
      <c r="D514" t="s">
        <v>1285</v>
      </c>
      <c r="E514" t="s">
        <v>14</v>
      </c>
      <c r="F514" t="s">
        <v>1246</v>
      </c>
      <c r="G514" s="23">
        <v>-38787.5</v>
      </c>
      <c r="H514" s="12">
        <v>-4180.7489999999998</v>
      </c>
      <c r="I514" s="12">
        <v>4180.7489999999998</v>
      </c>
      <c r="J514" s="12">
        <v>-4180.7489999999998</v>
      </c>
      <c r="K514" t="s">
        <v>1286</v>
      </c>
      <c r="L514" t="s">
        <v>1248</v>
      </c>
      <c r="M514" t="s">
        <v>1287</v>
      </c>
    </row>
    <row r="515" spans="1:13">
      <c r="A515" t="s">
        <v>1244</v>
      </c>
      <c r="B515" s="10">
        <v>44872</v>
      </c>
      <c r="C515" t="s">
        <v>13</v>
      </c>
      <c r="D515" t="s">
        <v>1288</v>
      </c>
      <c r="E515" t="s">
        <v>14</v>
      </c>
      <c r="F515" t="s">
        <v>1246</v>
      </c>
      <c r="G515" s="23">
        <v>-30937.5</v>
      </c>
      <c r="H515" s="12">
        <v>-3334.6289999999999</v>
      </c>
      <c r="I515" s="12">
        <v>3334.6289999999999</v>
      </c>
      <c r="J515" s="12">
        <v>-3334.6289999999999</v>
      </c>
      <c r="K515" t="s">
        <v>1289</v>
      </c>
      <c r="L515" t="s">
        <v>1248</v>
      </c>
      <c r="M515" t="s">
        <v>1290</v>
      </c>
    </row>
    <row r="516" spans="1:13">
      <c r="A516" t="s">
        <v>1244</v>
      </c>
      <c r="B516" s="10">
        <v>44894</v>
      </c>
      <c r="C516" t="s">
        <v>13</v>
      </c>
      <c r="D516" t="s">
        <v>1291</v>
      </c>
      <c r="E516" t="s">
        <v>1292</v>
      </c>
      <c r="F516" t="s">
        <v>1246</v>
      </c>
      <c r="G516" s="23">
        <v>-54337.5</v>
      </c>
      <c r="H516" s="12">
        <v>-5856.8220000000001</v>
      </c>
      <c r="I516" s="12">
        <v>2928.4110000000001</v>
      </c>
      <c r="J516" s="12">
        <v>-2928.4110000000001</v>
      </c>
      <c r="K516" t="s">
        <v>1293</v>
      </c>
      <c r="L516" t="s">
        <v>1248</v>
      </c>
      <c r="M516" t="s">
        <v>1292</v>
      </c>
    </row>
    <row r="517" spans="1:13">
      <c r="A517" t="s">
        <v>1244</v>
      </c>
      <c r="B517" s="10">
        <v>45812</v>
      </c>
      <c r="C517" t="s">
        <v>13</v>
      </c>
      <c r="D517" t="s">
        <v>1294</v>
      </c>
      <c r="E517" t="s">
        <v>14</v>
      </c>
      <c r="F517" t="s">
        <v>1246</v>
      </c>
      <c r="G517" s="23">
        <v>-16928</v>
      </c>
      <c r="H517" s="12">
        <v>-1824.6010000000001</v>
      </c>
      <c r="I517" s="12">
        <v>1824.6010000000001</v>
      </c>
      <c r="J517" s="12">
        <v>-26993.163</v>
      </c>
      <c r="K517" t="s">
        <v>1247</v>
      </c>
      <c r="L517" t="s">
        <v>1248</v>
      </c>
      <c r="M517" t="s">
        <v>1295</v>
      </c>
    </row>
    <row r="518" spans="1:13">
      <c r="A518" t="s">
        <v>1244</v>
      </c>
      <c r="B518" s="10">
        <v>45191</v>
      </c>
      <c r="C518" t="s">
        <v>13</v>
      </c>
      <c r="D518" t="s">
        <v>1296</v>
      </c>
      <c r="E518" t="s">
        <v>14</v>
      </c>
      <c r="F518" t="s">
        <v>1246</v>
      </c>
      <c r="G518" s="23">
        <v>-15000</v>
      </c>
      <c r="H518" s="12">
        <v>-1616.79</v>
      </c>
      <c r="I518" s="12">
        <v>1616.79</v>
      </c>
      <c r="J518" s="12">
        <v>-1616.79</v>
      </c>
      <c r="K518" t="s">
        <v>1297</v>
      </c>
      <c r="L518" t="s">
        <v>1248</v>
      </c>
      <c r="M518" t="s">
        <v>1298</v>
      </c>
    </row>
    <row r="519" spans="1:13">
      <c r="A519" t="s">
        <v>1244</v>
      </c>
      <c r="B519" s="10">
        <v>44762</v>
      </c>
      <c r="C519" t="s">
        <v>13</v>
      </c>
      <c r="D519" t="s">
        <v>1299</v>
      </c>
      <c r="E519" t="s">
        <v>1715</v>
      </c>
      <c r="F519" t="s">
        <v>1246</v>
      </c>
      <c r="G519" s="23">
        <v>-18750</v>
      </c>
      <c r="H519" s="12">
        <v>-2020.9880000000001</v>
      </c>
      <c r="I519" s="12">
        <v>1347.325</v>
      </c>
      <c r="J519" s="12">
        <v>-1347.325</v>
      </c>
      <c r="K519" t="s">
        <v>1300</v>
      </c>
      <c r="L519" t="s">
        <v>1248</v>
      </c>
      <c r="M519" t="s">
        <v>14</v>
      </c>
    </row>
    <row r="520" spans="1:13">
      <c r="A520" t="s">
        <v>1244</v>
      </c>
      <c r="B520" s="10">
        <v>44872</v>
      </c>
      <c r="C520" t="s">
        <v>13</v>
      </c>
      <c r="D520" t="s">
        <v>1301</v>
      </c>
      <c r="E520" t="s">
        <v>14</v>
      </c>
      <c r="F520" t="s">
        <v>1246</v>
      </c>
      <c r="G520" s="23">
        <v>-12265</v>
      </c>
      <c r="H520" s="12">
        <v>-1321.9949999999999</v>
      </c>
      <c r="I520" s="12">
        <v>1321.9949999999999</v>
      </c>
      <c r="J520" s="12">
        <v>-26993.163</v>
      </c>
      <c r="K520" t="s">
        <v>1247</v>
      </c>
      <c r="L520" t="s">
        <v>1248</v>
      </c>
      <c r="M520" t="s">
        <v>1302</v>
      </c>
    </row>
    <row r="521" spans="1:13">
      <c r="A521" t="s">
        <v>1244</v>
      </c>
      <c r="B521" s="10">
        <v>44809</v>
      </c>
      <c r="C521" t="s">
        <v>13</v>
      </c>
      <c r="D521" t="s">
        <v>1303</v>
      </c>
      <c r="E521" t="s">
        <v>1716</v>
      </c>
      <c r="F521" t="s">
        <v>1246</v>
      </c>
      <c r="G521" s="23">
        <v>-21938</v>
      </c>
      <c r="H521" s="12">
        <v>-2364.6089999999999</v>
      </c>
      <c r="I521" s="12">
        <v>1182.3320000000001</v>
      </c>
      <c r="J521" s="12">
        <v>-1182.3320000000001</v>
      </c>
      <c r="K521" t="s">
        <v>1304</v>
      </c>
      <c r="L521" t="s">
        <v>1248</v>
      </c>
      <c r="M521" t="s">
        <v>14</v>
      </c>
    </row>
    <row r="522" spans="1:13">
      <c r="A522" t="s">
        <v>1244</v>
      </c>
      <c r="B522" s="10">
        <v>44792</v>
      </c>
      <c r="C522" t="s">
        <v>13</v>
      </c>
      <c r="D522" t="s">
        <v>1305</v>
      </c>
      <c r="E522" t="s">
        <v>14</v>
      </c>
      <c r="F522" t="s">
        <v>593</v>
      </c>
      <c r="G522" s="15">
        <v>-937.5</v>
      </c>
      <c r="H522" s="12">
        <v>-1065.596</v>
      </c>
      <c r="I522" s="12">
        <v>1065.596</v>
      </c>
      <c r="J522" s="12">
        <v>58108.741000000002</v>
      </c>
      <c r="K522" t="s">
        <v>1306</v>
      </c>
      <c r="L522" t="s">
        <v>874</v>
      </c>
      <c r="M522" t="s">
        <v>14</v>
      </c>
    </row>
    <row r="523" spans="1:13">
      <c r="A523" t="s">
        <v>1244</v>
      </c>
      <c r="B523" s="10">
        <v>45021</v>
      </c>
      <c r="C523" t="s">
        <v>13</v>
      </c>
      <c r="D523" t="s">
        <v>1307</v>
      </c>
      <c r="E523" t="s">
        <v>14</v>
      </c>
      <c r="F523" t="s">
        <v>1246</v>
      </c>
      <c r="G523" s="23">
        <v>-6250</v>
      </c>
      <c r="H523" s="12">
        <v>-673.66300000000001</v>
      </c>
      <c r="I523" s="12">
        <v>673.66300000000001</v>
      </c>
      <c r="J523" s="12">
        <v>-11317.53</v>
      </c>
      <c r="K523" t="s">
        <v>1262</v>
      </c>
      <c r="L523" t="s">
        <v>1248</v>
      </c>
      <c r="M523" t="s">
        <v>1308</v>
      </c>
    </row>
    <row r="524" spans="1:13">
      <c r="A524" t="s">
        <v>1244</v>
      </c>
      <c r="B524" s="10">
        <v>45896</v>
      </c>
      <c r="C524" t="s">
        <v>13</v>
      </c>
      <c r="D524" t="s">
        <v>1309</v>
      </c>
      <c r="E524" t="s">
        <v>14</v>
      </c>
      <c r="F524" t="s">
        <v>1246</v>
      </c>
      <c r="G524" s="23">
        <v>-586.72</v>
      </c>
      <c r="H524" s="12">
        <v>-63.24</v>
      </c>
      <c r="I524" s="12">
        <v>63.24</v>
      </c>
      <c r="J524" s="12">
        <v>-26993.163</v>
      </c>
      <c r="K524" t="s">
        <v>1247</v>
      </c>
      <c r="L524" t="s">
        <v>1248</v>
      </c>
      <c r="M524" t="s">
        <v>1310</v>
      </c>
    </row>
    <row r="525" spans="1:13">
      <c r="A525" t="s">
        <v>1311</v>
      </c>
      <c r="B525" s="10">
        <v>45657</v>
      </c>
      <c r="C525" t="s">
        <v>13</v>
      </c>
      <c r="D525" t="s">
        <v>1312</v>
      </c>
      <c r="E525" t="s">
        <v>1717</v>
      </c>
      <c r="F525" t="s">
        <v>593</v>
      </c>
      <c r="G525" s="15">
        <v>-16315</v>
      </c>
      <c r="H525" s="12">
        <v>-19079.577000000001</v>
      </c>
      <c r="I525" s="12">
        <v>14676.598</v>
      </c>
      <c r="J525" s="12">
        <v>-14676.598</v>
      </c>
      <c r="K525" t="s">
        <v>1313</v>
      </c>
      <c r="L525" t="s">
        <v>1256</v>
      </c>
      <c r="M525" t="s">
        <v>1314</v>
      </c>
    </row>
    <row r="526" spans="1:13">
      <c r="A526" t="s">
        <v>1311</v>
      </c>
      <c r="B526" s="10">
        <v>44834</v>
      </c>
      <c r="C526" t="s">
        <v>13</v>
      </c>
      <c r="D526" t="s">
        <v>1315</v>
      </c>
      <c r="E526" t="s">
        <v>14</v>
      </c>
      <c r="F526" t="s">
        <v>593</v>
      </c>
      <c r="G526" s="15">
        <v>-9920</v>
      </c>
      <c r="H526" s="12">
        <v>-11600.944</v>
      </c>
      <c r="I526" s="12">
        <v>11600.944</v>
      </c>
      <c r="J526" s="12">
        <v>-11600.944</v>
      </c>
      <c r="K526" t="s">
        <v>1316</v>
      </c>
      <c r="L526" t="s">
        <v>1256</v>
      </c>
      <c r="M526" t="s">
        <v>14</v>
      </c>
    </row>
    <row r="527" spans="1:13">
      <c r="A527" t="s">
        <v>1311</v>
      </c>
      <c r="B527" s="10">
        <v>45236</v>
      </c>
      <c r="C527" t="s">
        <v>13</v>
      </c>
      <c r="D527" t="s">
        <v>1317</v>
      </c>
      <c r="E527" t="s">
        <v>14</v>
      </c>
      <c r="F527" t="s">
        <v>593</v>
      </c>
      <c r="G527" s="15">
        <v>-8332.7999999999993</v>
      </c>
      <c r="H527" s="12">
        <v>-9744.7929999999997</v>
      </c>
      <c r="I527" s="12">
        <v>9744.7929999999997</v>
      </c>
      <c r="J527" s="12">
        <v>-9744.7929999999997</v>
      </c>
      <c r="K527" t="s">
        <v>1318</v>
      </c>
      <c r="L527" t="s">
        <v>1256</v>
      </c>
      <c r="M527" t="s">
        <v>1319</v>
      </c>
    </row>
    <row r="528" spans="1:13">
      <c r="A528" t="s">
        <v>1311</v>
      </c>
      <c r="B528" s="10">
        <v>45945</v>
      </c>
      <c r="C528" t="s">
        <v>13</v>
      </c>
      <c r="D528" t="s">
        <v>1320</v>
      </c>
      <c r="E528" t="s">
        <v>14</v>
      </c>
      <c r="F528" t="s">
        <v>593</v>
      </c>
      <c r="G528" s="15">
        <v>-6212.25</v>
      </c>
      <c r="H528" s="12">
        <v>-7264.9160000000002</v>
      </c>
      <c r="I528" s="12">
        <v>7264.9160000000002</v>
      </c>
      <c r="J528" s="12">
        <v>-7264.9160000000002</v>
      </c>
      <c r="K528" t="s">
        <v>1321</v>
      </c>
      <c r="L528" t="s">
        <v>1256</v>
      </c>
      <c r="M528" t="s">
        <v>1322</v>
      </c>
    </row>
    <row r="529" spans="1:13">
      <c r="A529" t="s">
        <v>1311</v>
      </c>
      <c r="B529" s="10">
        <v>45687</v>
      </c>
      <c r="C529" t="s">
        <v>13</v>
      </c>
      <c r="D529" t="s">
        <v>1323</v>
      </c>
      <c r="E529" t="s">
        <v>1718</v>
      </c>
      <c r="F529" t="s">
        <v>593</v>
      </c>
      <c r="G529" s="15">
        <v>-19954.5</v>
      </c>
      <c r="H529" s="12">
        <v>-23335.79</v>
      </c>
      <c r="I529" s="12">
        <v>6914.1629999999996</v>
      </c>
      <c r="J529" s="12">
        <v>-6914.1629999999996</v>
      </c>
      <c r="K529" t="s">
        <v>1324</v>
      </c>
      <c r="L529" t="s">
        <v>1256</v>
      </c>
      <c r="M529" t="s">
        <v>1325</v>
      </c>
    </row>
    <row r="530" spans="1:13">
      <c r="A530" t="s">
        <v>1311</v>
      </c>
      <c r="B530" s="10">
        <v>44992</v>
      </c>
      <c r="C530" t="s">
        <v>13</v>
      </c>
      <c r="D530" t="s">
        <v>1326</v>
      </c>
      <c r="E530" t="s">
        <v>14</v>
      </c>
      <c r="F530" t="s">
        <v>593</v>
      </c>
      <c r="G530" s="15">
        <v>-5580</v>
      </c>
      <c r="H530" s="12">
        <v>-6525.5309999999999</v>
      </c>
      <c r="I530" s="12">
        <v>6525.5309999999999</v>
      </c>
      <c r="J530" s="12">
        <v>-13051.062</v>
      </c>
      <c r="K530" t="s">
        <v>1327</v>
      </c>
      <c r="L530" t="s">
        <v>1256</v>
      </c>
      <c r="M530" t="s">
        <v>1328</v>
      </c>
    </row>
    <row r="531" spans="1:13">
      <c r="A531" t="s">
        <v>1311</v>
      </c>
      <c r="B531" s="10">
        <v>44994</v>
      </c>
      <c r="C531" t="s">
        <v>13</v>
      </c>
      <c r="D531" t="s">
        <v>1329</v>
      </c>
      <c r="E531" t="s">
        <v>14</v>
      </c>
      <c r="F531" t="s">
        <v>593</v>
      </c>
      <c r="G531" s="15">
        <v>-5580</v>
      </c>
      <c r="H531" s="12">
        <v>-6525.5309999999999</v>
      </c>
      <c r="I531" s="12">
        <v>6525.5309999999999</v>
      </c>
      <c r="J531" s="12">
        <v>-13051.062</v>
      </c>
      <c r="K531" t="s">
        <v>1327</v>
      </c>
      <c r="L531" t="s">
        <v>1256</v>
      </c>
      <c r="M531" t="s">
        <v>1328</v>
      </c>
    </row>
    <row r="532" spans="1:13">
      <c r="A532" t="s">
        <v>1311</v>
      </c>
      <c r="B532" s="10">
        <v>45103</v>
      </c>
      <c r="C532" t="s">
        <v>13</v>
      </c>
      <c r="D532" t="s">
        <v>1330</v>
      </c>
      <c r="E532" t="s">
        <v>14</v>
      </c>
      <c r="F532" t="s">
        <v>593</v>
      </c>
      <c r="G532" s="15">
        <v>-5208</v>
      </c>
      <c r="H532" s="12">
        <v>-6090.4960000000001</v>
      </c>
      <c r="I532" s="12">
        <v>6090.4960000000001</v>
      </c>
      <c r="J532" s="12">
        <v>-6090.4960000000001</v>
      </c>
      <c r="K532" t="s">
        <v>1331</v>
      </c>
      <c r="L532" t="s">
        <v>1256</v>
      </c>
      <c r="M532" t="s">
        <v>1332</v>
      </c>
    </row>
    <row r="533" spans="1:13">
      <c r="A533" t="s">
        <v>1311</v>
      </c>
      <c r="B533" s="10">
        <v>45723</v>
      </c>
      <c r="C533" t="s">
        <v>13</v>
      </c>
      <c r="D533" t="s">
        <v>1333</v>
      </c>
      <c r="E533" t="s">
        <v>1719</v>
      </c>
      <c r="F533" t="s">
        <v>593</v>
      </c>
      <c r="G533" s="15">
        <v>-6977.8</v>
      </c>
      <c r="H533" s="12">
        <v>-8160.1880000000001</v>
      </c>
      <c r="I533" s="12">
        <v>6090.4960000000001</v>
      </c>
      <c r="J533" s="12">
        <v>-6090.4960000000001</v>
      </c>
      <c r="K533" t="s">
        <v>1334</v>
      </c>
      <c r="L533" t="s">
        <v>1256</v>
      </c>
      <c r="M533" t="s">
        <v>1335</v>
      </c>
    </row>
    <row r="534" spans="1:13">
      <c r="A534" t="s">
        <v>1311</v>
      </c>
      <c r="B534" s="10">
        <v>44907</v>
      </c>
      <c r="C534" t="s">
        <v>13</v>
      </c>
      <c r="D534" t="s">
        <v>1336</v>
      </c>
      <c r="E534" t="s">
        <v>14</v>
      </c>
      <c r="F534" t="s">
        <v>593</v>
      </c>
      <c r="G534" s="15">
        <v>-4774</v>
      </c>
      <c r="H534" s="12">
        <v>-5582.9539999999997</v>
      </c>
      <c r="I534" s="12">
        <v>5582.9539999999997</v>
      </c>
      <c r="J534" s="12">
        <v>-5582.9539999999997</v>
      </c>
      <c r="K534" t="s">
        <v>1337</v>
      </c>
      <c r="L534" t="s">
        <v>1256</v>
      </c>
      <c r="M534" t="s">
        <v>14</v>
      </c>
    </row>
    <row r="535" spans="1:13">
      <c r="A535" t="s">
        <v>1311</v>
      </c>
      <c r="B535" s="10">
        <v>44992</v>
      </c>
      <c r="C535" t="s">
        <v>13</v>
      </c>
      <c r="D535" t="s">
        <v>1338</v>
      </c>
      <c r="E535" t="s">
        <v>14</v>
      </c>
      <c r="F535" t="s">
        <v>593</v>
      </c>
      <c r="G535" s="15">
        <v>-4526</v>
      </c>
      <c r="H535" s="12">
        <v>-5292.9309999999996</v>
      </c>
      <c r="I535" s="12">
        <v>5292.9309999999996</v>
      </c>
      <c r="J535" s="12">
        <v>-5680.1120000000001</v>
      </c>
      <c r="K535" t="s">
        <v>1339</v>
      </c>
      <c r="L535" t="s">
        <v>1256</v>
      </c>
      <c r="M535" t="s">
        <v>1340</v>
      </c>
    </row>
    <row r="536" spans="1:13">
      <c r="A536" t="s">
        <v>1311</v>
      </c>
      <c r="B536" s="10">
        <v>45146</v>
      </c>
      <c r="C536" t="s">
        <v>13</v>
      </c>
      <c r="D536" t="s">
        <v>1341</v>
      </c>
      <c r="E536" t="s">
        <v>14</v>
      </c>
      <c r="F536" t="s">
        <v>593</v>
      </c>
      <c r="G536" s="15">
        <v>-4077.12</v>
      </c>
      <c r="H536" s="12">
        <v>-4767.9880000000003</v>
      </c>
      <c r="I536" s="12">
        <v>4767.9880000000003</v>
      </c>
      <c r="J536" s="12">
        <v>-4767.9880000000003</v>
      </c>
      <c r="K536" t="s">
        <v>1342</v>
      </c>
      <c r="L536" t="s">
        <v>1256</v>
      </c>
      <c r="M536" t="s">
        <v>1343</v>
      </c>
    </row>
    <row r="537" spans="1:13">
      <c r="A537" t="s">
        <v>1311</v>
      </c>
      <c r="B537" s="10">
        <v>44683</v>
      </c>
      <c r="C537" t="s">
        <v>13</v>
      </c>
      <c r="D537" t="s">
        <v>1344</v>
      </c>
      <c r="E537" t="s">
        <v>14</v>
      </c>
      <c r="F537" t="s">
        <v>593</v>
      </c>
      <c r="G537" s="15">
        <v>-3286</v>
      </c>
      <c r="H537" s="12">
        <v>-3842.8130000000001</v>
      </c>
      <c r="I537" s="12">
        <v>3842.8130000000001</v>
      </c>
      <c r="J537" s="12">
        <v>-3842.8130000000001</v>
      </c>
      <c r="K537" t="s">
        <v>1345</v>
      </c>
      <c r="L537" t="s">
        <v>1256</v>
      </c>
      <c r="M537" t="s">
        <v>14</v>
      </c>
    </row>
    <row r="538" spans="1:13">
      <c r="A538" t="s">
        <v>1311</v>
      </c>
      <c r="B538" s="10">
        <v>45666</v>
      </c>
      <c r="C538" t="s">
        <v>13</v>
      </c>
      <c r="D538" t="s">
        <v>1346</v>
      </c>
      <c r="E538" t="s">
        <v>1720</v>
      </c>
      <c r="F538" t="s">
        <v>593</v>
      </c>
      <c r="G538" s="15">
        <v>-118547.31</v>
      </c>
      <c r="H538" s="12">
        <v>-138635.152</v>
      </c>
      <c r="I538" s="12">
        <v>3749.8649999999998</v>
      </c>
      <c r="J538" s="12">
        <v>-3749.8649999999998</v>
      </c>
      <c r="K538" t="s">
        <v>1347</v>
      </c>
      <c r="L538" t="s">
        <v>1256</v>
      </c>
      <c r="M538" t="s">
        <v>1348</v>
      </c>
    </row>
    <row r="539" spans="1:13">
      <c r="A539" t="s">
        <v>1311</v>
      </c>
      <c r="B539" s="10">
        <v>45159</v>
      </c>
      <c r="C539" t="s">
        <v>13</v>
      </c>
      <c r="D539" t="s">
        <v>1349</v>
      </c>
      <c r="E539" t="s">
        <v>14</v>
      </c>
      <c r="F539" t="s">
        <v>593</v>
      </c>
      <c r="G539" s="15">
        <v>-2046</v>
      </c>
      <c r="H539" s="12">
        <v>-2392.6950000000002</v>
      </c>
      <c r="I539" s="12">
        <v>2392.6950000000002</v>
      </c>
      <c r="J539" s="12">
        <v>-2392.6950000000002</v>
      </c>
      <c r="K539" t="s">
        <v>1350</v>
      </c>
      <c r="L539" t="s">
        <v>1256</v>
      </c>
      <c r="M539" t="s">
        <v>1351</v>
      </c>
    </row>
    <row r="540" spans="1:13">
      <c r="A540" t="s">
        <v>1311</v>
      </c>
      <c r="B540" s="10">
        <v>46024</v>
      </c>
      <c r="C540" t="s">
        <v>13</v>
      </c>
      <c r="D540" t="s">
        <v>1352</v>
      </c>
      <c r="E540" t="s">
        <v>14</v>
      </c>
      <c r="F540" t="s">
        <v>593</v>
      </c>
      <c r="G540" s="15">
        <v>-2008</v>
      </c>
      <c r="H540" s="12">
        <v>-2348.2559999999999</v>
      </c>
      <c r="I540" s="12">
        <v>2348.2559999999999</v>
      </c>
      <c r="J540" s="12">
        <v>-2348.2559999999999</v>
      </c>
      <c r="K540" t="s">
        <v>1353</v>
      </c>
      <c r="L540" t="s">
        <v>1256</v>
      </c>
      <c r="M540" t="s">
        <v>1354</v>
      </c>
    </row>
    <row r="541" spans="1:13">
      <c r="A541" t="s">
        <v>1311</v>
      </c>
      <c r="B541" s="10">
        <v>44771</v>
      </c>
      <c r="C541" t="s">
        <v>13</v>
      </c>
      <c r="D541" t="s">
        <v>1355</v>
      </c>
      <c r="E541" t="s">
        <v>14</v>
      </c>
      <c r="F541" t="s">
        <v>593</v>
      </c>
      <c r="G541" s="15">
        <v>-1860</v>
      </c>
      <c r="H541" s="12">
        <v>-2175.1770000000001</v>
      </c>
      <c r="I541" s="12">
        <v>2175.1770000000001</v>
      </c>
      <c r="J541" s="12">
        <v>-2175.1770000000001</v>
      </c>
      <c r="K541" t="s">
        <v>1356</v>
      </c>
      <c r="L541" t="s">
        <v>1256</v>
      </c>
      <c r="M541" t="s">
        <v>14</v>
      </c>
    </row>
    <row r="542" spans="1:13">
      <c r="A542" t="s">
        <v>1311</v>
      </c>
      <c r="B542" s="10">
        <v>44798</v>
      </c>
      <c r="C542" t="s">
        <v>13</v>
      </c>
      <c r="D542" t="s">
        <v>1357</v>
      </c>
      <c r="E542" t="s">
        <v>14</v>
      </c>
      <c r="F542" t="s">
        <v>593</v>
      </c>
      <c r="G542" s="15">
        <v>-1655.4</v>
      </c>
      <c r="H542" s="12">
        <v>-1935.9079999999999</v>
      </c>
      <c r="I542" s="12">
        <v>1935.9079999999999</v>
      </c>
      <c r="J542" s="12">
        <v>-1935.9079999999999</v>
      </c>
      <c r="K542" t="s">
        <v>1358</v>
      </c>
      <c r="L542" t="s">
        <v>1256</v>
      </c>
      <c r="M542" t="s">
        <v>1359</v>
      </c>
    </row>
    <row r="543" spans="1:13">
      <c r="A543" t="s">
        <v>1311</v>
      </c>
      <c r="B543" s="10">
        <v>45838</v>
      </c>
      <c r="C543" t="s">
        <v>484</v>
      </c>
      <c r="D543" t="s">
        <v>1360</v>
      </c>
      <c r="E543" t="s">
        <v>1721</v>
      </c>
      <c r="F543" t="s">
        <v>593</v>
      </c>
      <c r="G543" s="15">
        <v>-3720</v>
      </c>
      <c r="H543" s="12">
        <v>-4350.3540000000003</v>
      </c>
      <c r="I543" s="12">
        <v>1796.626</v>
      </c>
      <c r="J543" s="12">
        <v>-3287.768</v>
      </c>
      <c r="K543" t="s">
        <v>1362</v>
      </c>
      <c r="L543" t="s">
        <v>1256</v>
      </c>
      <c r="M543" t="s">
        <v>1363</v>
      </c>
    </row>
    <row r="544" spans="1:13">
      <c r="A544" t="s">
        <v>1311</v>
      </c>
      <c r="B544" s="10">
        <v>45838</v>
      </c>
      <c r="C544" t="s">
        <v>484</v>
      </c>
      <c r="D544" t="s">
        <v>1360</v>
      </c>
      <c r="E544" t="s">
        <v>1361</v>
      </c>
      <c r="F544" t="s">
        <v>593</v>
      </c>
      <c r="G544" s="15">
        <v>-3720</v>
      </c>
      <c r="H544" s="12">
        <v>-4350.3540000000003</v>
      </c>
      <c r="I544" s="12">
        <v>1796.626</v>
      </c>
      <c r="J544" s="12">
        <v>-3287.768</v>
      </c>
      <c r="K544" t="s">
        <v>1362</v>
      </c>
      <c r="L544" t="s">
        <v>1256</v>
      </c>
      <c r="M544" t="s">
        <v>1363</v>
      </c>
    </row>
    <row r="545" spans="1:13">
      <c r="A545" t="s">
        <v>1311</v>
      </c>
      <c r="B545" s="10">
        <v>45371</v>
      </c>
      <c r="C545" t="s">
        <v>13</v>
      </c>
      <c r="D545" t="s">
        <v>1364</v>
      </c>
      <c r="E545" t="s">
        <v>14</v>
      </c>
      <c r="F545" t="s">
        <v>593</v>
      </c>
      <c r="G545" s="15">
        <v>-1426</v>
      </c>
      <c r="H545" s="12">
        <v>-1667.636</v>
      </c>
      <c r="I545" s="12">
        <v>1667.636</v>
      </c>
      <c r="J545" s="12">
        <v>-1667.636</v>
      </c>
      <c r="K545" t="s">
        <v>1365</v>
      </c>
      <c r="L545" t="s">
        <v>1256</v>
      </c>
      <c r="M545" t="s">
        <v>1366</v>
      </c>
    </row>
    <row r="546" spans="1:13">
      <c r="A546" t="s">
        <v>1311</v>
      </c>
      <c r="B546" s="10">
        <v>45792</v>
      </c>
      <c r="C546" t="s">
        <v>13</v>
      </c>
      <c r="D546" t="s">
        <v>1367</v>
      </c>
      <c r="E546" t="s">
        <v>14</v>
      </c>
      <c r="F546" t="s">
        <v>593</v>
      </c>
      <c r="G546" s="15">
        <v>-1255</v>
      </c>
      <c r="H546" s="12">
        <v>-1467.66</v>
      </c>
      <c r="I546" s="12">
        <v>1467.66</v>
      </c>
      <c r="J546" s="12">
        <v>-1467.66</v>
      </c>
      <c r="K546" t="s">
        <v>1368</v>
      </c>
      <c r="L546" t="s">
        <v>1256</v>
      </c>
      <c r="M546" t="s">
        <v>1369</v>
      </c>
    </row>
    <row r="547" spans="1:13">
      <c r="A547" t="s">
        <v>1311</v>
      </c>
      <c r="B547" s="10">
        <v>45159</v>
      </c>
      <c r="C547" t="s">
        <v>13</v>
      </c>
      <c r="D547" t="s">
        <v>1370</v>
      </c>
      <c r="E547" t="s">
        <v>14</v>
      </c>
      <c r="F547" t="s">
        <v>593</v>
      </c>
      <c r="G547" s="15">
        <v>-1178</v>
      </c>
      <c r="H547" s="12">
        <v>-1377.6120000000001</v>
      </c>
      <c r="I547" s="12">
        <v>1377.6120000000001</v>
      </c>
      <c r="J547" s="12">
        <v>-1377.6120000000001</v>
      </c>
      <c r="K547" t="s">
        <v>1371</v>
      </c>
      <c r="L547" t="s">
        <v>1256</v>
      </c>
      <c r="M547" t="s">
        <v>1372</v>
      </c>
    </row>
    <row r="548" spans="1:13">
      <c r="A548" t="s">
        <v>1311</v>
      </c>
      <c r="B548" s="10">
        <v>45643</v>
      </c>
      <c r="C548" t="s">
        <v>13</v>
      </c>
      <c r="D548" t="s">
        <v>1373</v>
      </c>
      <c r="E548" t="s">
        <v>14</v>
      </c>
      <c r="F548" t="s">
        <v>593</v>
      </c>
      <c r="G548" s="15">
        <v>-1008.8</v>
      </c>
      <c r="H548" s="12">
        <v>-1179.741</v>
      </c>
      <c r="I548" s="12">
        <v>1179.741</v>
      </c>
      <c r="J548" s="12">
        <v>-1179.741</v>
      </c>
      <c r="K548" t="s">
        <v>1374</v>
      </c>
      <c r="L548" t="s">
        <v>1256</v>
      </c>
      <c r="M548" t="s">
        <v>1375</v>
      </c>
    </row>
    <row r="549" spans="1:13">
      <c r="A549" t="s">
        <v>1311</v>
      </c>
      <c r="B549" s="10">
        <v>46146</v>
      </c>
      <c r="C549" t="s">
        <v>13</v>
      </c>
      <c r="D549" t="s">
        <v>1765</v>
      </c>
      <c r="E549" t="s">
        <v>14</v>
      </c>
      <c r="F549" t="s">
        <v>593</v>
      </c>
      <c r="G549" s="15">
        <v>-840.85</v>
      </c>
      <c r="H549" s="12">
        <v>-983.33199999999999</v>
      </c>
      <c r="I549" s="12">
        <v>983.33199999999999</v>
      </c>
      <c r="J549" s="12">
        <v>-1722.4480000000001</v>
      </c>
      <c r="K549" t="s">
        <v>1387</v>
      </c>
      <c r="L549" t="s">
        <v>1256</v>
      </c>
      <c r="M549" t="s">
        <v>1766</v>
      </c>
    </row>
    <row r="550" spans="1:13">
      <c r="A550" t="s">
        <v>1311</v>
      </c>
      <c r="B550" s="10">
        <v>45547</v>
      </c>
      <c r="C550" t="s">
        <v>13</v>
      </c>
      <c r="D550" t="s">
        <v>1376</v>
      </c>
      <c r="E550" t="s">
        <v>14</v>
      </c>
      <c r="F550" t="s">
        <v>593</v>
      </c>
      <c r="G550" s="15">
        <v>-830.8</v>
      </c>
      <c r="H550" s="12">
        <v>-971.57899999999995</v>
      </c>
      <c r="I550" s="12">
        <v>971.57899999999995</v>
      </c>
      <c r="J550" s="12">
        <v>-1943.1579999999999</v>
      </c>
      <c r="K550" t="s">
        <v>1377</v>
      </c>
      <c r="L550" t="s">
        <v>1256</v>
      </c>
      <c r="M550" t="s">
        <v>1378</v>
      </c>
    </row>
    <row r="551" spans="1:13">
      <c r="A551" t="s">
        <v>1311</v>
      </c>
      <c r="B551" s="10">
        <v>45555</v>
      </c>
      <c r="C551" t="s">
        <v>13</v>
      </c>
      <c r="D551" t="s">
        <v>1379</v>
      </c>
      <c r="E551" t="s">
        <v>1380</v>
      </c>
      <c r="F551" t="s">
        <v>593</v>
      </c>
      <c r="G551" s="15">
        <v>-840.85</v>
      </c>
      <c r="H551" s="12">
        <v>-983.33199999999999</v>
      </c>
      <c r="I551" s="12">
        <v>971.57899999999995</v>
      </c>
      <c r="J551" s="12">
        <v>-1943.1579999999999</v>
      </c>
      <c r="K551" t="s">
        <v>1377</v>
      </c>
      <c r="L551" t="s">
        <v>1256</v>
      </c>
      <c r="M551" t="s">
        <v>1380</v>
      </c>
    </row>
    <row r="552" spans="1:13">
      <c r="A552" t="s">
        <v>1311</v>
      </c>
      <c r="B552" s="10">
        <v>45876</v>
      </c>
      <c r="C552" t="s">
        <v>13</v>
      </c>
      <c r="D552" t="s">
        <v>1381</v>
      </c>
      <c r="E552" t="s">
        <v>1722</v>
      </c>
      <c r="F552" t="s">
        <v>593</v>
      </c>
      <c r="G552" s="15">
        <v>-1302.69</v>
      </c>
      <c r="H552" s="12">
        <v>-1523.431</v>
      </c>
      <c r="I552" s="12">
        <v>877.66099999999994</v>
      </c>
      <c r="J552" s="12">
        <v>-3287.768</v>
      </c>
      <c r="K552" t="s">
        <v>1362</v>
      </c>
      <c r="L552" t="s">
        <v>1256</v>
      </c>
      <c r="M552" t="s">
        <v>1382</v>
      </c>
    </row>
    <row r="553" spans="1:13">
      <c r="A553" t="s">
        <v>1311</v>
      </c>
      <c r="B553" s="10">
        <v>45204</v>
      </c>
      <c r="C553" t="s">
        <v>13</v>
      </c>
      <c r="D553" t="s">
        <v>1383</v>
      </c>
      <c r="E553" t="s">
        <v>14</v>
      </c>
      <c r="F553" t="s">
        <v>593</v>
      </c>
      <c r="G553" s="15">
        <v>-723.34</v>
      </c>
      <c r="H553" s="12">
        <v>-845.91</v>
      </c>
      <c r="I553" s="12">
        <v>845.91</v>
      </c>
      <c r="J553" s="12">
        <v>-845.91</v>
      </c>
      <c r="K553" t="s">
        <v>1384</v>
      </c>
      <c r="L553" t="s">
        <v>1256</v>
      </c>
      <c r="M553" t="s">
        <v>1385</v>
      </c>
    </row>
    <row r="554" spans="1:13">
      <c r="A554" t="s">
        <v>1311</v>
      </c>
      <c r="B554" s="10">
        <v>45932</v>
      </c>
      <c r="C554" t="s">
        <v>13</v>
      </c>
      <c r="D554" t="s">
        <v>1386</v>
      </c>
      <c r="E554" t="s">
        <v>1723</v>
      </c>
      <c r="F554" t="s">
        <v>593</v>
      </c>
      <c r="G554" s="15">
        <v>-1472.87</v>
      </c>
      <c r="H554" s="12">
        <v>-1722.4480000000001</v>
      </c>
      <c r="I554" s="12">
        <v>739.11599999999999</v>
      </c>
      <c r="J554" s="12">
        <v>-1722.4480000000001</v>
      </c>
      <c r="K554" t="s">
        <v>1387</v>
      </c>
      <c r="L554" t="s">
        <v>1256</v>
      </c>
      <c r="M554" t="s">
        <v>1388</v>
      </c>
    </row>
    <row r="555" spans="1:13">
      <c r="A555" t="s">
        <v>1311</v>
      </c>
      <c r="B555" s="10">
        <v>45033</v>
      </c>
      <c r="C555" t="s">
        <v>13</v>
      </c>
      <c r="D555" t="s">
        <v>1389</v>
      </c>
      <c r="E555" t="s">
        <v>1724</v>
      </c>
      <c r="F555" t="s">
        <v>593</v>
      </c>
      <c r="G555" s="15">
        <v>-9765</v>
      </c>
      <c r="H555" s="12">
        <v>-11419.679</v>
      </c>
      <c r="I555" s="12">
        <v>725.04700000000003</v>
      </c>
      <c r="J555" s="12">
        <v>-725.04700000000003</v>
      </c>
      <c r="K555" t="s">
        <v>1390</v>
      </c>
      <c r="L555" t="s">
        <v>1256</v>
      </c>
      <c r="M555" t="s">
        <v>14</v>
      </c>
    </row>
    <row r="556" spans="1:13">
      <c r="A556" t="s">
        <v>1311</v>
      </c>
      <c r="B556" s="10">
        <v>45930</v>
      </c>
      <c r="C556" t="s">
        <v>13</v>
      </c>
      <c r="D556" t="s">
        <v>1391</v>
      </c>
      <c r="E556" t="s">
        <v>14</v>
      </c>
      <c r="F556" t="s">
        <v>593</v>
      </c>
      <c r="G556" s="15">
        <v>-552.20000000000005</v>
      </c>
      <c r="H556" s="12">
        <v>-645.77</v>
      </c>
      <c r="I556" s="12">
        <v>645.77</v>
      </c>
      <c r="J556" s="12">
        <v>-3287.768</v>
      </c>
      <c r="K556" t="s">
        <v>1362</v>
      </c>
      <c r="L556" t="s">
        <v>1256</v>
      </c>
      <c r="M556" t="s">
        <v>1392</v>
      </c>
    </row>
    <row r="557" spans="1:13">
      <c r="A557" t="s">
        <v>1311</v>
      </c>
      <c r="B557" s="10">
        <v>45930</v>
      </c>
      <c r="C557" t="s">
        <v>13</v>
      </c>
      <c r="D557" t="s">
        <v>1393</v>
      </c>
      <c r="E557" t="s">
        <v>14</v>
      </c>
      <c r="F557" t="s">
        <v>593</v>
      </c>
      <c r="G557" s="15">
        <v>-552.20000000000005</v>
      </c>
      <c r="H557" s="12">
        <v>-645.77</v>
      </c>
      <c r="I557" s="12">
        <v>645.77</v>
      </c>
      <c r="J557" s="12">
        <v>-3287.768</v>
      </c>
      <c r="K557" t="s">
        <v>1362</v>
      </c>
      <c r="L557" t="s">
        <v>1256</v>
      </c>
      <c r="M557" t="s">
        <v>1394</v>
      </c>
    </row>
    <row r="558" spans="1:13">
      <c r="A558" t="s">
        <v>1311</v>
      </c>
      <c r="B558" s="10">
        <v>45722</v>
      </c>
      <c r="C558" t="s">
        <v>13</v>
      </c>
      <c r="D558" t="s">
        <v>1395</v>
      </c>
      <c r="E558" t="s">
        <v>1725</v>
      </c>
      <c r="F558" t="s">
        <v>593</v>
      </c>
      <c r="G558" s="15">
        <v>-3983.01</v>
      </c>
      <c r="H558" s="12">
        <v>-4657.9309999999996</v>
      </c>
      <c r="I558" s="12">
        <v>404.65300000000002</v>
      </c>
      <c r="J558" s="12">
        <v>-404.65300000000002</v>
      </c>
      <c r="K558" t="s">
        <v>1396</v>
      </c>
      <c r="L558" t="s">
        <v>1256</v>
      </c>
      <c r="M558" t="s">
        <v>1397</v>
      </c>
    </row>
    <row r="559" spans="1:13">
      <c r="A559" t="s">
        <v>1311</v>
      </c>
      <c r="B559" s="10">
        <v>44986</v>
      </c>
      <c r="C559" t="s">
        <v>13</v>
      </c>
      <c r="D559" t="s">
        <v>1398</v>
      </c>
      <c r="E559" t="s">
        <v>1726</v>
      </c>
      <c r="F559" t="s">
        <v>593</v>
      </c>
      <c r="G559" s="15">
        <v>-4857.08</v>
      </c>
      <c r="H559" s="12">
        <v>-5680.1120000000001</v>
      </c>
      <c r="I559" s="12">
        <v>387.18200000000002</v>
      </c>
      <c r="J559" s="12">
        <v>-5680.1120000000001</v>
      </c>
      <c r="K559" t="s">
        <v>1339</v>
      </c>
      <c r="L559" t="s">
        <v>1256</v>
      </c>
      <c r="M559" t="s">
        <v>1340</v>
      </c>
    </row>
    <row r="560" spans="1:13">
      <c r="A560" t="s">
        <v>1311</v>
      </c>
      <c r="B560" s="10">
        <v>45854</v>
      </c>
      <c r="C560" t="s">
        <v>13</v>
      </c>
      <c r="D560" t="s">
        <v>1399</v>
      </c>
      <c r="E560" t="s">
        <v>1727</v>
      </c>
      <c r="F560" t="s">
        <v>593</v>
      </c>
      <c r="G560" s="15">
        <v>-1631.5</v>
      </c>
      <c r="H560" s="12">
        <v>-1907.9580000000001</v>
      </c>
      <c r="I560" s="12">
        <v>384.52699999999999</v>
      </c>
      <c r="J560" s="12">
        <v>-384.52699999999999</v>
      </c>
      <c r="K560" t="s">
        <v>1400</v>
      </c>
      <c r="L560" t="s">
        <v>1256</v>
      </c>
      <c r="M560" t="s">
        <v>1361</v>
      </c>
    </row>
    <row r="561" spans="1:13">
      <c r="A561" t="s">
        <v>1311</v>
      </c>
      <c r="B561" s="10">
        <v>45273</v>
      </c>
      <c r="C561" t="s">
        <v>13</v>
      </c>
      <c r="D561" t="s">
        <v>1401</v>
      </c>
      <c r="E561" t="s">
        <v>14</v>
      </c>
      <c r="F561" t="s">
        <v>593</v>
      </c>
      <c r="G561" s="15">
        <v>-240.66</v>
      </c>
      <c r="H561" s="12">
        <v>-281.44</v>
      </c>
      <c r="I561" s="12">
        <v>281.44</v>
      </c>
      <c r="J561" s="12">
        <v>-281.44</v>
      </c>
      <c r="K561" t="s">
        <v>1402</v>
      </c>
      <c r="L561" t="s">
        <v>1256</v>
      </c>
      <c r="M561" t="s">
        <v>1403</v>
      </c>
    </row>
    <row r="562" spans="1:13">
      <c r="A562" t="s">
        <v>1311</v>
      </c>
      <c r="B562" s="10">
        <v>46008</v>
      </c>
      <c r="C562" t="s">
        <v>13</v>
      </c>
      <c r="D562" t="s">
        <v>1404</v>
      </c>
      <c r="E562" t="s">
        <v>1728</v>
      </c>
      <c r="F562" t="s">
        <v>593</v>
      </c>
      <c r="G562" s="15">
        <v>-10667.5</v>
      </c>
      <c r="H562" s="12">
        <v>-12475.108</v>
      </c>
      <c r="I562" s="12">
        <v>172.41200000000001</v>
      </c>
      <c r="J562" s="12">
        <v>-172.41200000000001</v>
      </c>
      <c r="K562" t="s">
        <v>1405</v>
      </c>
      <c r="L562" t="s">
        <v>1256</v>
      </c>
      <c r="M562" t="s">
        <v>1406</v>
      </c>
    </row>
    <row r="563" spans="1:13">
      <c r="A563" t="s">
        <v>1311</v>
      </c>
      <c r="B563" s="10">
        <v>44756</v>
      </c>
      <c r="C563" t="s">
        <v>13</v>
      </c>
      <c r="D563" t="s">
        <v>1407</v>
      </c>
      <c r="E563" t="s">
        <v>14</v>
      </c>
      <c r="F563" t="s">
        <v>593</v>
      </c>
      <c r="G563" s="15">
        <v>-114.61</v>
      </c>
      <c r="H563" s="12">
        <v>-134.03100000000001</v>
      </c>
      <c r="I563" s="12">
        <v>134.03100000000001</v>
      </c>
      <c r="J563" s="12">
        <v>7644.5659999999998</v>
      </c>
      <c r="K563" t="s">
        <v>1408</v>
      </c>
      <c r="L563" t="s">
        <v>1256</v>
      </c>
      <c r="M563" t="s">
        <v>14</v>
      </c>
    </row>
    <row r="564" spans="1:13">
      <c r="A564" t="s">
        <v>1409</v>
      </c>
      <c r="B564" s="10">
        <v>45681</v>
      </c>
      <c r="C564" t="s">
        <v>13</v>
      </c>
      <c r="D564" t="s">
        <v>1410</v>
      </c>
      <c r="E564" t="s">
        <v>14</v>
      </c>
      <c r="F564" t="s">
        <v>1411</v>
      </c>
      <c r="G564" s="25">
        <v>-116550</v>
      </c>
      <c r="H564" s="12">
        <v>-12475.046</v>
      </c>
      <c r="I564" s="12">
        <v>12475.046</v>
      </c>
      <c r="J564" s="12">
        <v>-12475.046</v>
      </c>
      <c r="K564" t="s">
        <v>1412</v>
      </c>
      <c r="L564" t="s">
        <v>1256</v>
      </c>
      <c r="M564" t="s">
        <v>1413</v>
      </c>
    </row>
    <row r="565" spans="1:13">
      <c r="A565" t="s">
        <v>1409</v>
      </c>
      <c r="B565" s="10">
        <v>45302</v>
      </c>
      <c r="C565" t="s">
        <v>13</v>
      </c>
      <c r="D565" t="s">
        <v>1414</v>
      </c>
      <c r="E565" t="s">
        <v>1729</v>
      </c>
      <c r="F565" t="s">
        <v>1411</v>
      </c>
      <c r="G565" s="25">
        <v>-109911.25</v>
      </c>
      <c r="H565" s="12">
        <v>-11764.460999999999</v>
      </c>
      <c r="I565" s="12">
        <v>10229.966</v>
      </c>
      <c r="J565" s="12">
        <v>-10229.966</v>
      </c>
      <c r="K565" t="s">
        <v>1415</v>
      </c>
      <c r="L565" t="s">
        <v>1256</v>
      </c>
      <c r="M565" t="s">
        <v>1416</v>
      </c>
    </row>
    <row r="566" spans="1:13">
      <c r="A566" t="s">
        <v>1409</v>
      </c>
      <c r="B566" s="10">
        <v>44774</v>
      </c>
      <c r="C566" t="s">
        <v>13</v>
      </c>
      <c r="D566" t="s">
        <v>1417</v>
      </c>
      <c r="E566" t="s">
        <v>1730</v>
      </c>
      <c r="F566" t="s">
        <v>1411</v>
      </c>
      <c r="G566" s="25">
        <v>-162750</v>
      </c>
      <c r="H566" s="12">
        <v>-17420.109</v>
      </c>
      <c r="I566" s="12">
        <v>8710.0550000000003</v>
      </c>
      <c r="J566" s="12">
        <v>-8710.0550000000003</v>
      </c>
      <c r="K566" t="s">
        <v>1418</v>
      </c>
      <c r="L566" t="s">
        <v>1256</v>
      </c>
      <c r="M566" t="s">
        <v>14</v>
      </c>
    </row>
    <row r="567" spans="1:13">
      <c r="A567" t="s">
        <v>1409</v>
      </c>
      <c r="B567" s="10">
        <v>44942</v>
      </c>
      <c r="C567" t="s">
        <v>13</v>
      </c>
      <c r="D567" t="s">
        <v>1419</v>
      </c>
      <c r="E567" t="s">
        <v>14</v>
      </c>
      <c r="F567" t="s">
        <v>1411</v>
      </c>
      <c r="G567" s="25">
        <v>-76187.5</v>
      </c>
      <c r="H567" s="12">
        <v>-8154.8050000000003</v>
      </c>
      <c r="I567" s="12">
        <v>8154.8050000000003</v>
      </c>
      <c r="J567" s="12">
        <v>-8154.8050000000003</v>
      </c>
      <c r="K567" t="s">
        <v>1420</v>
      </c>
      <c r="L567" t="s">
        <v>1256</v>
      </c>
      <c r="M567" t="s">
        <v>1420</v>
      </c>
    </row>
    <row r="568" spans="1:13">
      <c r="A568" t="s">
        <v>1409</v>
      </c>
      <c r="B568" s="10">
        <v>45723</v>
      </c>
      <c r="C568" t="s">
        <v>13</v>
      </c>
      <c r="D568" t="s">
        <v>1421</v>
      </c>
      <c r="E568" t="s">
        <v>14</v>
      </c>
      <c r="F568" t="s">
        <v>1411</v>
      </c>
      <c r="G568" s="25">
        <v>-42655</v>
      </c>
      <c r="H568" s="12">
        <v>-4565.6210000000001</v>
      </c>
      <c r="I568" s="12">
        <v>4565.6210000000001</v>
      </c>
      <c r="J568" s="12">
        <v>-12141.629000000001</v>
      </c>
      <c r="K568" t="s">
        <v>1422</v>
      </c>
      <c r="L568" t="s">
        <v>1256</v>
      </c>
      <c r="M568" t="s">
        <v>1423</v>
      </c>
    </row>
    <row r="569" spans="1:13">
      <c r="A569" t="s">
        <v>1409</v>
      </c>
      <c r="B569" s="10">
        <v>45727</v>
      </c>
      <c r="C569" t="s">
        <v>13</v>
      </c>
      <c r="D569" t="s">
        <v>1424</v>
      </c>
      <c r="E569" t="s">
        <v>14</v>
      </c>
      <c r="F569" t="s">
        <v>1411</v>
      </c>
      <c r="G569" s="25">
        <v>-42655</v>
      </c>
      <c r="H569" s="12">
        <v>-4565.6210000000001</v>
      </c>
      <c r="I569" s="12">
        <v>4565.6210000000001</v>
      </c>
      <c r="J569" s="12">
        <v>-12141.629000000001</v>
      </c>
      <c r="K569" t="s">
        <v>1422</v>
      </c>
      <c r="L569" t="s">
        <v>1256</v>
      </c>
      <c r="M569" t="s">
        <v>1425</v>
      </c>
    </row>
    <row r="570" spans="1:13">
      <c r="A570" t="s">
        <v>1409</v>
      </c>
      <c r="B570" s="10">
        <v>45089</v>
      </c>
      <c r="C570" t="s">
        <v>13</v>
      </c>
      <c r="D570" t="s">
        <v>1426</v>
      </c>
      <c r="E570" t="s">
        <v>14</v>
      </c>
      <c r="F570" t="s">
        <v>1411</v>
      </c>
      <c r="G570" s="25">
        <v>-36584</v>
      </c>
      <c r="H570" s="12">
        <v>-3915.8049999999998</v>
      </c>
      <c r="I570" s="12">
        <v>3915.8049999999998</v>
      </c>
      <c r="J570" s="12">
        <v>-3915.8049999999998</v>
      </c>
      <c r="K570" t="s">
        <v>1427</v>
      </c>
      <c r="L570" t="s">
        <v>1256</v>
      </c>
      <c r="M570" t="s">
        <v>1428</v>
      </c>
    </row>
    <row r="571" spans="1:13">
      <c r="A571" t="s">
        <v>1409</v>
      </c>
      <c r="B571" s="10">
        <v>46134</v>
      </c>
      <c r="C571" t="s">
        <v>13</v>
      </c>
      <c r="D571" t="s">
        <v>1429</v>
      </c>
      <c r="E571" t="s">
        <v>14</v>
      </c>
      <c r="F571" t="s">
        <v>1411</v>
      </c>
      <c r="G571" s="25">
        <v>-34500</v>
      </c>
      <c r="H571" s="12">
        <v>-3692.7420000000002</v>
      </c>
      <c r="I571" s="12">
        <v>3692.7420000000002</v>
      </c>
      <c r="J571" s="12">
        <v>-9499.4449999999997</v>
      </c>
      <c r="K571" t="s">
        <v>1430</v>
      </c>
      <c r="L571" t="s">
        <v>1256</v>
      </c>
      <c r="M571" t="s">
        <v>1431</v>
      </c>
    </row>
    <row r="572" spans="1:13">
      <c r="A572" t="s">
        <v>1409</v>
      </c>
      <c r="B572" s="10">
        <v>44655</v>
      </c>
      <c r="C572" t="s">
        <v>13</v>
      </c>
      <c r="D572" t="s">
        <v>1432</v>
      </c>
      <c r="E572" t="s">
        <v>1731</v>
      </c>
      <c r="F572" t="s">
        <v>1411</v>
      </c>
      <c r="G572" s="25">
        <v>-62500</v>
      </c>
      <c r="H572" s="12">
        <v>-6689.75</v>
      </c>
      <c r="I572" s="12">
        <v>3344.875</v>
      </c>
      <c r="J572" s="12">
        <v>-9499.4449999999997</v>
      </c>
      <c r="K572" t="s">
        <v>1430</v>
      </c>
      <c r="L572" t="s">
        <v>1256</v>
      </c>
      <c r="M572" t="s">
        <v>14</v>
      </c>
    </row>
    <row r="573" spans="1:13">
      <c r="A573" t="s">
        <v>1409</v>
      </c>
      <c r="B573" s="10">
        <v>45188</v>
      </c>
      <c r="C573" t="s">
        <v>13</v>
      </c>
      <c r="D573" t="s">
        <v>1433</v>
      </c>
      <c r="E573" t="s">
        <v>14</v>
      </c>
      <c r="F573" t="s">
        <v>1411</v>
      </c>
      <c r="G573" s="25">
        <v>-28750</v>
      </c>
      <c r="H573" s="12">
        <v>-3077.2849999999999</v>
      </c>
      <c r="I573" s="12">
        <v>3077.2849999999999</v>
      </c>
      <c r="J573" s="12">
        <v>-3077.2849999999999</v>
      </c>
      <c r="K573" t="s">
        <v>1434</v>
      </c>
      <c r="L573" t="s">
        <v>1256</v>
      </c>
      <c r="M573" t="s">
        <v>1435</v>
      </c>
    </row>
    <row r="574" spans="1:13">
      <c r="A574" t="s">
        <v>1409</v>
      </c>
      <c r="B574" s="10">
        <v>46000</v>
      </c>
      <c r="C574" t="s">
        <v>13</v>
      </c>
      <c r="D574" t="s">
        <v>1436</v>
      </c>
      <c r="E574" t="s">
        <v>14</v>
      </c>
      <c r="F574" t="s">
        <v>1411</v>
      </c>
      <c r="G574" s="25">
        <v>-28125</v>
      </c>
      <c r="H574" s="12">
        <v>-3010.3879999999999</v>
      </c>
      <c r="I574" s="12">
        <v>3010.3879999999999</v>
      </c>
      <c r="J574" s="12">
        <v>-12141.629000000001</v>
      </c>
      <c r="K574" t="s">
        <v>1422</v>
      </c>
      <c r="L574" t="s">
        <v>1256</v>
      </c>
      <c r="M574" t="s">
        <v>1437</v>
      </c>
    </row>
    <row r="575" spans="1:13">
      <c r="A575" t="s">
        <v>1409</v>
      </c>
      <c r="B575" s="10">
        <v>45723</v>
      </c>
      <c r="C575" t="s">
        <v>13</v>
      </c>
      <c r="D575" t="s">
        <v>1438</v>
      </c>
      <c r="E575" t="s">
        <v>1732</v>
      </c>
      <c r="F575" t="s">
        <v>1411</v>
      </c>
      <c r="G575" s="25">
        <v>-54450</v>
      </c>
      <c r="H575" s="12">
        <v>-5828.11</v>
      </c>
      <c r="I575" s="12">
        <v>2914.0549999999998</v>
      </c>
      <c r="J575" s="12">
        <v>-2914.0549999999998</v>
      </c>
      <c r="K575" t="s">
        <v>1439</v>
      </c>
      <c r="L575" t="s">
        <v>1256</v>
      </c>
      <c r="M575" t="s">
        <v>1440</v>
      </c>
    </row>
    <row r="576" spans="1:13">
      <c r="A576" t="s">
        <v>1409</v>
      </c>
      <c r="B576" s="10">
        <v>46142</v>
      </c>
      <c r="C576" t="s">
        <v>13</v>
      </c>
      <c r="D576" t="s">
        <v>1767</v>
      </c>
      <c r="E576" t="s">
        <v>14</v>
      </c>
      <c r="F576" t="s">
        <v>1411</v>
      </c>
      <c r="G576" s="25">
        <v>-25987.5</v>
      </c>
      <c r="H576" s="12">
        <v>-2781.598</v>
      </c>
      <c r="I576" s="12">
        <v>2781.598</v>
      </c>
      <c r="J576" s="12">
        <v>-2781.598</v>
      </c>
      <c r="K576" t="s">
        <v>1768</v>
      </c>
      <c r="L576" t="s">
        <v>1256</v>
      </c>
      <c r="M576" t="s">
        <v>1769</v>
      </c>
    </row>
    <row r="577" spans="1:13">
      <c r="A577" t="s">
        <v>1409</v>
      </c>
      <c r="B577" s="10">
        <v>44937</v>
      </c>
      <c r="C577" t="s">
        <v>13</v>
      </c>
      <c r="D577" t="s">
        <v>1441</v>
      </c>
      <c r="E577" t="s">
        <v>14</v>
      </c>
      <c r="F577" t="s">
        <v>1411</v>
      </c>
      <c r="G577" s="25">
        <v>-24500</v>
      </c>
      <c r="H577" s="12">
        <v>-2622.3820000000001</v>
      </c>
      <c r="I577" s="12">
        <v>2622.3820000000001</v>
      </c>
      <c r="J577" s="12">
        <v>-2622.3820000000001</v>
      </c>
      <c r="K577" t="s">
        <v>1442</v>
      </c>
      <c r="L577" t="s">
        <v>1256</v>
      </c>
      <c r="M577" t="s">
        <v>1443</v>
      </c>
    </row>
    <row r="578" spans="1:13">
      <c r="A578" t="s">
        <v>1409</v>
      </c>
      <c r="B578" s="10">
        <v>45749</v>
      </c>
      <c r="C578" t="s">
        <v>13</v>
      </c>
      <c r="D578" t="s">
        <v>1444</v>
      </c>
      <c r="E578" t="s">
        <v>1733</v>
      </c>
      <c r="F578" t="s">
        <v>1411</v>
      </c>
      <c r="G578" s="25">
        <v>-57500</v>
      </c>
      <c r="H578" s="12">
        <v>-6154.57</v>
      </c>
      <c r="I578" s="12">
        <v>2461.828</v>
      </c>
      <c r="J578" s="12">
        <v>-9499.4449999999997</v>
      </c>
      <c r="K578" t="s">
        <v>1430</v>
      </c>
      <c r="L578" t="s">
        <v>1256</v>
      </c>
      <c r="M578" t="s">
        <v>1445</v>
      </c>
    </row>
    <row r="579" spans="1:13">
      <c r="A579" t="s">
        <v>1409</v>
      </c>
      <c r="B579" s="10">
        <v>44796</v>
      </c>
      <c r="C579" t="s">
        <v>13</v>
      </c>
      <c r="D579" t="s">
        <v>1446</v>
      </c>
      <c r="E579" t="s">
        <v>14</v>
      </c>
      <c r="F579" t="s">
        <v>1411</v>
      </c>
      <c r="G579" s="25">
        <v>-20267.5</v>
      </c>
      <c r="H579" s="12">
        <v>-2169.3519999999999</v>
      </c>
      <c r="I579" s="12">
        <v>2169.3519999999999</v>
      </c>
      <c r="J579" s="12">
        <v>-2169.3519999999999</v>
      </c>
      <c r="K579" t="s">
        <v>1447</v>
      </c>
      <c r="L579" t="s">
        <v>1256</v>
      </c>
      <c r="M579" t="s">
        <v>1448</v>
      </c>
    </row>
    <row r="580" spans="1:13">
      <c r="A580" t="s">
        <v>1409</v>
      </c>
      <c r="B580" s="10">
        <v>44824</v>
      </c>
      <c r="C580" t="s">
        <v>13</v>
      </c>
      <c r="D580" t="s">
        <v>1449</v>
      </c>
      <c r="E580" t="s">
        <v>14</v>
      </c>
      <c r="F580" t="s">
        <v>1411</v>
      </c>
      <c r="G580" s="25">
        <v>-18800</v>
      </c>
      <c r="H580" s="12">
        <v>-2012.277</v>
      </c>
      <c r="I580" s="12">
        <v>2012.277</v>
      </c>
      <c r="J580" s="12">
        <v>-2012.277</v>
      </c>
      <c r="K580" t="s">
        <v>1450</v>
      </c>
      <c r="L580" t="s">
        <v>1256</v>
      </c>
      <c r="M580" t="s">
        <v>14</v>
      </c>
    </row>
    <row r="581" spans="1:13">
      <c r="A581" t="s">
        <v>1409</v>
      </c>
      <c r="B581" s="10">
        <v>45289</v>
      </c>
      <c r="C581" t="s">
        <v>13</v>
      </c>
      <c r="D581" t="s">
        <v>1451</v>
      </c>
      <c r="E581" t="s">
        <v>14</v>
      </c>
      <c r="F581" t="s">
        <v>1411</v>
      </c>
      <c r="G581" s="25">
        <v>-15048.75</v>
      </c>
      <c r="H581" s="12">
        <v>-1610.758</v>
      </c>
      <c r="I581" s="12">
        <v>1610.758</v>
      </c>
      <c r="J581" s="12">
        <v>-1979.731</v>
      </c>
      <c r="K581" t="s">
        <v>1452</v>
      </c>
      <c r="L581" t="s">
        <v>1256</v>
      </c>
      <c r="M581" t="s">
        <v>1453</v>
      </c>
    </row>
    <row r="582" spans="1:13">
      <c r="A582" t="s">
        <v>1409</v>
      </c>
      <c r="B582" s="10">
        <v>45926</v>
      </c>
      <c r="C582" t="s">
        <v>13</v>
      </c>
      <c r="D582" t="s">
        <v>1454</v>
      </c>
      <c r="E582" t="s">
        <v>14</v>
      </c>
      <c r="F582" t="s">
        <v>1411</v>
      </c>
      <c r="G582" s="25">
        <v>-15000</v>
      </c>
      <c r="H582" s="12">
        <v>-1605.54</v>
      </c>
      <c r="I582" s="12">
        <v>1605.54</v>
      </c>
      <c r="J582" s="12">
        <v>-1605.54</v>
      </c>
      <c r="K582" t="s">
        <v>1455</v>
      </c>
      <c r="L582" t="s">
        <v>1256</v>
      </c>
      <c r="M582" t="s">
        <v>1456</v>
      </c>
    </row>
    <row r="583" spans="1:13">
      <c r="A583" t="s">
        <v>1409</v>
      </c>
      <c r="B583" s="10">
        <v>44715</v>
      </c>
      <c r="C583" t="s">
        <v>13</v>
      </c>
      <c r="D583" t="s">
        <v>1457</v>
      </c>
      <c r="E583" t="s">
        <v>14</v>
      </c>
      <c r="F583" t="s">
        <v>1411</v>
      </c>
      <c r="G583" s="25">
        <v>-12500</v>
      </c>
      <c r="H583" s="12">
        <v>-1337.95</v>
      </c>
      <c r="I583" s="12">
        <v>1337.95</v>
      </c>
      <c r="J583" s="12">
        <v>-2675.9</v>
      </c>
      <c r="K583" t="s">
        <v>1458</v>
      </c>
      <c r="L583" t="s">
        <v>1256</v>
      </c>
      <c r="M583" t="s">
        <v>1459</v>
      </c>
    </row>
    <row r="584" spans="1:13">
      <c r="A584" t="s">
        <v>1409</v>
      </c>
      <c r="B584" s="10">
        <v>45061</v>
      </c>
      <c r="C584" t="s">
        <v>13</v>
      </c>
      <c r="D584" t="s">
        <v>1460</v>
      </c>
      <c r="E584" t="s">
        <v>14</v>
      </c>
      <c r="F584" t="s">
        <v>1411</v>
      </c>
      <c r="G584" s="25">
        <v>-12500</v>
      </c>
      <c r="H584" s="12">
        <v>-1337.95</v>
      </c>
      <c r="I584" s="12">
        <v>1337.95</v>
      </c>
      <c r="J584" s="12">
        <v>-2675.9</v>
      </c>
      <c r="K584" t="s">
        <v>1458</v>
      </c>
      <c r="L584" t="s">
        <v>1256</v>
      </c>
      <c r="M584" t="s">
        <v>1461</v>
      </c>
    </row>
    <row r="585" spans="1:13">
      <c r="A585" t="s">
        <v>1409</v>
      </c>
      <c r="B585" s="10">
        <v>45020</v>
      </c>
      <c r="C585" t="s">
        <v>13</v>
      </c>
      <c r="D585" t="s">
        <v>1462</v>
      </c>
      <c r="E585" t="s">
        <v>14</v>
      </c>
      <c r="F585" t="s">
        <v>1411</v>
      </c>
      <c r="G585" s="25">
        <v>-8036.25</v>
      </c>
      <c r="H585" s="12">
        <v>-860.16800000000001</v>
      </c>
      <c r="I585" s="12">
        <v>860.16800000000001</v>
      </c>
      <c r="J585" s="12">
        <v>-860.16800000000001</v>
      </c>
      <c r="K585" t="s">
        <v>1463</v>
      </c>
      <c r="L585" t="s">
        <v>1256</v>
      </c>
      <c r="M585" t="s">
        <v>1464</v>
      </c>
    </row>
    <row r="586" spans="1:13">
      <c r="A586" t="s">
        <v>1409</v>
      </c>
      <c r="B586" s="10">
        <v>45761</v>
      </c>
      <c r="C586" t="s">
        <v>13</v>
      </c>
      <c r="D586" t="s">
        <v>1465</v>
      </c>
      <c r="E586" t="s">
        <v>14</v>
      </c>
      <c r="F586" t="s">
        <v>1411</v>
      </c>
      <c r="G586" s="25">
        <v>-5208.75</v>
      </c>
      <c r="H586" s="12">
        <v>-557.524</v>
      </c>
      <c r="I586" s="12">
        <v>557.524</v>
      </c>
      <c r="J586" s="12">
        <v>-557.524</v>
      </c>
      <c r="K586" t="s">
        <v>1466</v>
      </c>
      <c r="L586" t="s">
        <v>1256</v>
      </c>
      <c r="M586" t="s">
        <v>1467</v>
      </c>
    </row>
    <row r="587" spans="1:13">
      <c r="A587" t="s">
        <v>1409</v>
      </c>
      <c r="B587" s="10">
        <v>45901</v>
      </c>
      <c r="C587" t="s">
        <v>13</v>
      </c>
      <c r="D587" t="s">
        <v>1468</v>
      </c>
      <c r="E587" t="s">
        <v>14</v>
      </c>
      <c r="F587" t="s">
        <v>1411</v>
      </c>
      <c r="G587" s="25">
        <v>-3004</v>
      </c>
      <c r="H587" s="12">
        <v>-321.536</v>
      </c>
      <c r="I587" s="12">
        <v>321.536</v>
      </c>
      <c r="J587" s="12">
        <v>-1979.731</v>
      </c>
      <c r="K587" t="s">
        <v>1452</v>
      </c>
      <c r="L587" t="s">
        <v>1256</v>
      </c>
      <c r="M587" t="s">
        <v>1469</v>
      </c>
    </row>
    <row r="588" spans="1:13">
      <c r="A588" t="s">
        <v>1409</v>
      </c>
      <c r="B588" s="10">
        <v>45103</v>
      </c>
      <c r="C588" t="s">
        <v>13</v>
      </c>
      <c r="D588" t="s">
        <v>1470</v>
      </c>
      <c r="E588" t="s">
        <v>14</v>
      </c>
      <c r="F588" t="s">
        <v>1411</v>
      </c>
      <c r="G588" s="25">
        <v>-443.19</v>
      </c>
      <c r="H588" s="12">
        <v>-47.436999999999998</v>
      </c>
      <c r="I588" s="12">
        <v>47.436999999999998</v>
      </c>
      <c r="J588" s="12">
        <v>-1979.731</v>
      </c>
      <c r="K588" t="s">
        <v>1452</v>
      </c>
      <c r="L588" t="s">
        <v>1256</v>
      </c>
      <c r="M588" t="s">
        <v>1471</v>
      </c>
    </row>
    <row r="589" spans="1:13">
      <c r="A589" t="s">
        <v>1770</v>
      </c>
      <c r="B589" s="10" t="s">
        <v>14</v>
      </c>
      <c r="C589" t="s">
        <v>14</v>
      </c>
      <c r="D589" t="s">
        <v>14</v>
      </c>
      <c r="E589" t="s">
        <v>14</v>
      </c>
      <c r="F589" t="s">
        <v>14</v>
      </c>
      <c r="G589" s="11">
        <v>-14611696.16</v>
      </c>
      <c r="H589" s="12">
        <v>-6776077.2599999998</v>
      </c>
      <c r="I589" s="12">
        <v>3256517.25</v>
      </c>
      <c r="J589" s="12">
        <v>-14871008.34</v>
      </c>
      <c r="K589" t="s">
        <v>14</v>
      </c>
      <c r="L589" t="s">
        <v>14</v>
      </c>
      <c r="M589"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3679A-8D93-4844-8B7C-4E1154796A9B}">
  <dimension ref="A1:B33"/>
  <sheetViews>
    <sheetView workbookViewId="0">
      <selection activeCell="D10" sqref="D10"/>
    </sheetView>
  </sheetViews>
  <sheetFormatPr defaultRowHeight="10.199999999999999"/>
  <cols>
    <col min="1" max="1" width="33" bestFit="1" customWidth="1"/>
    <col min="2" max="2" width="8.85546875" bestFit="1" customWidth="1"/>
  </cols>
  <sheetData>
    <row r="1" spans="1:2">
      <c r="A1" t="s">
        <v>12</v>
      </c>
      <c r="B1" t="s">
        <v>1472</v>
      </c>
    </row>
    <row r="2" spans="1:2">
      <c r="A2" t="s">
        <v>1473</v>
      </c>
      <c r="B2" t="s">
        <v>1472</v>
      </c>
    </row>
    <row r="3" spans="1:2">
      <c r="A3" t="s">
        <v>1474</v>
      </c>
      <c r="B3" t="s">
        <v>1472</v>
      </c>
    </row>
    <row r="4" spans="1:2">
      <c r="A4" t="s">
        <v>386</v>
      </c>
      <c r="B4" t="s">
        <v>1475</v>
      </c>
    </row>
    <row r="5" spans="1:2">
      <c r="A5" t="s">
        <v>454</v>
      </c>
      <c r="B5" t="s">
        <v>1472</v>
      </c>
    </row>
    <row r="6" spans="1:2">
      <c r="A6" t="s">
        <v>550</v>
      </c>
      <c r="B6" t="s">
        <v>1475</v>
      </c>
    </row>
    <row r="7" spans="1:2">
      <c r="A7" t="s">
        <v>1476</v>
      </c>
      <c r="B7" t="s">
        <v>1472</v>
      </c>
    </row>
    <row r="8" spans="1:2">
      <c r="A8" t="s">
        <v>601</v>
      </c>
      <c r="B8" t="s">
        <v>1477</v>
      </c>
    </row>
    <row r="9" spans="1:2">
      <c r="A9" t="s">
        <v>1478</v>
      </c>
      <c r="B9" t="s">
        <v>1477</v>
      </c>
    </row>
    <row r="10" spans="1:2">
      <c r="A10" t="s">
        <v>654</v>
      </c>
      <c r="B10" t="s">
        <v>1477</v>
      </c>
    </row>
    <row r="11" spans="1:2">
      <c r="A11" t="s">
        <v>1479</v>
      </c>
      <c r="B11" t="s">
        <v>1477</v>
      </c>
    </row>
    <row r="12" spans="1:2">
      <c r="A12" t="s">
        <v>662</v>
      </c>
      <c r="B12" t="s">
        <v>1477</v>
      </c>
    </row>
    <row r="13" spans="1:2">
      <c r="A13" t="s">
        <v>721</v>
      </c>
      <c r="B13" t="s">
        <v>1480</v>
      </c>
    </row>
    <row r="14" spans="1:2">
      <c r="A14" t="s">
        <v>759</v>
      </c>
      <c r="B14" t="s">
        <v>1480</v>
      </c>
    </row>
    <row r="15" spans="1:2">
      <c r="A15" t="s">
        <v>967</v>
      </c>
      <c r="B15" t="s">
        <v>1480</v>
      </c>
    </row>
    <row r="16" spans="1:2">
      <c r="A16" t="s">
        <v>1043</v>
      </c>
      <c r="B16" t="s">
        <v>1475</v>
      </c>
    </row>
    <row r="17" spans="1:2">
      <c r="A17" t="s">
        <v>1098</v>
      </c>
      <c r="B17" t="s">
        <v>1480</v>
      </c>
    </row>
    <row r="18" spans="1:2">
      <c r="A18" t="s">
        <v>1168</v>
      </c>
      <c r="B18" t="s">
        <v>1480</v>
      </c>
    </row>
    <row r="19" spans="1:2">
      <c r="A19" t="s">
        <v>1196</v>
      </c>
      <c r="B19" t="s">
        <v>1480</v>
      </c>
    </row>
    <row r="20" spans="1:2">
      <c r="A20" t="s">
        <v>1244</v>
      </c>
      <c r="B20" t="s">
        <v>1480</v>
      </c>
    </row>
    <row r="21" spans="1:2">
      <c r="A21" t="s">
        <v>1311</v>
      </c>
      <c r="B21" t="s">
        <v>1480</v>
      </c>
    </row>
    <row r="22" spans="1:2">
      <c r="A22" t="s">
        <v>1409</v>
      </c>
      <c r="B22" t="s">
        <v>1480</v>
      </c>
    </row>
    <row r="23" spans="1:2">
      <c r="A23" t="s">
        <v>1481</v>
      </c>
      <c r="B23" t="s">
        <v>1480</v>
      </c>
    </row>
    <row r="24" spans="1:2">
      <c r="A24" t="s">
        <v>1482</v>
      </c>
      <c r="B24" t="s">
        <v>1472</v>
      </c>
    </row>
    <row r="25" spans="1:2">
      <c r="A25" t="s">
        <v>1483</v>
      </c>
      <c r="B25" t="s">
        <v>1477</v>
      </c>
    </row>
    <row r="26" spans="1:2">
      <c r="A26" t="s">
        <v>1484</v>
      </c>
      <c r="B26" t="s">
        <v>1480</v>
      </c>
    </row>
    <row r="27" spans="1:2">
      <c r="A27" t="s">
        <v>1485</v>
      </c>
      <c r="B27" t="s">
        <v>1477</v>
      </c>
    </row>
    <row r="28" spans="1:2">
      <c r="A28" t="s">
        <v>1486</v>
      </c>
      <c r="B28" t="s">
        <v>1480</v>
      </c>
    </row>
    <row r="29" spans="1:2">
      <c r="A29" t="s">
        <v>1067</v>
      </c>
      <c r="B29" t="s">
        <v>1480</v>
      </c>
    </row>
    <row r="30" spans="1:2">
      <c r="A30" t="s">
        <v>1487</v>
      </c>
      <c r="B30" t="s">
        <v>1480</v>
      </c>
    </row>
    <row r="31" spans="1:2">
      <c r="A31" t="s">
        <v>1488</v>
      </c>
      <c r="B31" t="s">
        <v>1472</v>
      </c>
    </row>
    <row r="32" spans="1:2">
      <c r="A32" t="s">
        <v>1489</v>
      </c>
      <c r="B32" t="s">
        <v>1477</v>
      </c>
    </row>
    <row r="33" spans="1:2">
      <c r="A33" t="s">
        <v>1490</v>
      </c>
      <c r="B33" t="s">
        <v>1480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0F8D-2BED-4D5A-93C3-4019EC99C937}">
  <dimension ref="A1:F14"/>
  <sheetViews>
    <sheetView workbookViewId="0">
      <selection activeCell="A2" sqref="A2:A14"/>
    </sheetView>
  </sheetViews>
  <sheetFormatPr defaultRowHeight="10.199999999999999"/>
  <cols>
    <col min="1" max="1" width="10.140625" style="40" bestFit="1" customWidth="1"/>
    <col min="2" max="2" width="16.85546875" bestFit="1" customWidth="1"/>
    <col min="3" max="3" width="16.42578125" bestFit="1" customWidth="1"/>
    <col min="4" max="4" width="43" bestFit="1" customWidth="1"/>
    <col min="5" max="5" width="14.5703125" bestFit="1" customWidth="1"/>
    <col min="6" max="6" width="123.140625" bestFit="1" customWidth="1"/>
  </cols>
  <sheetData>
    <row r="1" spans="1:6">
      <c r="A1" s="40" t="s">
        <v>1</v>
      </c>
      <c r="B1" t="s">
        <v>7</v>
      </c>
      <c r="C1" t="s">
        <v>3</v>
      </c>
      <c r="D1" t="s">
        <v>9</v>
      </c>
      <c r="E1" t="s">
        <v>10</v>
      </c>
      <c r="F1" t="s">
        <v>11</v>
      </c>
    </row>
    <row r="2" spans="1:6">
      <c r="A2" s="40">
        <v>46118</v>
      </c>
      <c r="B2">
        <v>20913.77</v>
      </c>
      <c r="C2" t="s">
        <v>35</v>
      </c>
      <c r="D2" t="s">
        <v>36</v>
      </c>
      <c r="F2" t="s">
        <v>37</v>
      </c>
    </row>
    <row r="3" spans="1:6">
      <c r="A3" s="40">
        <v>46127</v>
      </c>
      <c r="B3">
        <v>20698</v>
      </c>
      <c r="C3" t="s">
        <v>38</v>
      </c>
      <c r="D3" t="s">
        <v>39</v>
      </c>
      <c r="F3" t="s">
        <v>40</v>
      </c>
    </row>
    <row r="4" spans="1:6">
      <c r="A4" s="40">
        <v>46139</v>
      </c>
      <c r="B4">
        <v>19350</v>
      </c>
      <c r="C4" t="s">
        <v>46</v>
      </c>
      <c r="D4" t="s">
        <v>47</v>
      </c>
    </row>
    <row r="5" spans="1:6">
      <c r="A5" s="40">
        <v>46132</v>
      </c>
      <c r="B5">
        <v>17200</v>
      </c>
      <c r="C5" t="s">
        <v>54</v>
      </c>
      <c r="D5" t="s">
        <v>55</v>
      </c>
      <c r="F5" t="s">
        <v>56</v>
      </c>
    </row>
    <row r="6" spans="1:6">
      <c r="A6" s="40">
        <v>46139</v>
      </c>
      <c r="B6">
        <v>15000</v>
      </c>
      <c r="C6" t="s">
        <v>66</v>
      </c>
      <c r="D6" t="s">
        <v>67</v>
      </c>
      <c r="F6" t="s">
        <v>68</v>
      </c>
    </row>
    <row r="7" spans="1:6">
      <c r="A7" s="40">
        <v>46136</v>
      </c>
      <c r="B7">
        <v>9900</v>
      </c>
      <c r="C7" t="s">
        <v>90</v>
      </c>
      <c r="D7" t="s">
        <v>18</v>
      </c>
      <c r="F7" t="s">
        <v>91</v>
      </c>
    </row>
    <row r="8" spans="1:6">
      <c r="A8" s="40">
        <v>46126</v>
      </c>
      <c r="B8">
        <v>7500</v>
      </c>
      <c r="C8" t="s">
        <v>117</v>
      </c>
      <c r="D8" t="s">
        <v>18</v>
      </c>
    </row>
    <row r="9" spans="1:6">
      <c r="A9" s="40">
        <v>46136</v>
      </c>
      <c r="B9">
        <v>6200</v>
      </c>
      <c r="C9" t="s">
        <v>137</v>
      </c>
      <c r="D9" t="s">
        <v>138</v>
      </c>
      <c r="E9" t="s">
        <v>131</v>
      </c>
    </row>
    <row r="10" spans="1:6">
      <c r="A10" s="40">
        <v>46135</v>
      </c>
      <c r="B10">
        <v>4265.16</v>
      </c>
      <c r="C10" t="s">
        <v>171</v>
      </c>
      <c r="D10" t="s">
        <v>172</v>
      </c>
      <c r="F10" t="s">
        <v>173</v>
      </c>
    </row>
    <row r="11" spans="1:6">
      <c r="A11" s="40">
        <v>46113</v>
      </c>
      <c r="B11">
        <v>10</v>
      </c>
      <c r="C11" t="s">
        <v>382</v>
      </c>
      <c r="D11" t="s">
        <v>383</v>
      </c>
      <c r="F11" t="s">
        <v>384</v>
      </c>
    </row>
    <row r="12" spans="1:6">
      <c r="A12" s="40">
        <v>46140</v>
      </c>
      <c r="B12">
        <v>49625.781999999999</v>
      </c>
      <c r="C12" t="s">
        <v>455</v>
      </c>
      <c r="D12" t="s">
        <v>457</v>
      </c>
      <c r="F12" t="s">
        <v>458</v>
      </c>
    </row>
    <row r="13" spans="1:6">
      <c r="A13" s="40">
        <v>46120</v>
      </c>
      <c r="B13">
        <v>2104.6909999999998</v>
      </c>
      <c r="C13" t="s">
        <v>491</v>
      </c>
      <c r="D13" t="s">
        <v>492</v>
      </c>
      <c r="E13" t="s">
        <v>479</v>
      </c>
      <c r="F13" t="s">
        <v>493</v>
      </c>
    </row>
    <row r="14" spans="1:6">
      <c r="A14" s="40">
        <v>46113</v>
      </c>
      <c r="B14">
        <v>220.631</v>
      </c>
      <c r="C14" t="s">
        <v>525</v>
      </c>
      <c r="D14" t="s">
        <v>526</v>
      </c>
      <c r="F14" t="s">
        <v>527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6FCD-B6EF-4F40-A374-D4453C6204C8}">
  <dimension ref="A1:F11"/>
  <sheetViews>
    <sheetView workbookViewId="0">
      <selection activeCell="F2" sqref="F2:F11"/>
    </sheetView>
  </sheetViews>
  <sheetFormatPr defaultRowHeight="10.199999999999999"/>
  <cols>
    <col min="1" max="1" width="6" bestFit="1" customWidth="1"/>
    <col min="2" max="2" width="16.85546875" bestFit="1" customWidth="1"/>
    <col min="3" max="3" width="15.42578125" bestFit="1" customWidth="1"/>
    <col min="4" max="4" width="64.42578125" bestFit="1" customWidth="1"/>
    <col min="5" max="5" width="12.28515625" bestFit="1" customWidth="1"/>
    <col min="6" max="6" width="185.7109375" bestFit="1" customWidth="1"/>
  </cols>
  <sheetData>
    <row r="1" spans="1:6">
      <c r="A1" t="s">
        <v>1</v>
      </c>
      <c r="B1" t="s">
        <v>7</v>
      </c>
      <c r="C1" t="s">
        <v>3</v>
      </c>
      <c r="D1" t="s">
        <v>9</v>
      </c>
      <c r="E1" t="s">
        <v>10</v>
      </c>
      <c r="F1" t="s">
        <v>11</v>
      </c>
    </row>
    <row r="2" spans="1:6">
      <c r="A2">
        <v>46121</v>
      </c>
      <c r="B2">
        <v>13203.96</v>
      </c>
      <c r="C2" t="s">
        <v>608</v>
      </c>
      <c r="D2" t="s">
        <v>609</v>
      </c>
      <c r="E2" t="s">
        <v>603</v>
      </c>
      <c r="F2" t="s">
        <v>610</v>
      </c>
    </row>
    <row r="3" spans="1:6">
      <c r="A3">
        <v>46133</v>
      </c>
      <c r="B3">
        <v>11789.25</v>
      </c>
      <c r="C3" t="s">
        <v>611</v>
      </c>
      <c r="D3" t="s">
        <v>609</v>
      </c>
      <c r="E3" t="s">
        <v>603</v>
      </c>
      <c r="F3" t="s">
        <v>612</v>
      </c>
    </row>
    <row r="4" spans="1:6">
      <c r="A4">
        <v>46136</v>
      </c>
      <c r="B4">
        <v>529.44500000000005</v>
      </c>
      <c r="C4" t="s">
        <v>637</v>
      </c>
      <c r="D4" t="s">
        <v>609</v>
      </c>
      <c r="E4" t="s">
        <v>603</v>
      </c>
      <c r="F4" t="s">
        <v>638</v>
      </c>
    </row>
    <row r="5" spans="1:6">
      <c r="A5">
        <v>46132</v>
      </c>
      <c r="B5">
        <v>201.02500000000001</v>
      </c>
      <c r="C5" t="s">
        <v>647</v>
      </c>
      <c r="D5" t="s">
        <v>609</v>
      </c>
      <c r="E5" t="s">
        <v>603</v>
      </c>
      <c r="F5" t="s">
        <v>648</v>
      </c>
    </row>
    <row r="6" spans="1:6">
      <c r="A6">
        <v>46139</v>
      </c>
      <c r="B6">
        <v>134.84</v>
      </c>
      <c r="C6" t="s">
        <v>649</v>
      </c>
      <c r="D6" t="s">
        <v>609</v>
      </c>
      <c r="E6" t="s">
        <v>603</v>
      </c>
      <c r="F6" t="s">
        <v>650</v>
      </c>
    </row>
    <row r="7" spans="1:6">
      <c r="A7">
        <v>46127</v>
      </c>
      <c r="B7">
        <v>3822.0590000000002</v>
      </c>
      <c r="C7" t="s">
        <v>694</v>
      </c>
      <c r="D7" t="s">
        <v>695</v>
      </c>
      <c r="F7" t="s">
        <v>696</v>
      </c>
    </row>
    <row r="8" spans="1:6">
      <c r="A8">
        <v>46127</v>
      </c>
      <c r="B8">
        <v>3351.2860000000001</v>
      </c>
      <c r="C8" t="s">
        <v>697</v>
      </c>
      <c r="D8" t="s">
        <v>698</v>
      </c>
      <c r="F8" t="s">
        <v>699</v>
      </c>
    </row>
    <row r="9" spans="1:6">
      <c r="A9">
        <v>46142</v>
      </c>
      <c r="B9">
        <v>1498.9770000000001</v>
      </c>
      <c r="C9" t="s">
        <v>702</v>
      </c>
      <c r="D9" t="s">
        <v>703</v>
      </c>
      <c r="F9" t="s">
        <v>704</v>
      </c>
    </row>
    <row r="10" spans="1:6">
      <c r="A10">
        <v>46128</v>
      </c>
      <c r="B10">
        <v>777.74099999999999</v>
      </c>
      <c r="C10" t="s">
        <v>705</v>
      </c>
      <c r="D10" t="s">
        <v>706</v>
      </c>
      <c r="F10" t="s">
        <v>707</v>
      </c>
    </row>
    <row r="11" spans="1:6">
      <c r="A11">
        <v>46140</v>
      </c>
      <c r="B11">
        <v>535.86300000000006</v>
      </c>
      <c r="C11" t="s">
        <v>714</v>
      </c>
      <c r="D11" t="s">
        <v>715</v>
      </c>
      <c r="F11" t="s">
        <v>716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804F-062E-4451-97E8-0F22D691557B}">
  <dimension ref="A1:F19"/>
  <sheetViews>
    <sheetView workbookViewId="0">
      <selection activeCell="F2" sqref="F2:F19"/>
    </sheetView>
  </sheetViews>
  <sheetFormatPr defaultRowHeight="10.199999999999999"/>
  <cols>
    <col min="1" max="1" width="6" bestFit="1" customWidth="1"/>
    <col min="2" max="2" width="16.85546875" bestFit="1" customWidth="1"/>
    <col min="3" max="3" width="15.42578125" bestFit="1" customWidth="1"/>
    <col min="4" max="4" width="52" bestFit="1" customWidth="1"/>
    <col min="5" max="5" width="25.7109375" bestFit="1" customWidth="1"/>
    <col min="6" max="6" width="255.7109375" bestFit="1" customWidth="1"/>
  </cols>
  <sheetData>
    <row r="1" spans="1:6">
      <c r="A1" t="s">
        <v>1</v>
      </c>
      <c r="B1" t="s">
        <v>7</v>
      </c>
      <c r="C1" t="s">
        <v>3</v>
      </c>
      <c r="D1" t="s">
        <v>9</v>
      </c>
      <c r="E1" t="s">
        <v>10</v>
      </c>
      <c r="F1" t="s">
        <v>11</v>
      </c>
    </row>
    <row r="2" spans="1:6">
      <c r="A2">
        <v>46128</v>
      </c>
      <c r="B2">
        <v>5330.0020000000004</v>
      </c>
      <c r="C2" t="s">
        <v>819</v>
      </c>
      <c r="D2" t="s">
        <v>820</v>
      </c>
      <c r="E2" t="s">
        <v>762</v>
      </c>
      <c r="F2" t="s">
        <v>821</v>
      </c>
    </row>
    <row r="3" spans="1:6">
      <c r="A3">
        <v>46134</v>
      </c>
      <c r="B3">
        <v>4174.9369999999999</v>
      </c>
      <c r="C3" t="s">
        <v>827</v>
      </c>
      <c r="D3" t="s">
        <v>828</v>
      </c>
      <c r="E3" t="s">
        <v>829</v>
      </c>
      <c r="F3" t="s">
        <v>830</v>
      </c>
    </row>
    <row r="4" spans="1:6">
      <c r="A4">
        <v>46135</v>
      </c>
      <c r="B4">
        <v>3526.8510000000001</v>
      </c>
      <c r="C4" t="s">
        <v>836</v>
      </c>
      <c r="D4" t="s">
        <v>837</v>
      </c>
      <c r="E4" t="s">
        <v>762</v>
      </c>
      <c r="F4" t="s">
        <v>838</v>
      </c>
    </row>
    <row r="5" spans="1:6">
      <c r="A5">
        <v>46134</v>
      </c>
      <c r="B5">
        <v>3157.5149999999999</v>
      </c>
      <c r="C5" t="s">
        <v>842</v>
      </c>
      <c r="D5" t="s">
        <v>843</v>
      </c>
      <c r="E5" t="s">
        <v>829</v>
      </c>
      <c r="F5" t="s">
        <v>844</v>
      </c>
    </row>
    <row r="6" spans="1:6">
      <c r="A6">
        <v>46120</v>
      </c>
      <c r="B6">
        <v>1281.249</v>
      </c>
      <c r="C6" t="s">
        <v>867</v>
      </c>
      <c r="D6" t="s">
        <v>868</v>
      </c>
      <c r="E6" t="s">
        <v>829</v>
      </c>
      <c r="F6" t="s">
        <v>869</v>
      </c>
    </row>
    <row r="7" spans="1:6">
      <c r="A7">
        <v>46139</v>
      </c>
      <c r="B7">
        <v>809.55200000000002</v>
      </c>
      <c r="C7" t="s">
        <v>888</v>
      </c>
      <c r="D7" t="s">
        <v>889</v>
      </c>
      <c r="E7" t="s">
        <v>762</v>
      </c>
      <c r="F7" t="s">
        <v>890</v>
      </c>
    </row>
    <row r="8" spans="1:6">
      <c r="A8">
        <v>46141</v>
      </c>
      <c r="B8">
        <v>262.85700000000003</v>
      </c>
      <c r="C8" t="s">
        <v>928</v>
      </c>
      <c r="D8" t="s">
        <v>929</v>
      </c>
      <c r="E8" t="s">
        <v>762</v>
      </c>
      <c r="F8" t="s">
        <v>930</v>
      </c>
    </row>
    <row r="9" spans="1:6">
      <c r="A9">
        <v>46142</v>
      </c>
      <c r="B9">
        <v>7152.393</v>
      </c>
      <c r="C9" t="s">
        <v>1762</v>
      </c>
      <c r="D9" t="s">
        <v>1763</v>
      </c>
      <c r="E9" t="s">
        <v>754</v>
      </c>
      <c r="F9" t="s">
        <v>983</v>
      </c>
    </row>
    <row r="10" spans="1:6">
      <c r="A10">
        <v>46114</v>
      </c>
      <c r="B10">
        <v>1382.376</v>
      </c>
      <c r="C10" t="s">
        <v>1016</v>
      </c>
      <c r="D10" t="s">
        <v>969</v>
      </c>
      <c r="E10" t="s">
        <v>874</v>
      </c>
      <c r="F10" t="s">
        <v>1017</v>
      </c>
    </row>
    <row r="11" spans="1:6">
      <c r="A11">
        <v>46120</v>
      </c>
      <c r="B11">
        <v>675.14</v>
      </c>
      <c r="C11" t="s">
        <v>1029</v>
      </c>
      <c r="D11" t="s">
        <v>1030</v>
      </c>
      <c r="E11" t="s">
        <v>874</v>
      </c>
      <c r="F11" t="s">
        <v>1031</v>
      </c>
    </row>
    <row r="12" spans="1:6">
      <c r="A12">
        <v>46135</v>
      </c>
      <c r="B12">
        <v>5551.375</v>
      </c>
      <c r="C12" t="s">
        <v>1125</v>
      </c>
      <c r="D12" t="s">
        <v>1126</v>
      </c>
      <c r="F12" t="s">
        <v>1127</v>
      </c>
    </row>
    <row r="13" spans="1:6">
      <c r="A13">
        <v>46141</v>
      </c>
      <c r="B13">
        <v>4584.8649999999998</v>
      </c>
      <c r="C13" t="s">
        <v>1131</v>
      </c>
      <c r="D13" t="s">
        <v>1132</v>
      </c>
      <c r="E13" t="s">
        <v>975</v>
      </c>
      <c r="F13" t="s">
        <v>1133</v>
      </c>
    </row>
    <row r="14" spans="1:6">
      <c r="A14">
        <v>46127</v>
      </c>
      <c r="B14">
        <v>368.03500000000003</v>
      </c>
      <c r="C14" t="s">
        <v>1161</v>
      </c>
      <c r="D14" t="s">
        <v>1142</v>
      </c>
      <c r="E14" t="s">
        <v>975</v>
      </c>
      <c r="F14" t="s">
        <v>1162</v>
      </c>
    </row>
    <row r="15" spans="1:6">
      <c r="A15">
        <v>46128</v>
      </c>
      <c r="B15">
        <v>407.65699999999998</v>
      </c>
      <c r="C15" t="s">
        <v>1188</v>
      </c>
      <c r="D15" t="s">
        <v>1171</v>
      </c>
      <c r="E15" t="s">
        <v>790</v>
      </c>
      <c r="F15" t="s">
        <v>1189</v>
      </c>
    </row>
    <row r="16" spans="1:6">
      <c r="A16">
        <v>46136</v>
      </c>
      <c r="B16">
        <v>5154.7020000000002</v>
      </c>
      <c r="C16" t="s">
        <v>1201</v>
      </c>
      <c r="D16" t="s">
        <v>1202</v>
      </c>
      <c r="E16" t="s">
        <v>724</v>
      </c>
      <c r="F16" t="s">
        <v>1203</v>
      </c>
    </row>
    <row r="17" spans="1:6">
      <c r="A17">
        <v>46122</v>
      </c>
      <c r="B17">
        <v>13008.558000000001</v>
      </c>
      <c r="C17" t="s">
        <v>1250</v>
      </c>
      <c r="D17" t="s">
        <v>1251</v>
      </c>
      <c r="E17" t="s">
        <v>1248</v>
      </c>
      <c r="F17" t="s">
        <v>1252</v>
      </c>
    </row>
    <row r="18" spans="1:6">
      <c r="A18">
        <v>46134</v>
      </c>
      <c r="B18">
        <v>3692.7420000000002</v>
      </c>
      <c r="C18" t="s">
        <v>1429</v>
      </c>
      <c r="D18" t="s">
        <v>1430</v>
      </c>
      <c r="E18" t="s">
        <v>1256</v>
      </c>
      <c r="F18" t="s">
        <v>1431</v>
      </c>
    </row>
    <row r="19" spans="1:6">
      <c r="A19">
        <v>46142</v>
      </c>
      <c r="B19">
        <v>2781.598</v>
      </c>
      <c r="C19" t="s">
        <v>1767</v>
      </c>
      <c r="D19" t="s">
        <v>1768</v>
      </c>
      <c r="E19" t="s">
        <v>1256</v>
      </c>
      <c r="F19" t="s">
        <v>1769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VV4XVBQZCRKI5LH4PJFIDBHZHI5DF7MY:ms-officescript%3A%2F%2Fonedrive_business_sharinglink%2Fu!aHR0cHM6Ly9tZWx0d2F0ZXJpbnQtbXkuc2hhcmVwb2ludC5jb20vOnU6L2cvcGVyc29uYWwvZXJuZXN0b19qYXJhbWlsbG9fbWVsdHdhdGVyX2NvbS9JUUFaRkZTT3JQeDZTb0dFLVRvNk12MllBYVdBZmdoTHdtaE1pNklDOWxXSFpDMA"/>
</scriptIds>
</file>

<file path=customXml/itemProps1.xml><?xml version="1.0" encoding="utf-8"?>
<ds:datastoreItem xmlns:ds="http://schemas.openxmlformats.org/officeDocument/2006/customXml" ds:itemID="{E304535B-5EEE-4099-B7EA-7A81920817FB}">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UnappliedPaymentsErnestoResult</vt:lpstr>
      <vt:lpstr>Copy Netsuite Report</vt:lpstr>
      <vt:lpstr>Sheet2</vt:lpstr>
      <vt:lpstr>AMERICAS APRIL 2026</vt:lpstr>
      <vt:lpstr>APAC APRIL 2026</vt:lpstr>
      <vt:lpstr>EMEA APRIL 2026</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NetSuite</dc:creator>
  <cp:lastModifiedBy>Ernesto Jaramillo</cp:lastModifiedBy>
  <dcterms:created xsi:type="dcterms:W3CDTF">2026-05-04T02:06:13Z</dcterms:created>
  <dcterms:modified xsi:type="dcterms:W3CDTF">2026-05-06T01:51:46Z</dcterms:modified>
</cp:coreProperties>
</file>